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DataAnalyst\Supplychain\"/>
    </mc:Choice>
  </mc:AlternateContent>
  <xr:revisionPtr revIDLastSave="0" documentId="13_ncr:1_{D1C46B33-0EC4-4A75-899B-02446C927668}" xr6:coauthVersionLast="47" xr6:coauthVersionMax="47" xr10:uidLastSave="{00000000-0000-0000-0000-000000000000}"/>
  <bookViews>
    <workbookView xWindow="-120" yWindow="-120" windowWidth="20730" windowHeight="11040" firstSheet="2" activeTab="5" xr2:uid="{9D7A8479-E525-4631-960C-2CD799B9B17A}"/>
  </bookViews>
  <sheets>
    <sheet name="Pivot_DeliveryPerformance" sheetId="8" r:id="rId1"/>
    <sheet name="Pivot_ProfitByTransportMode" sheetId="9" r:id="rId2"/>
    <sheet name="Pivot_DeliveryTimeByMode" sheetId="10" r:id="rId3"/>
    <sheet name="Pivot_StatusByRegion" sheetId="11" r:id="rId4"/>
    <sheet name="Kpis" sheetId="12" r:id="rId5"/>
    <sheet name="Dashboard" sheetId="13" r:id="rId6"/>
    <sheet name="cleaneddata" sheetId="7" r:id="rId7"/>
    <sheet name="Supplychain_data" sheetId="2" r:id="rId8"/>
  </sheets>
  <definedNames>
    <definedName name="ExternalData_1" localSheetId="6" hidden="1">cleaneddata!$A$1:$Z$1501</definedName>
    <definedName name="ExternalData_1" localSheetId="7" hidden="1">Supplychain_data!$A$1:$X$1501</definedName>
  </definedNames>
  <calcPr calcId="191029"/>
  <pivotCaches>
    <pivotCache cacheId="1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8" i="13" l="1"/>
  <c r="L8" i="13"/>
  <c r="O6" i="13"/>
  <c r="R5" i="13"/>
  <c r="L5" i="13"/>
  <c r="I11" i="12"/>
  <c r="I10" i="12"/>
  <c r="I9" i="12"/>
  <c r="I8" i="12"/>
  <c r="I7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020181-FCC6-471E-80E9-709D8C5851DE}" keepAlive="1" name="Query - Supplychain_data" description="Connection to the 'Supplychain_data' query in the workbook." type="5" refreshedVersion="8" background="1" saveData="1">
    <dbPr connection="Provider=Microsoft.Mashup.OleDb.1;Data Source=$Workbook$;Location=Supplychain_data;Extended Properties=&quot;&quot;" command="SELECT * FROM [Supplychain_data]"/>
  </connection>
  <connection id="2" xr16:uid="{715C4E84-0C33-4478-85DB-8188C12CDAE8}" keepAlive="1" name="Query - tbl_supplychain_1" description="Connection to the 'tbl_supplychain_1' query in the workbook." type="5" refreshedVersion="8" background="1" saveData="1">
    <dbPr connection="Provider=Microsoft.Mashup.OleDb.1;Data Source=$Workbook$;Location=tbl_supplychain_1;Extended Properties=&quot;&quot;" command="SELECT * FROM [tbl_supplychain_1]"/>
  </connection>
</connections>
</file>

<file path=xl/sharedStrings.xml><?xml version="1.0" encoding="utf-8"?>
<sst xmlns="http://schemas.openxmlformats.org/spreadsheetml/2006/main" count="40595" uniqueCount="3755">
  <si>
    <t>Order ID</t>
  </si>
  <si>
    <t>Order Date</t>
  </si>
  <si>
    <t>Shipment Date</t>
  </si>
  <si>
    <t>Delivery Date</t>
  </si>
  <si>
    <t>Customer ID</t>
  </si>
  <si>
    <t>Customer Region</t>
  </si>
  <si>
    <t>Customer Country</t>
  </si>
  <si>
    <t>Product ID</t>
  </si>
  <si>
    <t>Product Name</t>
  </si>
  <si>
    <t>Product Category</t>
  </si>
  <si>
    <t>Supplier ID</t>
  </si>
  <si>
    <t>Supplier Name</t>
  </si>
  <si>
    <t>Supplier Region</t>
  </si>
  <si>
    <t>Warehouse ID</t>
  </si>
  <si>
    <t>Warehouse Location</t>
  </si>
  <si>
    <t>Transportation Mode</t>
  </si>
  <si>
    <t>Order Quantity</t>
  </si>
  <si>
    <t>Unit Price</t>
  </si>
  <si>
    <t>Total Cost</t>
  </si>
  <si>
    <t>Shipping Cost</t>
  </si>
  <si>
    <t>Delivery Time Days</t>
  </si>
  <si>
    <t>Inventory Level</t>
  </si>
  <si>
    <t>Order Status</t>
  </si>
  <si>
    <t>Profit</t>
  </si>
  <si>
    <t>C6734</t>
  </si>
  <si>
    <t>Asia</t>
  </si>
  <si>
    <t>China</t>
  </si>
  <si>
    <t>P16265</t>
  </si>
  <si>
    <t>Denim Jeans</t>
  </si>
  <si>
    <t>Apparel</t>
  </si>
  <si>
    <t>S566</t>
  </si>
  <si>
    <t>Atlas Sourcing</t>
  </si>
  <si>
    <t>Europe</t>
  </si>
  <si>
    <t>WH 02</t>
  </si>
  <si>
    <t>Lahore</t>
  </si>
  <si>
    <t>Road</t>
  </si>
  <si>
    <t>Delivered</t>
  </si>
  <si>
    <t>C7420</t>
  </si>
  <si>
    <t>Africa</t>
  </si>
  <si>
    <t>Egypt</t>
  </si>
  <si>
    <t>P93104</t>
  </si>
  <si>
    <t>Bluetooth Speaker</t>
  </si>
  <si>
    <t>Electronics</t>
  </si>
  <si>
    <t>S559</t>
  </si>
  <si>
    <t>BlueRiver Trading</t>
  </si>
  <si>
    <t>WH 04</t>
  </si>
  <si>
    <t>Istanbul</t>
  </si>
  <si>
    <t>Cancelled</t>
  </si>
  <si>
    <t>C2267</t>
  </si>
  <si>
    <t>Kenya</t>
  </si>
  <si>
    <t>P41551</t>
  </si>
  <si>
    <t>Face Mask Box</t>
  </si>
  <si>
    <t>Healthcare</t>
  </si>
  <si>
    <t>S604</t>
  </si>
  <si>
    <t>Middle East</t>
  </si>
  <si>
    <t>WH 10</t>
  </si>
  <si>
    <t>Cairo</t>
  </si>
  <si>
    <t>In Transit</t>
  </si>
  <si>
    <t>C7235</t>
  </si>
  <si>
    <t>Vietnam</t>
  </si>
  <si>
    <t>P33483</t>
  </si>
  <si>
    <t>Bottled Water Case</t>
  </si>
  <si>
    <t>FMCG</t>
  </si>
  <si>
    <t>S554</t>
  </si>
  <si>
    <t>Zenith Procurement</t>
  </si>
  <si>
    <t>North America</t>
  </si>
  <si>
    <t>WH 03</t>
  </si>
  <si>
    <t>Dubai</t>
  </si>
  <si>
    <t>Air</t>
  </si>
  <si>
    <t>C7873</t>
  </si>
  <si>
    <t>United States</t>
  </si>
  <si>
    <t>P81211</t>
  </si>
  <si>
    <t>Power Bank</t>
  </si>
  <si>
    <t>S261</t>
  </si>
  <si>
    <t>WH 06</t>
  </si>
  <si>
    <t>Amsterdam</t>
  </si>
  <si>
    <t>Sea</t>
  </si>
  <si>
    <t>C5887</t>
  </si>
  <si>
    <t>P22185</t>
  </si>
  <si>
    <t>Storage Cabinet</t>
  </si>
  <si>
    <t>Furniture</t>
  </si>
  <si>
    <t>S316</t>
  </si>
  <si>
    <t>C6258</t>
  </si>
  <si>
    <t>Nigeria</t>
  </si>
  <si>
    <t>P97538</t>
  </si>
  <si>
    <t>First Aid Kit</t>
  </si>
  <si>
    <t>S692</t>
  </si>
  <si>
    <t>C9154</t>
  </si>
  <si>
    <t>P80592</t>
  </si>
  <si>
    <t>Shampoo Pack</t>
  </si>
  <si>
    <t>S838</t>
  </si>
  <si>
    <t>Evergreen Partners</t>
  </si>
  <si>
    <t>WH 08</t>
  </si>
  <si>
    <t>Chicago</t>
  </si>
  <si>
    <t>C8858</t>
  </si>
  <si>
    <t>Italy</t>
  </si>
  <si>
    <t>P60015</t>
  </si>
  <si>
    <t>S842</t>
  </si>
  <si>
    <t>Nova Industrial</t>
  </si>
  <si>
    <t>C4157</t>
  </si>
  <si>
    <t>P32299</t>
  </si>
  <si>
    <t>S677</t>
  </si>
  <si>
    <t>WH 09</t>
  </si>
  <si>
    <t>Johannesburg</t>
  </si>
  <si>
    <t>C8392</t>
  </si>
  <si>
    <t>P40080</t>
  </si>
  <si>
    <t>S476</t>
  </si>
  <si>
    <t>WH 05</t>
  </si>
  <si>
    <t>Frankfurt</t>
  </si>
  <si>
    <t>C1663</t>
  </si>
  <si>
    <t>Netherlands</t>
  </si>
  <si>
    <t>P44766</t>
  </si>
  <si>
    <t>S926</t>
  </si>
  <si>
    <t>Pioneer Distribution</t>
  </si>
  <si>
    <t>C4696</t>
  </si>
  <si>
    <t>P36736</t>
  </si>
  <si>
    <t>Detergent Bag</t>
  </si>
  <si>
    <t>S101</t>
  </si>
  <si>
    <t>Summit Supply Co</t>
  </si>
  <si>
    <t>C5931</t>
  </si>
  <si>
    <t>P62662</t>
  </si>
  <si>
    <t>S302</t>
  </si>
  <si>
    <t>Crescent Logistics</t>
  </si>
  <si>
    <t>Rail</t>
  </si>
  <si>
    <t>C3511</t>
  </si>
  <si>
    <t>P25708</t>
  </si>
  <si>
    <t>Smart Watch</t>
  </si>
  <si>
    <t>S870</t>
  </si>
  <si>
    <t>C3385</t>
  </si>
  <si>
    <t>Oman</t>
  </si>
  <si>
    <t>P21111</t>
  </si>
  <si>
    <t>S740</t>
  </si>
  <si>
    <t>C5548</t>
  </si>
  <si>
    <t>P39855</t>
  </si>
  <si>
    <t>Hand Sanitizer Case</t>
  </si>
  <si>
    <t>S108</t>
  </si>
  <si>
    <t>C5199</t>
  </si>
  <si>
    <t>Spain</t>
  </si>
  <si>
    <t>P71267</t>
  </si>
  <si>
    <t>Wireless Earbuds</t>
  </si>
  <si>
    <t>S353</t>
  </si>
  <si>
    <t>C6699</t>
  </si>
  <si>
    <t>Mexico</t>
  </si>
  <si>
    <t>P33328</t>
  </si>
  <si>
    <t>Thermometer</t>
  </si>
  <si>
    <t>S497</t>
  </si>
  <si>
    <t>C2045</t>
  </si>
  <si>
    <t>Morocco</t>
  </si>
  <si>
    <t>P16893</t>
  </si>
  <si>
    <t>Router</t>
  </si>
  <si>
    <t>S769</t>
  </si>
  <si>
    <t>WH 01</t>
  </si>
  <si>
    <t>Karachi</t>
  </si>
  <si>
    <t>C8683</t>
  </si>
  <si>
    <t>Canada</t>
  </si>
  <si>
    <t>P83744</t>
  </si>
  <si>
    <t>S271</t>
  </si>
  <si>
    <t>C1699</t>
  </si>
  <si>
    <t>United Arab Emirates</t>
  </si>
  <si>
    <t>P64240</t>
  </si>
  <si>
    <t>S215</t>
  </si>
  <si>
    <t>C4863</t>
  </si>
  <si>
    <t>P82991</t>
  </si>
  <si>
    <t>S953</t>
  </si>
  <si>
    <t>C6986</t>
  </si>
  <si>
    <t>Qatar</t>
  </si>
  <si>
    <t>P60993</t>
  </si>
  <si>
    <t>S507</t>
  </si>
  <si>
    <t>C6919</t>
  </si>
  <si>
    <t>Bangladesh</t>
  </si>
  <si>
    <t>P20966</t>
  </si>
  <si>
    <t>C3491</t>
  </si>
  <si>
    <t>Pakistan</t>
  </si>
  <si>
    <t>P90135</t>
  </si>
  <si>
    <t>S152</t>
  </si>
  <si>
    <t>C2693</t>
  </si>
  <si>
    <t>P96672</t>
  </si>
  <si>
    <t>Sportswear Set</t>
  </si>
  <si>
    <t>S219</t>
  </si>
  <si>
    <t>C1512</t>
  </si>
  <si>
    <t>Sweden</t>
  </si>
  <si>
    <t>P56175</t>
  </si>
  <si>
    <t>Floor Lamp</t>
  </si>
  <si>
    <t>S737</t>
  </si>
  <si>
    <t>C2679</t>
  </si>
  <si>
    <t>P79042</t>
  </si>
  <si>
    <t>S185</t>
  </si>
  <si>
    <t>Orion Supplies</t>
  </si>
  <si>
    <t>Delayed</t>
  </si>
  <si>
    <t>C7484</t>
  </si>
  <si>
    <t>P72752</t>
  </si>
  <si>
    <t>Toothpaste Box</t>
  </si>
  <si>
    <t>C9527</t>
  </si>
  <si>
    <t>Saudi Arabia</t>
  </si>
  <si>
    <t>P40977</t>
  </si>
  <si>
    <t>S596</t>
  </si>
  <si>
    <t>C6536</t>
  </si>
  <si>
    <t>P79449</t>
  </si>
  <si>
    <t>Vitamin Pack</t>
  </si>
  <si>
    <t>S142</t>
  </si>
  <si>
    <t>C1417</t>
  </si>
  <si>
    <t>P67458</t>
  </si>
  <si>
    <t>S716</t>
  </si>
  <si>
    <t>WH 07</t>
  </si>
  <si>
    <t>Toronto</t>
  </si>
  <si>
    <t>C3786</t>
  </si>
  <si>
    <t>P93042</t>
  </si>
  <si>
    <t>Bookshelf</t>
  </si>
  <si>
    <t>S647</t>
  </si>
  <si>
    <t>C9787</t>
  </si>
  <si>
    <t>P56959</t>
  </si>
  <si>
    <t>S828</t>
  </si>
  <si>
    <t>Vertex Manufacturing</t>
  </si>
  <si>
    <t>C9335</t>
  </si>
  <si>
    <t>P96900</t>
  </si>
  <si>
    <t>S168</t>
  </si>
  <si>
    <t>C5729</t>
  </si>
  <si>
    <t>South Africa</t>
  </si>
  <si>
    <t>P19348</t>
  </si>
  <si>
    <t>S262</t>
  </si>
  <si>
    <t>C2540</t>
  </si>
  <si>
    <t>Indonesia</t>
  </si>
  <si>
    <t>P98092</t>
  </si>
  <si>
    <t>S264</t>
  </si>
  <si>
    <t>C2810</t>
  </si>
  <si>
    <t>Turkey</t>
  </si>
  <si>
    <t>P82124</t>
  </si>
  <si>
    <t>S975</t>
  </si>
  <si>
    <t>C4072</t>
  </si>
  <si>
    <t>P49298</t>
  </si>
  <si>
    <t>Study Table</t>
  </si>
  <si>
    <t>S447</t>
  </si>
  <si>
    <t>C6348</t>
  </si>
  <si>
    <t>Malaysia</t>
  </si>
  <si>
    <t>P40354</t>
  </si>
  <si>
    <t>S631</t>
  </si>
  <si>
    <t>C9120</t>
  </si>
  <si>
    <t>P17114</t>
  </si>
  <si>
    <t>Snack Carton</t>
  </si>
  <si>
    <t>S111</t>
  </si>
  <si>
    <t>C5964</t>
  </si>
  <si>
    <t>P14835</t>
  </si>
  <si>
    <t>S803</t>
  </si>
  <si>
    <t>C1009</t>
  </si>
  <si>
    <t>India</t>
  </si>
  <si>
    <t>P94791</t>
  </si>
  <si>
    <t>T Shirt Bundle</t>
  </si>
  <si>
    <t>S897</t>
  </si>
  <si>
    <t>C4925</t>
  </si>
  <si>
    <t>P16970</t>
  </si>
  <si>
    <t>S894</t>
  </si>
  <si>
    <t>C6989</t>
  </si>
  <si>
    <t>P90642</t>
  </si>
  <si>
    <t>S536</t>
  </si>
  <si>
    <t>C6565</t>
  </si>
  <si>
    <t>Poland</t>
  </si>
  <si>
    <t>P80080</t>
  </si>
  <si>
    <t>S980</t>
  </si>
  <si>
    <t>C9580</t>
  </si>
  <si>
    <t>P34285</t>
  </si>
  <si>
    <t>S862</t>
  </si>
  <si>
    <t>C7241</t>
  </si>
  <si>
    <t>P83553</t>
  </si>
  <si>
    <t>C8730</t>
  </si>
  <si>
    <t>P53088</t>
  </si>
  <si>
    <t>S232</t>
  </si>
  <si>
    <t>C2906</t>
  </si>
  <si>
    <t>P16254</t>
  </si>
  <si>
    <t>S860</t>
  </si>
  <si>
    <t>C7777</t>
  </si>
  <si>
    <t>P21314</t>
  </si>
  <si>
    <t>S502</t>
  </si>
  <si>
    <t>C8240</t>
  </si>
  <si>
    <t>France</t>
  </si>
  <si>
    <t>P33321</t>
  </si>
  <si>
    <t>S348</t>
  </si>
  <si>
    <t>C1302</t>
  </si>
  <si>
    <t>P92558</t>
  </si>
  <si>
    <t>Hoodie</t>
  </si>
  <si>
    <t>S155</t>
  </si>
  <si>
    <t>C6870</t>
  </si>
  <si>
    <t>P77067</t>
  </si>
  <si>
    <t>S373</t>
  </si>
  <si>
    <t>C5632</t>
  </si>
  <si>
    <t>P13596</t>
  </si>
  <si>
    <t>S311</t>
  </si>
  <si>
    <t>C7891</t>
  </si>
  <si>
    <t>P82274</t>
  </si>
  <si>
    <t>S653</t>
  </si>
  <si>
    <t>C2605</t>
  </si>
  <si>
    <t>P81158</t>
  </si>
  <si>
    <t>S723</t>
  </si>
  <si>
    <t>C1005</t>
  </si>
  <si>
    <t>P51427</t>
  </si>
  <si>
    <t>S831</t>
  </si>
  <si>
    <t>C7316</t>
  </si>
  <si>
    <t>P16469</t>
  </si>
  <si>
    <t>S509</t>
  </si>
  <si>
    <t>C7988</t>
  </si>
  <si>
    <t>P57362</t>
  </si>
  <si>
    <t>S772</t>
  </si>
  <si>
    <t>C2994</t>
  </si>
  <si>
    <t>P89767</t>
  </si>
  <si>
    <t>S649</t>
  </si>
  <si>
    <t>C6951</t>
  </si>
  <si>
    <t>P97388</t>
  </si>
  <si>
    <t>S939</t>
  </si>
  <si>
    <t>C7943</t>
  </si>
  <si>
    <t>P21954</t>
  </si>
  <si>
    <t>S736</t>
  </si>
  <si>
    <t>C2202</t>
  </si>
  <si>
    <t>P34519</t>
  </si>
  <si>
    <t>C1950</t>
  </si>
  <si>
    <t>P12336</t>
  </si>
  <si>
    <t>C4228</t>
  </si>
  <si>
    <t>P30103</t>
  </si>
  <si>
    <t>S360</t>
  </si>
  <si>
    <t>C7166</t>
  </si>
  <si>
    <t>P10814</t>
  </si>
  <si>
    <t>S445</t>
  </si>
  <si>
    <t>C4876</t>
  </si>
  <si>
    <t>P10126</t>
  </si>
  <si>
    <t>S205</t>
  </si>
  <si>
    <t>C4030</t>
  </si>
  <si>
    <t>P29256</t>
  </si>
  <si>
    <t>S100</t>
  </si>
  <si>
    <t>C8970</t>
  </si>
  <si>
    <t>P35150</t>
  </si>
  <si>
    <t>S343</t>
  </si>
  <si>
    <t>C6299</t>
  </si>
  <si>
    <t>P55765</t>
  </si>
  <si>
    <t>S600</t>
  </si>
  <si>
    <t>C9533</t>
  </si>
  <si>
    <t>P31566</t>
  </si>
  <si>
    <t>S800</t>
  </si>
  <si>
    <t>C8311</t>
  </si>
  <si>
    <t>P99106</t>
  </si>
  <si>
    <t>S117</t>
  </si>
  <si>
    <t>C9038</t>
  </si>
  <si>
    <t>P58770</t>
  </si>
  <si>
    <t>S899</t>
  </si>
  <si>
    <t>C9519</t>
  </si>
  <si>
    <t>P66373</t>
  </si>
  <si>
    <t>C6619</t>
  </si>
  <si>
    <t>P96925</t>
  </si>
  <si>
    <t>S834</t>
  </si>
  <si>
    <t>C7852</t>
  </si>
  <si>
    <t>P97955</t>
  </si>
  <si>
    <t>S622</t>
  </si>
  <si>
    <t>C2387</t>
  </si>
  <si>
    <t>P39975</t>
  </si>
  <si>
    <t>C6877</t>
  </si>
  <si>
    <t>P27685</t>
  </si>
  <si>
    <t>S334</t>
  </si>
  <si>
    <t>C8184</t>
  </si>
  <si>
    <t>P32180</t>
  </si>
  <si>
    <t>S252</t>
  </si>
  <si>
    <t>C9646</t>
  </si>
  <si>
    <t>P69052</t>
  </si>
  <si>
    <t>S500</t>
  </si>
  <si>
    <t>C9340</t>
  </si>
  <si>
    <t>P63002</t>
  </si>
  <si>
    <t>S395</t>
  </si>
  <si>
    <t>C6408</t>
  </si>
  <si>
    <t>Germany</t>
  </si>
  <si>
    <t>P69129</t>
  </si>
  <si>
    <t>C3343</t>
  </si>
  <si>
    <t>P47904</t>
  </si>
  <si>
    <t>Socks Pack</t>
  </si>
  <si>
    <t>C5090</t>
  </si>
  <si>
    <t>P16960</t>
  </si>
  <si>
    <t>S116</t>
  </si>
  <si>
    <t>C8119</t>
  </si>
  <si>
    <t>P68053</t>
  </si>
  <si>
    <t>S299</t>
  </si>
  <si>
    <t>C1390</t>
  </si>
  <si>
    <t>P54813</t>
  </si>
  <si>
    <t>S434</t>
  </si>
  <si>
    <t>C1614</t>
  </si>
  <si>
    <t>P97312</t>
  </si>
  <si>
    <t>S625</t>
  </si>
  <si>
    <t>C1920</t>
  </si>
  <si>
    <t>P17564</t>
  </si>
  <si>
    <t>S821</t>
  </si>
  <si>
    <t>C3032</t>
  </si>
  <si>
    <t>P71916</t>
  </si>
  <si>
    <t>S417</t>
  </si>
  <si>
    <t>C4760</t>
  </si>
  <si>
    <t>P12050</t>
  </si>
  <si>
    <t>S528</t>
  </si>
  <si>
    <t>C2828</t>
  </si>
  <si>
    <t>P55028</t>
  </si>
  <si>
    <t>S479</t>
  </si>
  <si>
    <t>C6429</t>
  </si>
  <si>
    <t>P51844</t>
  </si>
  <si>
    <t>S342</t>
  </si>
  <si>
    <t>C2913</t>
  </si>
  <si>
    <t>P40448</t>
  </si>
  <si>
    <t>S672</t>
  </si>
  <si>
    <t>C2933</t>
  </si>
  <si>
    <t>P93300</t>
  </si>
  <si>
    <t>S709</t>
  </si>
  <si>
    <t>C1954</t>
  </si>
  <si>
    <t>P91121</t>
  </si>
  <si>
    <t>S223</t>
  </si>
  <si>
    <t>C1317</t>
  </si>
  <si>
    <t>P12396</t>
  </si>
  <si>
    <t>S214</t>
  </si>
  <si>
    <t>C2704</t>
  </si>
  <si>
    <t>P43130</t>
  </si>
  <si>
    <t>S656</t>
  </si>
  <si>
    <t>C4998</t>
  </si>
  <si>
    <t>P28787</t>
  </si>
  <si>
    <t>S357</t>
  </si>
  <si>
    <t>C2007</t>
  </si>
  <si>
    <t>P80981</t>
  </si>
  <si>
    <t>Office Chair</t>
  </si>
  <si>
    <t>C2887</t>
  </si>
  <si>
    <t>P55539</t>
  </si>
  <si>
    <t>S341</t>
  </si>
  <si>
    <t>C9476</t>
  </si>
  <si>
    <t>P31195</t>
  </si>
  <si>
    <t>S775</t>
  </si>
  <si>
    <t>C4356</t>
  </si>
  <si>
    <t>P24288</t>
  </si>
  <si>
    <t>S198</t>
  </si>
  <si>
    <t>C1988</t>
  </si>
  <si>
    <t>P63268</t>
  </si>
  <si>
    <t>S402</t>
  </si>
  <si>
    <t>C4056</t>
  </si>
  <si>
    <t>P92711</t>
  </si>
  <si>
    <t>S623</t>
  </si>
  <si>
    <t>C1959</t>
  </si>
  <si>
    <t>P48827</t>
  </si>
  <si>
    <t>S792</t>
  </si>
  <si>
    <t>C8099</t>
  </si>
  <si>
    <t>P15109</t>
  </si>
  <si>
    <t>C9357</t>
  </si>
  <si>
    <t>P36143</t>
  </si>
  <si>
    <t>S110</t>
  </si>
  <si>
    <t>C9783</t>
  </si>
  <si>
    <t>P58787</t>
  </si>
  <si>
    <t>C8014</t>
  </si>
  <si>
    <t>P60861</t>
  </si>
  <si>
    <t>S221</t>
  </si>
  <si>
    <t>C9907</t>
  </si>
  <si>
    <t>P36289</t>
  </si>
  <si>
    <t>S959</t>
  </si>
  <si>
    <t>C5109</t>
  </si>
  <si>
    <t>P25313</t>
  </si>
  <si>
    <t>C4665</t>
  </si>
  <si>
    <t>P85717</t>
  </si>
  <si>
    <t>S822</t>
  </si>
  <si>
    <t>C8005</t>
  </si>
  <si>
    <t>P69321</t>
  </si>
  <si>
    <t>S123</t>
  </si>
  <si>
    <t>C2394</t>
  </si>
  <si>
    <t>P55241</t>
  </si>
  <si>
    <t>S345</t>
  </si>
  <si>
    <t>C1525</t>
  </si>
  <si>
    <t>P98397</t>
  </si>
  <si>
    <t>C9219</t>
  </si>
  <si>
    <t>P77649</t>
  </si>
  <si>
    <t>C4432</t>
  </si>
  <si>
    <t>P52240</t>
  </si>
  <si>
    <t>C3203</t>
  </si>
  <si>
    <t>P93310</t>
  </si>
  <si>
    <t>S818</t>
  </si>
  <si>
    <t>C5293</t>
  </si>
  <si>
    <t>P86260</t>
  </si>
  <si>
    <t>S856</t>
  </si>
  <si>
    <t>C8473</t>
  </si>
  <si>
    <t>P71212</t>
  </si>
  <si>
    <t>S284</t>
  </si>
  <si>
    <t>C8175</t>
  </si>
  <si>
    <t>P20225</t>
  </si>
  <si>
    <t>S440</t>
  </si>
  <si>
    <t>C8705</t>
  </si>
  <si>
    <t>P46487</t>
  </si>
  <si>
    <t>C9125</t>
  </si>
  <si>
    <t>P46059</t>
  </si>
  <si>
    <t>C4173</t>
  </si>
  <si>
    <t>P39165</t>
  </si>
  <si>
    <t>S743</t>
  </si>
  <si>
    <t>C5806</t>
  </si>
  <si>
    <t>P19108</t>
  </si>
  <si>
    <t>S927</t>
  </si>
  <si>
    <t>C7228</t>
  </si>
  <si>
    <t>P16471</t>
  </si>
  <si>
    <t>S915</t>
  </si>
  <si>
    <t>C6445</t>
  </si>
  <si>
    <t>P91709</t>
  </si>
  <si>
    <t>S597</t>
  </si>
  <si>
    <t>C1140</t>
  </si>
  <si>
    <t>P47650</t>
  </si>
  <si>
    <t>S901</t>
  </si>
  <si>
    <t>C7787</t>
  </si>
  <si>
    <t>P96365</t>
  </si>
  <si>
    <t>S558</t>
  </si>
  <si>
    <t>C6291</t>
  </si>
  <si>
    <t>P81031</t>
  </si>
  <si>
    <t>S784</t>
  </si>
  <si>
    <t>C2072</t>
  </si>
  <si>
    <t>P44084</t>
  </si>
  <si>
    <t>S679</t>
  </si>
  <si>
    <t>C1482</t>
  </si>
  <si>
    <t>P27633</t>
  </si>
  <si>
    <t>C9632</t>
  </si>
  <si>
    <t>P17421</t>
  </si>
  <si>
    <t>S869</t>
  </si>
  <si>
    <t>C2125</t>
  </si>
  <si>
    <t>P86329</t>
  </si>
  <si>
    <t>S387</t>
  </si>
  <si>
    <t>C4713</t>
  </si>
  <si>
    <t>P80587</t>
  </si>
  <si>
    <t>S616</t>
  </si>
  <si>
    <t>C6249</t>
  </si>
  <si>
    <t>P29201</t>
  </si>
  <si>
    <t>S713</t>
  </si>
  <si>
    <t>C4083</t>
  </si>
  <si>
    <t>P39328</t>
  </si>
  <si>
    <t>S499</t>
  </si>
  <si>
    <t>C1148</t>
  </si>
  <si>
    <t>P23395</t>
  </si>
  <si>
    <t>S505</t>
  </si>
  <si>
    <t>C3817</t>
  </si>
  <si>
    <t>P40682</t>
  </si>
  <si>
    <t>C5437</t>
  </si>
  <si>
    <t>P80971</t>
  </si>
  <si>
    <t>S200</t>
  </si>
  <si>
    <t>C8693</t>
  </si>
  <si>
    <t>P83800</t>
  </si>
  <si>
    <t>S498</t>
  </si>
  <si>
    <t>C6901</t>
  </si>
  <si>
    <t>P41552</t>
  </si>
  <si>
    <t>S209</t>
  </si>
  <si>
    <t>C8340</t>
  </si>
  <si>
    <t>P99099</t>
  </si>
  <si>
    <t>C7610</t>
  </si>
  <si>
    <t>P81966</t>
  </si>
  <si>
    <t>C6448</t>
  </si>
  <si>
    <t>P60331</t>
  </si>
  <si>
    <t>S289</t>
  </si>
  <si>
    <t>C1419</t>
  </si>
  <si>
    <t>P22411</t>
  </si>
  <si>
    <t>S521</t>
  </si>
  <si>
    <t>C4716</t>
  </si>
  <si>
    <t>P71949</t>
  </si>
  <si>
    <t>S282</t>
  </si>
  <si>
    <t>C9433</t>
  </si>
  <si>
    <t>P66532</t>
  </si>
  <si>
    <t>C5719</t>
  </si>
  <si>
    <t>P43361</t>
  </si>
  <si>
    <t>S843</t>
  </si>
  <si>
    <t>C7272</t>
  </si>
  <si>
    <t>P74641</t>
  </si>
  <si>
    <t>S671</t>
  </si>
  <si>
    <t>C8083</t>
  </si>
  <si>
    <t>P73936</t>
  </si>
  <si>
    <t>S186</t>
  </si>
  <si>
    <t>C1365</t>
  </si>
  <si>
    <t>P58355</t>
  </si>
  <si>
    <t>S750</t>
  </si>
  <si>
    <t>C8504</t>
  </si>
  <si>
    <t>P27630</t>
  </si>
  <si>
    <t>S747</t>
  </si>
  <si>
    <t>C9569</t>
  </si>
  <si>
    <t>P71558</t>
  </si>
  <si>
    <t>C8569</t>
  </si>
  <si>
    <t>P36806</t>
  </si>
  <si>
    <t>S764</t>
  </si>
  <si>
    <t>C6341</t>
  </si>
  <si>
    <t>P58758</t>
  </si>
  <si>
    <t>S138</t>
  </si>
  <si>
    <t>C9789</t>
  </si>
  <si>
    <t>P68005</t>
  </si>
  <si>
    <t>C9652</t>
  </si>
  <si>
    <t>P13754</t>
  </si>
  <si>
    <t>S520</t>
  </si>
  <si>
    <t>C9553</t>
  </si>
  <si>
    <t>P75095</t>
  </si>
  <si>
    <t>S228</t>
  </si>
  <si>
    <t>C3159</t>
  </si>
  <si>
    <t>P47900</t>
  </si>
  <si>
    <t>S492</t>
  </si>
  <si>
    <t>C2778</t>
  </si>
  <si>
    <t>P99822</t>
  </si>
  <si>
    <t>S169</t>
  </si>
  <si>
    <t>C3023</t>
  </si>
  <si>
    <t>P69796</t>
  </si>
  <si>
    <t>S301</t>
  </si>
  <si>
    <t>C7643</t>
  </si>
  <si>
    <t>P46727</t>
  </si>
  <si>
    <t>S865</t>
  </si>
  <si>
    <t>C1541</t>
  </si>
  <si>
    <t>P31817</t>
  </si>
  <si>
    <t>S216</t>
  </si>
  <si>
    <t>C2136</t>
  </si>
  <si>
    <t>P94730</t>
  </si>
  <si>
    <t>S575</t>
  </si>
  <si>
    <t>C3171</t>
  </si>
  <si>
    <t>P67418</t>
  </si>
  <si>
    <t>S970</t>
  </si>
  <si>
    <t>C2900</t>
  </si>
  <si>
    <t>P94530</t>
  </si>
  <si>
    <t>C3978</t>
  </si>
  <si>
    <t>P12839</t>
  </si>
  <si>
    <t>S412</t>
  </si>
  <si>
    <t>C5998</t>
  </si>
  <si>
    <t>P10162</t>
  </si>
  <si>
    <t>S319</t>
  </si>
  <si>
    <t>C1874</t>
  </si>
  <si>
    <t>P25892</t>
  </si>
  <si>
    <t>S295</t>
  </si>
  <si>
    <t>C4959</t>
  </si>
  <si>
    <t>P32669</t>
  </si>
  <si>
    <t>C7588</t>
  </si>
  <si>
    <t>P16304</t>
  </si>
  <si>
    <t>S277</t>
  </si>
  <si>
    <t>C2517</t>
  </si>
  <si>
    <t>P88021</t>
  </si>
  <si>
    <t>C9535</t>
  </si>
  <si>
    <t>P67326</t>
  </si>
  <si>
    <t>S393</t>
  </si>
  <si>
    <t>C6774</t>
  </si>
  <si>
    <t>P82055</t>
  </si>
  <si>
    <t>C8264</t>
  </si>
  <si>
    <t>P60729</t>
  </si>
  <si>
    <t>S326</t>
  </si>
  <si>
    <t>C1475</t>
  </si>
  <si>
    <t>P31800</t>
  </si>
  <si>
    <t>S263</t>
  </si>
  <si>
    <t>C5943</t>
  </si>
  <si>
    <t>P16530</t>
  </si>
  <si>
    <t>S976</t>
  </si>
  <si>
    <t>C7509</t>
  </si>
  <si>
    <t>P15906</t>
  </si>
  <si>
    <t>S643</t>
  </si>
  <si>
    <t>C2529</t>
  </si>
  <si>
    <t>P36170</t>
  </si>
  <si>
    <t>S346</t>
  </si>
  <si>
    <t>C1264</t>
  </si>
  <si>
    <t>P19587</t>
  </si>
  <si>
    <t>S585</t>
  </si>
  <si>
    <t>C7299</t>
  </si>
  <si>
    <t>P95751</t>
  </si>
  <si>
    <t>S317</t>
  </si>
  <si>
    <t>C2674</t>
  </si>
  <si>
    <t>P86637</t>
  </si>
  <si>
    <t>S882</t>
  </si>
  <si>
    <t>C6063</t>
  </si>
  <si>
    <t>P46598</t>
  </si>
  <si>
    <t>S954</t>
  </si>
  <si>
    <t>C5646</t>
  </si>
  <si>
    <t>P60939</t>
  </si>
  <si>
    <t>S944</t>
  </si>
  <si>
    <t>C6661</t>
  </si>
  <si>
    <t>P81678</t>
  </si>
  <si>
    <t>S945</t>
  </si>
  <si>
    <t>C6394</t>
  </si>
  <si>
    <t>P34264</t>
  </si>
  <si>
    <t>S383</t>
  </si>
  <si>
    <t>C1285</t>
  </si>
  <si>
    <t>P59416</t>
  </si>
  <si>
    <t>S419</t>
  </si>
  <si>
    <t>C8804</t>
  </si>
  <si>
    <t>P99709</t>
  </si>
  <si>
    <t>S697</t>
  </si>
  <si>
    <t>C1660</t>
  </si>
  <si>
    <t>P60500</t>
  </si>
  <si>
    <t>S403</t>
  </si>
  <si>
    <t>C2447</t>
  </si>
  <si>
    <t>P16581</t>
  </si>
  <si>
    <t>S687</t>
  </si>
  <si>
    <t>C2846</t>
  </si>
  <si>
    <t>P27862</t>
  </si>
  <si>
    <t>C5875</t>
  </si>
  <si>
    <t>P38933</t>
  </si>
  <si>
    <t>S829</t>
  </si>
  <si>
    <t>C6808</t>
  </si>
  <si>
    <t>P16796</t>
  </si>
  <si>
    <t>C6482</t>
  </si>
  <si>
    <t>P75333</t>
  </si>
  <si>
    <t>S481</t>
  </si>
  <si>
    <t>P91554</t>
  </si>
  <si>
    <t>S432</t>
  </si>
  <si>
    <t>C7246</t>
  </si>
  <si>
    <t>P13321</t>
  </si>
  <si>
    <t>S552</t>
  </si>
  <si>
    <t>C9611</t>
  </si>
  <si>
    <t>P26977</t>
  </si>
  <si>
    <t>S584</t>
  </si>
  <si>
    <t>C5658</t>
  </si>
  <si>
    <t>P86917</t>
  </si>
  <si>
    <t>S812</t>
  </si>
  <si>
    <t>C3466</t>
  </si>
  <si>
    <t>P12282</t>
  </si>
  <si>
    <t>S932</t>
  </si>
  <si>
    <t>C2130</t>
  </si>
  <si>
    <t>P46268</t>
  </si>
  <si>
    <t>S474</t>
  </si>
  <si>
    <t>C2141</t>
  </si>
  <si>
    <t>P93555</t>
  </si>
  <si>
    <t>C3011</t>
  </si>
  <si>
    <t>P54014</t>
  </si>
  <si>
    <t>S578</t>
  </si>
  <si>
    <t>C6744</t>
  </si>
  <si>
    <t>P93820</t>
  </si>
  <si>
    <t>S533</t>
  </si>
  <si>
    <t>C3309</t>
  </si>
  <si>
    <t>P89674</t>
  </si>
  <si>
    <t>S224</t>
  </si>
  <si>
    <t>C7344</t>
  </si>
  <si>
    <t>P28800</t>
  </si>
  <si>
    <t>S896</t>
  </si>
  <si>
    <t>C9556</t>
  </si>
  <si>
    <t>P96836</t>
  </si>
  <si>
    <t>S478</t>
  </si>
  <si>
    <t>C4456</t>
  </si>
  <si>
    <t>P40654</t>
  </si>
  <si>
    <t>S379</t>
  </si>
  <si>
    <t>C3834</t>
  </si>
  <si>
    <t>P87988</t>
  </si>
  <si>
    <t>S952</t>
  </si>
  <si>
    <t>C7538</t>
  </si>
  <si>
    <t>P36086</t>
  </si>
  <si>
    <t>C8166</t>
  </si>
  <si>
    <t>P88518</t>
  </si>
  <si>
    <t>S861</t>
  </si>
  <si>
    <t>C4802</t>
  </si>
  <si>
    <t>P31083</t>
  </si>
  <si>
    <t>S786</t>
  </si>
  <si>
    <t>C8661</t>
  </si>
  <si>
    <t>P60876</t>
  </si>
  <si>
    <t>S386</t>
  </si>
  <si>
    <t>C1695</t>
  </si>
  <si>
    <t>P68653</t>
  </si>
  <si>
    <t>S156</t>
  </si>
  <si>
    <t>C6668</t>
  </si>
  <si>
    <t>P96156</t>
  </si>
  <si>
    <t>C2381</t>
  </si>
  <si>
    <t>P76634</t>
  </si>
  <si>
    <t>S454</t>
  </si>
  <si>
    <t>C8913</t>
  </si>
  <si>
    <t>P66699</t>
  </si>
  <si>
    <t>S755</t>
  </si>
  <si>
    <t>C5727</t>
  </si>
  <si>
    <t>P63117</t>
  </si>
  <si>
    <t>S666</t>
  </si>
  <si>
    <t>C1182</t>
  </si>
  <si>
    <t>P17190</t>
  </si>
  <si>
    <t>C6590</t>
  </si>
  <si>
    <t>P66071</t>
  </si>
  <si>
    <t>S565</t>
  </si>
  <si>
    <t>C2809</t>
  </si>
  <si>
    <t>P78703</t>
  </si>
  <si>
    <t>S825</t>
  </si>
  <si>
    <t>C6738</t>
  </si>
  <si>
    <t>P42402</t>
  </si>
  <si>
    <t>S236</t>
  </si>
  <si>
    <t>C9662</t>
  </si>
  <si>
    <t>P49129</t>
  </si>
  <si>
    <t>C5888</t>
  </si>
  <si>
    <t>P85357</t>
  </si>
  <si>
    <t>C6777</t>
  </si>
  <si>
    <t>P15355</t>
  </si>
  <si>
    <t>S972</t>
  </si>
  <si>
    <t>C3005</t>
  </si>
  <si>
    <t>P61168</t>
  </si>
  <si>
    <t>S199</t>
  </si>
  <si>
    <t>C2461</t>
  </si>
  <si>
    <t>P64336</t>
  </si>
  <si>
    <t>S455</t>
  </si>
  <si>
    <t>C2815</t>
  </si>
  <si>
    <t>P46609</t>
  </si>
  <si>
    <t>S948</t>
  </si>
  <si>
    <t>C2401</t>
  </si>
  <si>
    <t>P95179</t>
  </si>
  <si>
    <t>S957</t>
  </si>
  <si>
    <t>C3792</t>
  </si>
  <si>
    <t>P40116</t>
  </si>
  <si>
    <t>S233</t>
  </si>
  <si>
    <t>C4718</t>
  </si>
  <si>
    <t>P66547</t>
  </si>
  <si>
    <t>S722</t>
  </si>
  <si>
    <t>C3204</t>
  </si>
  <si>
    <t>P97265</t>
  </si>
  <si>
    <t>S511</t>
  </si>
  <si>
    <t>C7683</t>
  </si>
  <si>
    <t>P59429</t>
  </si>
  <si>
    <t>S332</t>
  </si>
  <si>
    <t>P42430</t>
  </si>
  <si>
    <t>S663</t>
  </si>
  <si>
    <t>C3295</t>
  </si>
  <si>
    <t>P86721</t>
  </si>
  <si>
    <t>C2932</t>
  </si>
  <si>
    <t>P54254</t>
  </si>
  <si>
    <t>S833</t>
  </si>
  <si>
    <t>C3743</t>
  </si>
  <si>
    <t>P83402</t>
  </si>
  <si>
    <t>S189</t>
  </si>
  <si>
    <t>C9988</t>
  </si>
  <si>
    <t>P13642</t>
  </si>
  <si>
    <t>C7976</t>
  </si>
  <si>
    <t>P66746</t>
  </si>
  <si>
    <t>C9148</t>
  </si>
  <si>
    <t>P28601</t>
  </si>
  <si>
    <t>S863</t>
  </si>
  <si>
    <t>C8927</t>
  </si>
  <si>
    <t>P29702</t>
  </si>
  <si>
    <t>S766</t>
  </si>
  <si>
    <t>C4929</t>
  </si>
  <si>
    <t>P29149</t>
  </si>
  <si>
    <t>C4786</t>
  </si>
  <si>
    <t>P19256</t>
  </si>
  <si>
    <t>S204</t>
  </si>
  <si>
    <t>C2132</t>
  </si>
  <si>
    <t>P90070</t>
  </si>
  <si>
    <t>P23869</t>
  </si>
  <si>
    <t>S593</t>
  </si>
  <si>
    <t>C4075</t>
  </si>
  <si>
    <t>P71250</t>
  </si>
  <si>
    <t>S389</t>
  </si>
  <si>
    <t>P44148</t>
  </si>
  <si>
    <t>S924</t>
  </si>
  <si>
    <t>C4240</t>
  </si>
  <si>
    <t>P36564</t>
  </si>
  <si>
    <t>S442</t>
  </si>
  <si>
    <t>C6141</t>
  </si>
  <si>
    <t>P38884</t>
  </si>
  <si>
    <t>S409</t>
  </si>
  <si>
    <t>C3832</t>
  </si>
  <si>
    <t>P97599</t>
  </si>
  <si>
    <t>S535</t>
  </si>
  <si>
    <t>P95774</t>
  </si>
  <si>
    <t>S195</t>
  </si>
  <si>
    <t>C6260</t>
  </si>
  <si>
    <t>P72021</t>
  </si>
  <si>
    <t>S361</t>
  </si>
  <si>
    <t>C4171</t>
  </si>
  <si>
    <t>P60719</t>
  </si>
  <si>
    <t>S963</t>
  </si>
  <si>
    <t>C4922</t>
  </si>
  <si>
    <t>P80533</t>
  </si>
  <si>
    <t>S988</t>
  </si>
  <si>
    <t>C4663</t>
  </si>
  <si>
    <t>P14986</t>
  </si>
  <si>
    <t>S654</t>
  </si>
  <si>
    <t>C8951</t>
  </si>
  <si>
    <t>P21254</t>
  </si>
  <si>
    <t>S694</t>
  </si>
  <si>
    <t>C9708</t>
  </si>
  <si>
    <t>P20808</t>
  </si>
  <si>
    <t>C7432</t>
  </si>
  <si>
    <t>P56220</t>
  </si>
  <si>
    <t>S183</t>
  </si>
  <si>
    <t>C7361</t>
  </si>
  <si>
    <t>P64845</t>
  </si>
  <si>
    <t>S768</t>
  </si>
  <si>
    <t>C8162</t>
  </si>
  <si>
    <t>P69778</t>
  </si>
  <si>
    <t>S877</t>
  </si>
  <si>
    <t>C7163</t>
  </si>
  <si>
    <t>P91882</t>
  </si>
  <si>
    <t>S652</t>
  </si>
  <si>
    <t>C8519</t>
  </si>
  <si>
    <t>P55800</t>
  </si>
  <si>
    <t>S542</t>
  </si>
  <si>
    <t>C2271</t>
  </si>
  <si>
    <t>P11813</t>
  </si>
  <si>
    <t>S967</t>
  </si>
  <si>
    <t>C3093</t>
  </si>
  <si>
    <t>P22905</t>
  </si>
  <si>
    <t>C9264</t>
  </si>
  <si>
    <t>P78498</t>
  </si>
  <si>
    <t>S347</t>
  </si>
  <si>
    <t>C5164</t>
  </si>
  <si>
    <t>P15039</t>
  </si>
  <si>
    <t>C5370</t>
  </si>
  <si>
    <t>P15283</t>
  </si>
  <si>
    <t>C8786</t>
  </si>
  <si>
    <t>P18024</t>
  </si>
  <si>
    <t>S394</t>
  </si>
  <si>
    <t>C3041</t>
  </si>
  <si>
    <t>P59831</t>
  </si>
  <si>
    <t>S519</t>
  </si>
  <si>
    <t>C9326</t>
  </si>
  <si>
    <t>P64122</t>
  </si>
  <si>
    <t>S921</t>
  </si>
  <si>
    <t>C1644</t>
  </si>
  <si>
    <t>P45529</t>
  </si>
  <si>
    <t>C1060</t>
  </si>
  <si>
    <t>P36489</t>
  </si>
  <si>
    <t>S151</t>
  </si>
  <si>
    <t>C8024</t>
  </si>
  <si>
    <t>P10136</t>
  </si>
  <si>
    <t>S105</t>
  </si>
  <si>
    <t>C2700</t>
  </si>
  <si>
    <t>P33199</t>
  </si>
  <si>
    <t>S657</t>
  </si>
  <si>
    <t>C5733</t>
  </si>
  <si>
    <t>P40954</t>
  </si>
  <si>
    <t>S515</t>
  </si>
  <si>
    <t>C1146</t>
  </si>
  <si>
    <t>P57221</t>
  </si>
  <si>
    <t>C9640</t>
  </si>
  <si>
    <t>P40049</t>
  </si>
  <si>
    <t>S598</t>
  </si>
  <si>
    <t>C6126</t>
  </si>
  <si>
    <t>P40009</t>
  </si>
  <si>
    <t>S916</t>
  </si>
  <si>
    <t>C4893</t>
  </si>
  <si>
    <t>P52056</t>
  </si>
  <si>
    <t>S731</t>
  </si>
  <si>
    <t>C6057</t>
  </si>
  <si>
    <t>P14994</t>
  </si>
  <si>
    <t>S238</t>
  </si>
  <si>
    <t>C5780</t>
  </si>
  <si>
    <t>P46945</t>
  </si>
  <si>
    <t>S933</t>
  </si>
  <si>
    <t>C6626</t>
  </si>
  <si>
    <t>P34123</t>
  </si>
  <si>
    <t>S983</t>
  </si>
  <si>
    <t>C6167</t>
  </si>
  <si>
    <t>P31639</t>
  </si>
  <si>
    <t>S300</t>
  </si>
  <si>
    <t>C3942</t>
  </si>
  <si>
    <t>P44693</t>
  </si>
  <si>
    <t>S541</t>
  </si>
  <si>
    <t>C4516</t>
  </si>
  <si>
    <t>P49178</t>
  </si>
  <si>
    <t>S153</t>
  </si>
  <si>
    <t>C7539</t>
  </si>
  <si>
    <t>P59522</t>
  </si>
  <si>
    <t>C7111</t>
  </si>
  <si>
    <t>P47019</t>
  </si>
  <si>
    <t>S477</t>
  </si>
  <si>
    <t>C7483</t>
  </si>
  <si>
    <t>P10203</t>
  </si>
  <si>
    <t>S260</t>
  </si>
  <si>
    <t>C3103</t>
  </si>
  <si>
    <t>P75901</t>
  </si>
  <si>
    <t>S798</t>
  </si>
  <si>
    <t>C9490</t>
  </si>
  <si>
    <t>P43724</t>
  </si>
  <si>
    <t>S898</t>
  </si>
  <si>
    <t>C7644</t>
  </si>
  <si>
    <t>P42933</t>
  </si>
  <si>
    <t>S514</t>
  </si>
  <si>
    <t>C1067</t>
  </si>
  <si>
    <t>P85324</t>
  </si>
  <si>
    <t>S640</t>
  </si>
  <si>
    <t>C8876</t>
  </si>
  <si>
    <t>P78798</t>
  </si>
  <si>
    <t>S414</t>
  </si>
  <si>
    <t>C7837</t>
  </si>
  <si>
    <t>P73185</t>
  </si>
  <si>
    <t>S987</t>
  </si>
  <si>
    <t>C7982</t>
  </si>
  <si>
    <t>P49104</t>
  </si>
  <si>
    <t>S754</t>
  </si>
  <si>
    <t>C2319</t>
  </si>
  <si>
    <t>P76677</t>
  </si>
  <si>
    <t>C7055</t>
  </si>
  <si>
    <t>P86949</t>
  </si>
  <si>
    <t>S759</t>
  </si>
  <si>
    <t>C8382</t>
  </si>
  <si>
    <t>P98151</t>
  </si>
  <si>
    <t>S355</t>
  </si>
  <si>
    <t>C6750</t>
  </si>
  <si>
    <t>P88768</t>
  </si>
  <si>
    <t>S884</t>
  </si>
  <si>
    <t>C7628</t>
  </si>
  <si>
    <t>P29539</t>
  </si>
  <si>
    <t>S998</t>
  </si>
  <si>
    <t>C8587</t>
  </si>
  <si>
    <t>P67980</t>
  </si>
  <si>
    <t>S112</t>
  </si>
  <si>
    <t>P13373</t>
  </si>
  <si>
    <t>C8657</t>
  </si>
  <si>
    <t>P40134</t>
  </si>
  <si>
    <t>C4103</t>
  </si>
  <si>
    <t>P96055</t>
  </si>
  <si>
    <t>C8185</t>
  </si>
  <si>
    <t>P21151</t>
  </si>
  <si>
    <t>S538</t>
  </si>
  <si>
    <t>C2881</t>
  </si>
  <si>
    <t>P43037</t>
  </si>
  <si>
    <t>S706</t>
  </si>
  <si>
    <t>C8579</t>
  </si>
  <si>
    <t>P60818</t>
  </si>
  <si>
    <t>S336</t>
  </si>
  <si>
    <t>C5482</t>
  </si>
  <si>
    <t>P24079</t>
  </si>
  <si>
    <t>C7531</t>
  </si>
  <si>
    <t>P63772</t>
  </si>
  <si>
    <t>C5204</t>
  </si>
  <si>
    <t>P87485</t>
  </si>
  <si>
    <t>S427</t>
  </si>
  <si>
    <t>C4357</t>
  </si>
  <si>
    <t>P76406</t>
  </si>
  <si>
    <t>C1142</t>
  </si>
  <si>
    <t>P41923</t>
  </si>
  <si>
    <t>S813</t>
  </si>
  <si>
    <t>C4791</t>
  </si>
  <si>
    <t>P46639</t>
  </si>
  <si>
    <t>C7416</t>
  </si>
  <si>
    <t>P85476</t>
  </si>
  <si>
    <t>C2874</t>
  </si>
  <si>
    <t>P51830</t>
  </si>
  <si>
    <t>S767</t>
  </si>
  <si>
    <t>C3105</t>
  </si>
  <si>
    <t>P10307</t>
  </si>
  <si>
    <t>S669</t>
  </si>
  <si>
    <t>C3863</t>
  </si>
  <si>
    <t>P42551</t>
  </si>
  <si>
    <t>S708</t>
  </si>
  <si>
    <t>C6698</t>
  </si>
  <si>
    <t>P76809</t>
  </si>
  <si>
    <t>S609</t>
  </si>
  <si>
    <t>C7305</t>
  </si>
  <si>
    <t>P28782</t>
  </si>
  <si>
    <t>C6552</t>
  </si>
  <si>
    <t>P76163</t>
  </si>
  <si>
    <t>C3672</t>
  </si>
  <si>
    <t>P66683</t>
  </si>
  <si>
    <t>C4783</t>
  </si>
  <si>
    <t>P65798</t>
  </si>
  <si>
    <t>C8616</t>
  </si>
  <si>
    <t>P24011</t>
  </si>
  <si>
    <t>S918</t>
  </si>
  <si>
    <t>C3504</t>
  </si>
  <si>
    <t>P51574</t>
  </si>
  <si>
    <t>P44217</t>
  </si>
  <si>
    <t>S504</t>
  </si>
  <si>
    <t>C5524</t>
  </si>
  <si>
    <t>P71602</t>
  </si>
  <si>
    <t>S465</t>
  </si>
  <si>
    <t>C8984</t>
  </si>
  <si>
    <t>P75942</t>
  </si>
  <si>
    <t>C8566</t>
  </si>
  <si>
    <t>P22306</t>
  </si>
  <si>
    <t>S674</t>
  </si>
  <si>
    <t>C7524</t>
  </si>
  <si>
    <t>P71584</t>
  </si>
  <si>
    <t>S426</t>
  </si>
  <si>
    <t>C5827</t>
  </si>
  <si>
    <t>P72653</t>
  </si>
  <si>
    <t>S487</t>
  </si>
  <si>
    <t>C4847</t>
  </si>
  <si>
    <t>P65878</t>
  </si>
  <si>
    <t>S603</t>
  </si>
  <si>
    <t>C5266</t>
  </si>
  <si>
    <t>P50317</t>
  </si>
  <si>
    <t>S272</t>
  </si>
  <si>
    <t>C7009</t>
  </si>
  <si>
    <t>P14552</t>
  </si>
  <si>
    <t>S840</t>
  </si>
  <si>
    <t>C1725</t>
  </si>
  <si>
    <t>P53461</t>
  </si>
  <si>
    <t>S390</t>
  </si>
  <si>
    <t>C2814</t>
  </si>
  <si>
    <t>P88537</t>
  </si>
  <si>
    <t>S182</t>
  </si>
  <si>
    <t>C7782</t>
  </si>
  <si>
    <t>P35933</t>
  </si>
  <si>
    <t>C7401</t>
  </si>
  <si>
    <t>P57947</t>
  </si>
  <si>
    <t>S220</t>
  </si>
  <si>
    <t>C9430</t>
  </si>
  <si>
    <t>P32831</t>
  </si>
  <si>
    <t>S397</t>
  </si>
  <si>
    <t>C2789</t>
  </si>
  <si>
    <t>P38202</t>
  </si>
  <si>
    <t>C1969</t>
  </si>
  <si>
    <t>P76630</t>
  </si>
  <si>
    <t>S279</t>
  </si>
  <si>
    <t>C8478</t>
  </si>
  <si>
    <t>P89507</t>
  </si>
  <si>
    <t>S380</t>
  </si>
  <si>
    <t>C2909</t>
  </si>
  <si>
    <t>P16364</t>
  </si>
  <si>
    <t>C9579</t>
  </si>
  <si>
    <t>P13121</t>
  </si>
  <si>
    <t>S949</t>
  </si>
  <si>
    <t>C6308</t>
  </si>
  <si>
    <t>P56418</t>
  </si>
  <si>
    <t>C4178</t>
  </si>
  <si>
    <t>P41831</t>
  </si>
  <si>
    <t>C6505</t>
  </si>
  <si>
    <t>P58899</t>
  </si>
  <si>
    <t>S207</t>
  </si>
  <si>
    <t>C3077</t>
  </si>
  <si>
    <t>P89443</t>
  </si>
  <si>
    <t>S777</t>
  </si>
  <si>
    <t>C2269</t>
  </si>
  <si>
    <t>P50469</t>
  </si>
  <si>
    <t>C4809</t>
  </si>
  <si>
    <t>P32191</t>
  </si>
  <si>
    <t>S887</t>
  </si>
  <si>
    <t>C3172</t>
  </si>
  <si>
    <t>P26663</t>
  </si>
  <si>
    <t>S721</t>
  </si>
  <si>
    <t>C5535</t>
  </si>
  <si>
    <t>P78312</t>
  </si>
  <si>
    <t>C6874</t>
  </si>
  <si>
    <t>P81117</t>
  </si>
  <si>
    <t>C7638</t>
  </si>
  <si>
    <t>P47419</t>
  </si>
  <si>
    <t>C6229</t>
  </si>
  <si>
    <t>P91845</t>
  </si>
  <si>
    <t>C5932</t>
  </si>
  <si>
    <t>P94698</t>
  </si>
  <si>
    <t>S700</t>
  </si>
  <si>
    <t>C2581</t>
  </si>
  <si>
    <t>P44754</t>
  </si>
  <si>
    <t>S292</t>
  </si>
  <si>
    <t>C6594</t>
  </si>
  <si>
    <t>P17371</t>
  </si>
  <si>
    <t>C2499</t>
  </si>
  <si>
    <t>P53059</t>
  </si>
  <si>
    <t>S210</t>
  </si>
  <si>
    <t>C5306</t>
  </si>
  <si>
    <t>P94719</t>
  </si>
  <si>
    <t>S650</t>
  </si>
  <si>
    <t>C9105</t>
  </si>
  <si>
    <t>P93163</t>
  </si>
  <si>
    <t>S676</t>
  </si>
  <si>
    <t>C9106</t>
  </si>
  <si>
    <t>P87362</t>
  </si>
  <si>
    <t>S728</t>
  </si>
  <si>
    <t>C7448</t>
  </si>
  <si>
    <t>P89878</t>
  </si>
  <si>
    <t>C8008</t>
  </si>
  <si>
    <t>P58291</t>
  </si>
  <si>
    <t>S881</t>
  </si>
  <si>
    <t>C1506</t>
  </si>
  <si>
    <t>P25540</t>
  </si>
  <si>
    <t>S675</t>
  </si>
  <si>
    <t>C7106</t>
  </si>
  <si>
    <t>P55875</t>
  </si>
  <si>
    <t>C1919</t>
  </si>
  <si>
    <t>P22242</t>
  </si>
  <si>
    <t>S391</t>
  </si>
  <si>
    <t>C8354</t>
  </si>
  <si>
    <t>P40979</t>
  </si>
  <si>
    <t>C1692</t>
  </si>
  <si>
    <t>P38926</t>
  </si>
  <si>
    <t>C8933</t>
  </si>
  <si>
    <t>P50696</t>
  </si>
  <si>
    <t>S132</t>
  </si>
  <si>
    <t>C6811</t>
  </si>
  <si>
    <t>P15606</t>
  </si>
  <si>
    <t>S984</t>
  </si>
  <si>
    <t>C7748</t>
  </si>
  <si>
    <t>P27857</t>
  </si>
  <si>
    <t>C7559</t>
  </si>
  <si>
    <t>P94694</t>
  </si>
  <si>
    <t>S296</t>
  </si>
  <si>
    <t>C9220</t>
  </si>
  <si>
    <t>P90846</t>
  </si>
  <si>
    <t>S134</t>
  </si>
  <si>
    <t>C9022</t>
  </si>
  <si>
    <t>P21279</t>
  </si>
  <si>
    <t>C3313</t>
  </si>
  <si>
    <t>P85242</t>
  </si>
  <si>
    <t>S307</t>
  </si>
  <si>
    <t>C6649</t>
  </si>
  <si>
    <t>P62413</t>
  </si>
  <si>
    <t>S240</t>
  </si>
  <si>
    <t>C8235</t>
  </si>
  <si>
    <t>P92733</t>
  </si>
  <si>
    <t>C9558</t>
  </si>
  <si>
    <t>P94817</t>
  </si>
  <si>
    <t>S165</t>
  </si>
  <si>
    <t>C6428</t>
  </si>
  <si>
    <t>P49449</t>
  </si>
  <si>
    <t>S849</t>
  </si>
  <si>
    <t>C5534</t>
  </si>
  <si>
    <t>P38379</t>
  </si>
  <si>
    <t>C2366</t>
  </si>
  <si>
    <t>P51979</t>
  </si>
  <si>
    <t>C7040</t>
  </si>
  <si>
    <t>P20304</t>
  </si>
  <si>
    <t>S745</t>
  </si>
  <si>
    <t>C6014</t>
  </si>
  <si>
    <t>P44650</t>
  </si>
  <si>
    <t>S912</t>
  </si>
  <si>
    <t>C8257</t>
  </si>
  <si>
    <t>P12159</t>
  </si>
  <si>
    <t>C3296</t>
  </si>
  <si>
    <t>P94517</t>
  </si>
  <si>
    <t>S174</t>
  </si>
  <si>
    <t>C7115</t>
  </si>
  <si>
    <t>P61628</t>
  </si>
  <si>
    <t>S607</t>
  </si>
  <si>
    <t>C5576</t>
  </si>
  <si>
    <t>P93791</t>
  </si>
  <si>
    <t>S847</t>
  </si>
  <si>
    <t>C2033</t>
  </si>
  <si>
    <t>P57645</t>
  </si>
  <si>
    <t>S855</t>
  </si>
  <si>
    <t>C9334</t>
  </si>
  <si>
    <t>P34162</t>
  </si>
  <si>
    <t>C1066</t>
  </si>
  <si>
    <t>P55246</t>
  </si>
  <si>
    <t>C1571</t>
  </si>
  <si>
    <t>P27174</t>
  </si>
  <si>
    <t>S714</t>
  </si>
  <si>
    <t>C5588</t>
  </si>
  <si>
    <t>P82833</t>
  </si>
  <si>
    <t>P10893</t>
  </si>
  <si>
    <t>S466</t>
  </si>
  <si>
    <t>C8686</t>
  </si>
  <si>
    <t>P41186</t>
  </si>
  <si>
    <t>S404</t>
  </si>
  <si>
    <t>C7691</t>
  </si>
  <si>
    <t>P71957</t>
  </si>
  <si>
    <t>S314</t>
  </si>
  <si>
    <t>P16221</t>
  </si>
  <si>
    <t>S701</t>
  </si>
  <si>
    <t>C4968</t>
  </si>
  <si>
    <t>P12716</t>
  </si>
  <si>
    <t>S290</t>
  </si>
  <si>
    <t>C5938</t>
  </si>
  <si>
    <t>P48185</t>
  </si>
  <si>
    <t>C9802</t>
  </si>
  <si>
    <t>P83843</t>
  </si>
  <si>
    <t>S369</t>
  </si>
  <si>
    <t>C4150</t>
  </si>
  <si>
    <t>P25386</t>
  </si>
  <si>
    <t>S370</t>
  </si>
  <si>
    <t>C2907</t>
  </si>
  <si>
    <t>P39424</t>
  </si>
  <si>
    <t>S880</t>
  </si>
  <si>
    <t>C5487</t>
  </si>
  <si>
    <t>P24645</t>
  </si>
  <si>
    <t>S485</t>
  </si>
  <si>
    <t>C7768</t>
  </si>
  <si>
    <t>P19130</t>
  </si>
  <si>
    <t>S372</t>
  </si>
  <si>
    <t>P76985</t>
  </si>
  <si>
    <t>S796</t>
  </si>
  <si>
    <t>C8104</t>
  </si>
  <si>
    <t>P10215</t>
  </si>
  <si>
    <t>S231</t>
  </si>
  <si>
    <t>C5567</t>
  </si>
  <si>
    <t>P84807</t>
  </si>
  <si>
    <t>S724</t>
  </si>
  <si>
    <t>C4779</t>
  </si>
  <si>
    <t>P52818</t>
  </si>
  <si>
    <t>S170</t>
  </si>
  <si>
    <t>C8465</t>
  </si>
  <si>
    <t>P66754</t>
  </si>
  <si>
    <t>S795</t>
  </si>
  <si>
    <t>C4768</t>
  </si>
  <si>
    <t>P51910</t>
  </si>
  <si>
    <t>C5368</t>
  </si>
  <si>
    <t>P37094</t>
  </si>
  <si>
    <t>S306</t>
  </si>
  <si>
    <t>C7362</t>
  </si>
  <si>
    <t>P84219</t>
  </si>
  <si>
    <t>S990</t>
  </si>
  <si>
    <t>C6966</t>
  </si>
  <si>
    <t>P49725</t>
  </si>
  <si>
    <t>S551</t>
  </si>
  <si>
    <t>C9320</t>
  </si>
  <si>
    <t>P59589</t>
  </si>
  <si>
    <t>S850</t>
  </si>
  <si>
    <t>C1547</t>
  </si>
  <si>
    <t>P86396</t>
  </si>
  <si>
    <t>C9737</t>
  </si>
  <si>
    <t>P73656</t>
  </si>
  <si>
    <t>S780</t>
  </si>
  <si>
    <t>C4161</t>
  </si>
  <si>
    <t>P14321</t>
  </si>
  <si>
    <t>C4565</t>
  </si>
  <si>
    <t>P30977</t>
  </si>
  <si>
    <t>C5522</t>
  </si>
  <si>
    <t>P29572</t>
  </si>
  <si>
    <t>S265</t>
  </si>
  <si>
    <t>C5212</t>
  </si>
  <si>
    <t>P33345</t>
  </si>
  <si>
    <t>S467</t>
  </si>
  <si>
    <t>C2552</t>
  </si>
  <si>
    <t>P61272</t>
  </si>
  <si>
    <t>S113</t>
  </si>
  <si>
    <t>C1996</t>
  </si>
  <si>
    <t>P36870</t>
  </si>
  <si>
    <t>S630</t>
  </si>
  <si>
    <t>C9096</t>
  </si>
  <si>
    <t>P57691</t>
  </si>
  <si>
    <t>S276</t>
  </si>
  <si>
    <t>C2212</t>
  </si>
  <si>
    <t>P66117</t>
  </si>
  <si>
    <t>S929</t>
  </si>
  <si>
    <t>C3713</t>
  </si>
  <si>
    <t>P55254</t>
  </si>
  <si>
    <t>C9747</t>
  </si>
  <si>
    <t>P97968</t>
  </si>
  <si>
    <t>C4276</t>
  </si>
  <si>
    <t>P57894</t>
  </si>
  <si>
    <t>S436</t>
  </si>
  <si>
    <t>C2532</t>
  </si>
  <si>
    <t>P97173</t>
  </si>
  <si>
    <t>S291</t>
  </si>
  <si>
    <t>C7500</t>
  </si>
  <si>
    <t>P27199</t>
  </si>
  <si>
    <t>S746</t>
  </si>
  <si>
    <t>C5500</t>
  </si>
  <si>
    <t>P76708</t>
  </si>
  <si>
    <t>P82201</t>
  </si>
  <si>
    <t>S733</t>
  </si>
  <si>
    <t>C3244</t>
  </si>
  <si>
    <t>P78619</t>
  </si>
  <si>
    <t>S180</t>
  </si>
  <si>
    <t>C1739</t>
  </si>
  <si>
    <t>P77081</t>
  </si>
  <si>
    <t>S568</t>
  </si>
  <si>
    <t>C7998</t>
  </si>
  <si>
    <t>P41624</t>
  </si>
  <si>
    <t>C6367</t>
  </si>
  <si>
    <t>P26453</t>
  </si>
  <si>
    <t>C8347</t>
  </si>
  <si>
    <t>P24249</t>
  </si>
  <si>
    <t>C8072</t>
  </si>
  <si>
    <t>P61428</t>
  </si>
  <si>
    <t>S325</t>
  </si>
  <si>
    <t>C9368</t>
  </si>
  <si>
    <t>P62409</t>
  </si>
  <si>
    <t>C3880</t>
  </si>
  <si>
    <t>P96807</t>
  </si>
  <si>
    <t>S645</t>
  </si>
  <si>
    <t>C4326</t>
  </si>
  <si>
    <t>P13659</t>
  </si>
  <si>
    <t>S997</t>
  </si>
  <si>
    <t>C4044</t>
  </si>
  <si>
    <t>P85148</t>
  </si>
  <si>
    <t>C4823</t>
  </si>
  <si>
    <t>P58867</t>
  </si>
  <si>
    <t>C3508</t>
  </si>
  <si>
    <t>P63910</t>
  </si>
  <si>
    <t>S734</t>
  </si>
  <si>
    <t>C3803</t>
  </si>
  <si>
    <t>P21957</t>
  </si>
  <si>
    <t>C1544</t>
  </si>
  <si>
    <t>P38742</t>
  </si>
  <si>
    <t>S667</t>
  </si>
  <si>
    <t>C4985</t>
  </si>
  <si>
    <t>P39475</t>
  </si>
  <si>
    <t>C2997</t>
  </si>
  <si>
    <t>P84499</t>
  </si>
  <si>
    <t>S960</t>
  </si>
  <si>
    <t>C5951</t>
  </si>
  <si>
    <t>P38333</t>
  </si>
  <si>
    <t>S269</t>
  </si>
  <si>
    <t>C1246</t>
  </si>
  <si>
    <t>P12429</t>
  </si>
  <si>
    <t>S338</t>
  </si>
  <si>
    <t>C5573</t>
  </si>
  <si>
    <t>P25339</t>
  </si>
  <si>
    <t>C4317</t>
  </si>
  <si>
    <t>P54980</t>
  </si>
  <si>
    <t>C1867</t>
  </si>
  <si>
    <t>P89315</t>
  </si>
  <si>
    <t>S919</t>
  </si>
  <si>
    <t>C1452</t>
  </si>
  <si>
    <t>P54921</t>
  </si>
  <si>
    <t>S493</t>
  </si>
  <si>
    <t>C4129</t>
  </si>
  <si>
    <t>P25032</t>
  </si>
  <si>
    <t>S673</t>
  </si>
  <si>
    <t>C4875</t>
  </si>
  <si>
    <t>P91515</t>
  </si>
  <si>
    <t>S365</t>
  </si>
  <si>
    <t>C9347</t>
  </si>
  <si>
    <t>P93732</t>
  </si>
  <si>
    <t>S629</t>
  </si>
  <si>
    <t>C5332</t>
  </si>
  <si>
    <t>P24390</t>
  </si>
  <si>
    <t>C7354</t>
  </si>
  <si>
    <t>P84231</t>
  </si>
  <si>
    <t>S217</t>
  </si>
  <si>
    <t>C6585</t>
  </si>
  <si>
    <t>P31876</t>
  </si>
  <si>
    <t>S857</t>
  </si>
  <si>
    <t>C9498</t>
  </si>
  <si>
    <t>P61012</t>
  </si>
  <si>
    <t>S245</t>
  </si>
  <si>
    <t>P44812</t>
  </si>
  <si>
    <t>S518</t>
  </si>
  <si>
    <t>C8194</t>
  </si>
  <si>
    <t>P81387</t>
  </si>
  <si>
    <t>C7856</t>
  </si>
  <si>
    <t>P41213</t>
  </si>
  <si>
    <t>C5911</t>
  </si>
  <si>
    <t>P23180</t>
  </si>
  <si>
    <t>C6003</t>
  </si>
  <si>
    <t>P67190</t>
  </si>
  <si>
    <t>S757</t>
  </si>
  <si>
    <t>C4250</t>
  </si>
  <si>
    <t>P18061</t>
  </si>
  <si>
    <t>S517</t>
  </si>
  <si>
    <t>C9879</t>
  </si>
  <si>
    <t>P85020</t>
  </si>
  <si>
    <t>S475</t>
  </si>
  <si>
    <t>C4557</t>
  </si>
  <si>
    <t>P79123</t>
  </si>
  <si>
    <t>S251</t>
  </si>
  <si>
    <t>C1845</t>
  </si>
  <si>
    <t>P73749</t>
  </si>
  <si>
    <t>C3486</t>
  </si>
  <si>
    <t>P18418</t>
  </si>
  <si>
    <t>S543</t>
  </si>
  <si>
    <t>C7183</t>
  </si>
  <si>
    <t>P13407</t>
  </si>
  <si>
    <t>S739</t>
  </si>
  <si>
    <t>C5934</t>
  </si>
  <si>
    <t>P13880</t>
  </si>
  <si>
    <t>S546</t>
  </si>
  <si>
    <t>C6210</t>
  </si>
  <si>
    <t>P63997</t>
  </si>
  <si>
    <t>C8406</t>
  </si>
  <si>
    <t>P36756</t>
  </si>
  <si>
    <t>S885</t>
  </si>
  <si>
    <t>C1821</t>
  </si>
  <si>
    <t>P66677</t>
  </si>
  <si>
    <t>C4933</t>
  </si>
  <si>
    <t>P13385</t>
  </si>
  <si>
    <t>S592</t>
  </si>
  <si>
    <t>C9540</t>
  </si>
  <si>
    <t>P47500</t>
  </si>
  <si>
    <t>S278</t>
  </si>
  <si>
    <t>C7878</t>
  </si>
  <si>
    <t>P27509</t>
  </si>
  <si>
    <t>S145</t>
  </si>
  <si>
    <t>C8653</t>
  </si>
  <si>
    <t>P84323</t>
  </si>
  <si>
    <t>S802</t>
  </si>
  <si>
    <t>C4185</t>
  </si>
  <si>
    <t>P41819</t>
  </si>
  <si>
    <t>C5366</t>
  </si>
  <si>
    <t>P98719</t>
  </si>
  <si>
    <t>S356</t>
  </si>
  <si>
    <t>C9186</t>
  </si>
  <si>
    <t>P96373</t>
  </si>
  <si>
    <t>S273</t>
  </si>
  <si>
    <t>C1604</t>
  </si>
  <si>
    <t>P71192</t>
  </si>
  <si>
    <t>C5468</t>
  </si>
  <si>
    <t>P86000</t>
  </si>
  <si>
    <t>C1282</t>
  </si>
  <si>
    <t>P76617</t>
  </si>
  <si>
    <t>S913</t>
  </si>
  <si>
    <t>C4670</t>
  </si>
  <si>
    <t>P12251</t>
  </si>
  <si>
    <t>S761</t>
  </si>
  <si>
    <t>C5141</t>
  </si>
  <si>
    <t>P33350</t>
  </si>
  <si>
    <t>S430</t>
  </si>
  <si>
    <t>C3063</t>
  </si>
  <si>
    <t>P76830</t>
  </si>
  <si>
    <t>C4787</t>
  </si>
  <si>
    <t>P21801</t>
  </si>
  <si>
    <t>C2356</t>
  </si>
  <si>
    <t>P62224</t>
  </si>
  <si>
    <t>S287</t>
  </si>
  <si>
    <t>P48259</t>
  </si>
  <si>
    <t>S456</t>
  </si>
  <si>
    <t>C8979</t>
  </si>
  <si>
    <t>P56694</t>
  </si>
  <si>
    <t>S658</t>
  </si>
  <si>
    <t>C1237</t>
  </si>
  <si>
    <t>P41629</t>
  </si>
  <si>
    <t>S158</t>
  </si>
  <si>
    <t>C6507</t>
  </si>
  <si>
    <t>P96155</t>
  </si>
  <si>
    <t>C5067</t>
  </si>
  <si>
    <t>P69025</t>
  </si>
  <si>
    <t>C6560</t>
  </si>
  <si>
    <t>P46784</t>
  </si>
  <si>
    <t>C8141</t>
  </si>
  <si>
    <t>P67804</t>
  </si>
  <si>
    <t>S807</t>
  </si>
  <si>
    <t>C5674</t>
  </si>
  <si>
    <t>P44929</t>
  </si>
  <si>
    <t>S303</t>
  </si>
  <si>
    <t>C2164</t>
  </si>
  <si>
    <t>P25078</t>
  </si>
  <si>
    <t>S399</t>
  </si>
  <si>
    <t>C2645</t>
  </si>
  <si>
    <t>P56660</t>
  </si>
  <si>
    <t>S157</t>
  </si>
  <si>
    <t>C3073</t>
  </si>
  <si>
    <t>P59464</t>
  </si>
  <si>
    <t>S225</t>
  </si>
  <si>
    <t>C3147</t>
  </si>
  <si>
    <t>P48445</t>
  </si>
  <si>
    <t>S655</t>
  </si>
  <si>
    <t>C8282</t>
  </si>
  <si>
    <t>P91171</t>
  </si>
  <si>
    <t>S587</t>
  </si>
  <si>
    <t>C5264</t>
  </si>
  <si>
    <t>P50736</t>
  </si>
  <si>
    <t>S328</t>
  </si>
  <si>
    <t>P97904</t>
  </si>
  <si>
    <t>S846</t>
  </si>
  <si>
    <t>C1677</t>
  </si>
  <si>
    <t>P75641</t>
  </si>
  <si>
    <t>S315</t>
  </si>
  <si>
    <t>C5869</t>
  </si>
  <si>
    <t>P60713</t>
  </si>
  <si>
    <t>S751</t>
  </si>
  <si>
    <t>C8064</t>
  </si>
  <si>
    <t>P55836</t>
  </si>
  <si>
    <t>C6579</t>
  </si>
  <si>
    <t>P96148</t>
  </si>
  <si>
    <t>S934</t>
  </si>
  <si>
    <t>C4170</t>
  </si>
  <si>
    <t>P68773</t>
  </si>
  <si>
    <t>C1754</t>
  </si>
  <si>
    <t>P35345</t>
  </si>
  <si>
    <t>S763</t>
  </si>
  <si>
    <t>C2416</t>
  </si>
  <si>
    <t>P83302</t>
  </si>
  <si>
    <t>S248</t>
  </si>
  <si>
    <t>C1075</t>
  </si>
  <si>
    <t>P96246</t>
  </si>
  <si>
    <t>S815</t>
  </si>
  <si>
    <t>P84400</t>
  </si>
  <si>
    <t>S522</t>
  </si>
  <si>
    <t>C3739</t>
  </si>
  <si>
    <t>P33806</t>
  </si>
  <si>
    <t>S416</t>
  </si>
  <si>
    <t>C8727</t>
  </si>
  <si>
    <t>P43688</t>
  </si>
  <si>
    <t>C4543</t>
  </si>
  <si>
    <t>P54135</t>
  </si>
  <si>
    <t>C1727</t>
  </si>
  <si>
    <t>P31359</t>
  </si>
  <si>
    <t>S914</t>
  </si>
  <si>
    <t>C6424</t>
  </si>
  <si>
    <t>P30625</t>
  </si>
  <si>
    <t>S874</t>
  </si>
  <si>
    <t>C9592</t>
  </si>
  <si>
    <t>P37626</t>
  </si>
  <si>
    <t>S285</t>
  </si>
  <si>
    <t>C8799</t>
  </si>
  <si>
    <t>P18804</t>
  </si>
  <si>
    <t>P53005</t>
  </si>
  <si>
    <t>C5532</t>
  </si>
  <si>
    <t>P14924</t>
  </si>
  <si>
    <t>S358</t>
  </si>
  <si>
    <t>C4253</t>
  </si>
  <si>
    <t>P13782</t>
  </si>
  <si>
    <t>C3072</t>
  </si>
  <si>
    <t>P41007</t>
  </si>
  <si>
    <t>S727</t>
  </si>
  <si>
    <t>C4870</t>
  </si>
  <si>
    <t>P54527</t>
  </si>
  <si>
    <t>C9405</t>
  </si>
  <si>
    <t>P62389</t>
  </si>
  <si>
    <t>S890</t>
  </si>
  <si>
    <t>C4554</t>
  </si>
  <si>
    <t>P88218</t>
  </si>
  <si>
    <t>C4771</t>
  </si>
  <si>
    <t>P84099</t>
  </si>
  <si>
    <t>S579</t>
  </si>
  <si>
    <t>C8111</t>
  </si>
  <si>
    <t>P83970</t>
  </si>
  <si>
    <t>S852</t>
  </si>
  <si>
    <t>C3269</t>
  </si>
  <si>
    <t>P96669</t>
  </si>
  <si>
    <t>S527</t>
  </si>
  <si>
    <t>C4285</t>
  </si>
  <si>
    <t>P45863</t>
  </si>
  <si>
    <t>S420</t>
  </si>
  <si>
    <t>C4867</t>
  </si>
  <si>
    <t>P86154</t>
  </si>
  <si>
    <t>C5381</t>
  </si>
  <si>
    <t>P29558</t>
  </si>
  <si>
    <t>S162</t>
  </si>
  <si>
    <t>C6609</t>
  </si>
  <si>
    <t>P61153</t>
  </si>
  <si>
    <t>S463</t>
  </si>
  <si>
    <t>C2724</t>
  </si>
  <si>
    <t>P12413</t>
  </si>
  <si>
    <t>C8314</t>
  </si>
  <si>
    <t>P73230</t>
  </si>
  <si>
    <t>C7906</t>
  </si>
  <si>
    <t>P40699</t>
  </si>
  <si>
    <t>S320</t>
  </si>
  <si>
    <t>C8173</t>
  </si>
  <si>
    <t>P31630</t>
  </si>
  <si>
    <t>S203</t>
  </si>
  <si>
    <t>C2777</t>
  </si>
  <si>
    <t>P60374</t>
  </si>
  <si>
    <t>S562</t>
  </si>
  <si>
    <t>C9998</t>
  </si>
  <si>
    <t>P38906</t>
  </si>
  <si>
    <t>S774</t>
  </si>
  <si>
    <t>C2824</t>
  </si>
  <si>
    <t>P20683</t>
  </si>
  <si>
    <t>S212</t>
  </si>
  <si>
    <t>C1968</t>
  </si>
  <si>
    <t>P10368</t>
  </si>
  <si>
    <t>C7528</t>
  </si>
  <si>
    <t>P90771</t>
  </si>
  <si>
    <t>S352</t>
  </si>
  <si>
    <t>C4641</t>
  </si>
  <si>
    <t>P97132</t>
  </si>
  <si>
    <t>C7273</t>
  </si>
  <si>
    <t>P81820</t>
  </si>
  <si>
    <t>C8903</t>
  </si>
  <si>
    <t>P38527</t>
  </si>
  <si>
    <t>C4370</t>
  </si>
  <si>
    <t>P48744</t>
  </si>
  <si>
    <t>S470</t>
  </si>
  <si>
    <t>C3384</t>
  </si>
  <si>
    <t>P59961</t>
  </si>
  <si>
    <t>C7671</t>
  </si>
  <si>
    <t>P48032</t>
  </si>
  <si>
    <t>C5009</t>
  </si>
  <si>
    <t>P56936</t>
  </si>
  <si>
    <t>S202</t>
  </si>
  <si>
    <t>C4928</t>
  </si>
  <si>
    <t>P40815</t>
  </si>
  <si>
    <t>S993</t>
  </si>
  <si>
    <t>C3835</t>
  </si>
  <si>
    <t>P78274</t>
  </si>
  <si>
    <t>S433</t>
  </si>
  <si>
    <t>C7461</t>
  </si>
  <si>
    <t>P38205</t>
  </si>
  <si>
    <t>S923</t>
  </si>
  <si>
    <t>C5607</t>
  </si>
  <si>
    <t>P13985</t>
  </si>
  <si>
    <t>S144</t>
  </si>
  <si>
    <t>C5647</t>
  </si>
  <si>
    <t>P96338</t>
  </si>
  <si>
    <t>S693</t>
  </si>
  <si>
    <t>C1877</t>
  </si>
  <si>
    <t>P94790</t>
  </si>
  <si>
    <t>P98074</t>
  </si>
  <si>
    <t>S428</t>
  </si>
  <si>
    <t>C8869</t>
  </si>
  <si>
    <t>P66862</t>
  </si>
  <si>
    <t>C6755</t>
  </si>
  <si>
    <t>P46370</t>
  </si>
  <si>
    <t>C1358</t>
  </si>
  <si>
    <t>P48674</t>
  </si>
  <si>
    <t>S423</t>
  </si>
  <si>
    <t>C5234</t>
  </si>
  <si>
    <t>P56412</t>
  </si>
  <si>
    <t>S968</t>
  </si>
  <si>
    <t>C2877</t>
  </si>
  <si>
    <t>P97700</t>
  </si>
  <si>
    <t>S816</t>
  </si>
  <si>
    <t>C1519</t>
  </si>
  <si>
    <t>P64615</t>
  </si>
  <si>
    <t>S486</t>
  </si>
  <si>
    <t>C9780</t>
  </si>
  <si>
    <t>P82090</t>
  </si>
  <si>
    <t>C1400</t>
  </si>
  <si>
    <t>P29239</t>
  </si>
  <si>
    <t>C1022</t>
  </si>
  <si>
    <t>P85930</t>
  </si>
  <si>
    <t>C9444</t>
  </si>
  <si>
    <t>P64213</t>
  </si>
  <si>
    <t>C6920</t>
  </si>
  <si>
    <t>P64412</t>
  </si>
  <si>
    <t>C2079</t>
  </si>
  <si>
    <t>P15322</t>
  </si>
  <si>
    <t>C6991</t>
  </si>
  <si>
    <t>P98147</t>
  </si>
  <si>
    <t>C5566</t>
  </si>
  <si>
    <t>P12196</t>
  </si>
  <si>
    <t>S187</t>
  </si>
  <si>
    <t>C2231</t>
  </si>
  <si>
    <t>P39377</t>
  </si>
  <si>
    <t>S435</t>
  </si>
  <si>
    <t>C7121</t>
  </si>
  <si>
    <t>C9934</t>
  </si>
  <si>
    <t>P43734</t>
  </si>
  <si>
    <t>S407</t>
  </si>
  <si>
    <t>C1104</t>
  </si>
  <si>
    <t>P44815</t>
  </si>
  <si>
    <t>S249</t>
  </si>
  <si>
    <t>C1486</t>
  </si>
  <si>
    <t>P33762</t>
  </si>
  <si>
    <t>C2667</t>
  </si>
  <si>
    <t>P87400</t>
  </si>
  <si>
    <t>S501</t>
  </si>
  <si>
    <t>C3440</t>
  </si>
  <si>
    <t>P47563</t>
  </si>
  <si>
    <t>C4262</t>
  </si>
  <si>
    <t>P61259</t>
  </si>
  <si>
    <t>S992</t>
  </si>
  <si>
    <t>C2689</t>
  </si>
  <si>
    <t>P52531</t>
  </si>
  <si>
    <t>S659</t>
  </si>
  <si>
    <t>C4878</t>
  </si>
  <si>
    <t>P71716</t>
  </si>
  <si>
    <t>S164</t>
  </si>
  <si>
    <t>C9974</t>
  </si>
  <si>
    <t>P20974</t>
  </si>
  <si>
    <t>S634</t>
  </si>
  <si>
    <t>C7458</t>
  </si>
  <si>
    <t>P45524</t>
  </si>
  <si>
    <t>S809</t>
  </si>
  <si>
    <t>C9234</t>
  </si>
  <si>
    <t>P57965</t>
  </si>
  <si>
    <t>S377</t>
  </si>
  <si>
    <t>C4401</t>
  </si>
  <si>
    <t>P56404</t>
  </si>
  <si>
    <t>S213</t>
  </si>
  <si>
    <t>C7902</t>
  </si>
  <si>
    <t>P17612</t>
  </si>
  <si>
    <t>S544</t>
  </si>
  <si>
    <t>C6247</t>
  </si>
  <si>
    <t>P41385</t>
  </si>
  <si>
    <t>C3846</t>
  </si>
  <si>
    <t>P36708</t>
  </si>
  <si>
    <t>P76691</t>
  </si>
  <si>
    <t>S966</t>
  </si>
  <si>
    <t>C6393</t>
  </si>
  <si>
    <t>P45233</t>
  </si>
  <si>
    <t>C9130</t>
  </si>
  <si>
    <t>P60411</t>
  </si>
  <si>
    <t>C7791</t>
  </si>
  <si>
    <t>P38314</t>
  </si>
  <si>
    <t>S783</t>
  </si>
  <si>
    <t>C1076</t>
  </si>
  <si>
    <t>P84495</t>
  </si>
  <si>
    <t>C8737</t>
  </si>
  <si>
    <t>P27276</t>
  </si>
  <si>
    <t>C8923</t>
  </si>
  <si>
    <t>P80658</t>
  </si>
  <si>
    <t>C5945</t>
  </si>
  <si>
    <t>P78187</t>
  </si>
  <si>
    <t>C2725</t>
  </si>
  <si>
    <t>P68328</t>
  </si>
  <si>
    <t>C6295</t>
  </si>
  <si>
    <t>P30460</t>
  </si>
  <si>
    <t>C6606</t>
  </si>
  <si>
    <t>P82302</t>
  </si>
  <si>
    <t>C7265</t>
  </si>
  <si>
    <t>P79672</t>
  </si>
  <si>
    <t>S266</t>
  </si>
  <si>
    <t>C6310</t>
  </si>
  <si>
    <t>P86850</t>
  </si>
  <si>
    <t>C7507</t>
  </si>
  <si>
    <t>P67745</t>
  </si>
  <si>
    <t>S705</t>
  </si>
  <si>
    <t>C5784</t>
  </si>
  <si>
    <t>P85008</t>
  </si>
  <si>
    <t>S308</t>
  </si>
  <si>
    <t>C2423</t>
  </si>
  <si>
    <t>P39902</t>
  </si>
  <si>
    <t>C3402</t>
  </si>
  <si>
    <t>P73190</t>
  </si>
  <si>
    <t>C2019</t>
  </si>
  <si>
    <t>P54225</t>
  </si>
  <si>
    <t>C4088</t>
  </si>
  <si>
    <t>P89198</t>
  </si>
  <si>
    <t>C4406</t>
  </si>
  <si>
    <t>P31534</t>
  </si>
  <si>
    <t>S234</t>
  </si>
  <si>
    <t>C7475</t>
  </si>
  <si>
    <t>P93694</t>
  </si>
  <si>
    <t>C8741</t>
  </si>
  <si>
    <t>P80641</t>
  </si>
  <si>
    <t>S974</t>
  </si>
  <si>
    <t>C8436</t>
  </si>
  <si>
    <t>P96713</t>
  </si>
  <si>
    <t>S230</t>
  </si>
  <si>
    <t>C1352</t>
  </si>
  <si>
    <t>P66095</t>
  </si>
  <si>
    <t>C1865</t>
  </si>
  <si>
    <t>P21173</t>
  </si>
  <si>
    <t>S637</t>
  </si>
  <si>
    <t>C9978</t>
  </si>
  <si>
    <t>P10148</t>
  </si>
  <si>
    <t>S830</t>
  </si>
  <si>
    <t>C3377</t>
  </si>
  <si>
    <t>P21672</t>
  </si>
  <si>
    <t>S422</t>
  </si>
  <si>
    <t>C4574</t>
  </si>
  <si>
    <t>P32211</t>
  </si>
  <si>
    <t>S908</t>
  </si>
  <si>
    <t>C5893</t>
  </si>
  <si>
    <t>P19476</t>
  </si>
  <si>
    <t>S986</t>
  </si>
  <si>
    <t>C1680</t>
  </si>
  <si>
    <t>P63450</t>
  </si>
  <si>
    <t>S424</t>
  </si>
  <si>
    <t>C8939</t>
  </si>
  <si>
    <t>P89472</t>
  </si>
  <si>
    <t>C3829</t>
  </si>
  <si>
    <t>P35017</t>
  </si>
  <si>
    <t>C8928</t>
  </si>
  <si>
    <t>P24080</t>
  </si>
  <si>
    <t>C5725</t>
  </si>
  <si>
    <t>P53205</t>
  </si>
  <si>
    <t>S304</t>
  </si>
  <si>
    <t>C5593</t>
  </si>
  <si>
    <t>P90720</t>
  </si>
  <si>
    <t>S159</t>
  </si>
  <si>
    <t>P10432</t>
  </si>
  <si>
    <t>S530</t>
  </si>
  <si>
    <t>C3460</t>
  </si>
  <si>
    <t>P47297</t>
  </si>
  <si>
    <t>C1976</t>
  </si>
  <si>
    <t>P42813</t>
  </si>
  <si>
    <t>C4644</t>
  </si>
  <si>
    <t>P91678</t>
  </si>
  <si>
    <t>P37610</t>
  </si>
  <si>
    <t>C2509</t>
  </si>
  <si>
    <t>P99493</t>
  </si>
  <si>
    <t>C3709</t>
  </si>
  <si>
    <t>P40782</t>
  </si>
  <si>
    <t>C1071</t>
  </si>
  <si>
    <t>P48314</t>
  </si>
  <si>
    <t>C5865</t>
  </si>
  <si>
    <t>P45057</t>
  </si>
  <si>
    <t>C9655</t>
  </si>
  <si>
    <t>P48736</t>
  </si>
  <si>
    <t>S222</t>
  </si>
  <si>
    <t>C5311</t>
  </si>
  <si>
    <t>P66888</t>
  </si>
  <si>
    <t>S756</t>
  </si>
  <si>
    <t>C5927</t>
  </si>
  <si>
    <t>P36855</t>
  </si>
  <si>
    <t>S936</t>
  </si>
  <si>
    <t>C3176</t>
  </si>
  <si>
    <t>P94258</t>
  </si>
  <si>
    <t>S931</t>
  </si>
  <si>
    <t>P82936</t>
  </si>
  <si>
    <t>S762</t>
  </si>
  <si>
    <t>C4218</t>
  </si>
  <si>
    <t>P95677</t>
  </si>
  <si>
    <t>S889</t>
  </si>
  <si>
    <t>C6790</t>
  </si>
  <si>
    <t>P46943</t>
  </si>
  <si>
    <t>S130</t>
  </si>
  <si>
    <t>C4483</t>
  </si>
  <si>
    <t>P30946</t>
  </si>
  <si>
    <t>S698</t>
  </si>
  <si>
    <t>C2631</t>
  </si>
  <si>
    <t>P49220</t>
  </si>
  <si>
    <t>C7655</t>
  </si>
  <si>
    <t>P76720</t>
  </si>
  <si>
    <t>S388</t>
  </si>
  <si>
    <t>C5928</t>
  </si>
  <si>
    <t>P91641</t>
  </si>
  <si>
    <t>S940</t>
  </si>
  <si>
    <t>C1897</t>
  </si>
  <si>
    <t>P92630</t>
  </si>
  <si>
    <t>C7616</t>
  </si>
  <si>
    <t>P92912</t>
  </si>
  <si>
    <t>C6969</t>
  </si>
  <si>
    <t>P14535</t>
  </si>
  <si>
    <t>S839</t>
  </si>
  <si>
    <t>C4872</t>
  </si>
  <si>
    <t>P43822</t>
  </si>
  <si>
    <t>S480</t>
  </si>
  <si>
    <t>C3239</t>
  </si>
  <si>
    <t>P86095</t>
  </si>
  <si>
    <t>S801</t>
  </si>
  <si>
    <t>C6914</t>
  </si>
  <si>
    <t>P47136</t>
  </si>
  <si>
    <t>P43927</t>
  </si>
  <si>
    <t>C7142</t>
  </si>
  <si>
    <t>P48735</t>
  </si>
  <si>
    <t>S594</t>
  </si>
  <si>
    <t>C1656</t>
  </si>
  <si>
    <t>P54772</t>
  </si>
  <si>
    <t>C5817</t>
  </si>
  <si>
    <t>P21292</t>
  </si>
  <si>
    <t>C3520</t>
  </si>
  <si>
    <t>P73308</t>
  </si>
  <si>
    <t>S883</t>
  </si>
  <si>
    <t>C2868</t>
  </si>
  <si>
    <t>P93591</t>
  </si>
  <si>
    <t>C7034</t>
  </si>
  <si>
    <t>P54239</t>
  </si>
  <si>
    <t>S312</t>
  </si>
  <si>
    <t>C4593</t>
  </si>
  <si>
    <t>P84142</t>
  </si>
  <si>
    <t>S452</t>
  </si>
  <si>
    <t>P60624</t>
  </si>
  <si>
    <t>S512</t>
  </si>
  <si>
    <t>C2100</t>
  </si>
  <si>
    <t>P51632</t>
  </si>
  <si>
    <t>C1502</t>
  </si>
  <si>
    <t>P52299</t>
  </si>
  <si>
    <t>C9095</t>
  </si>
  <si>
    <t>P47909</t>
  </si>
  <si>
    <t>S979</t>
  </si>
  <si>
    <t>C8041</t>
  </si>
  <si>
    <t>P94303</t>
  </si>
  <si>
    <t>C9370</t>
  </si>
  <si>
    <t>P61999</t>
  </si>
  <si>
    <t>C6137</t>
  </si>
  <si>
    <t>P31573</t>
  </si>
  <si>
    <t>S437</t>
  </si>
  <si>
    <t>C9494</t>
  </si>
  <si>
    <t>P30566</t>
  </si>
  <si>
    <t>C5233</t>
  </si>
  <si>
    <t>P18007</t>
  </si>
  <si>
    <t>S327</t>
  </si>
  <si>
    <t>C9635</t>
  </si>
  <si>
    <t>P95024</t>
  </si>
  <si>
    <t>S359</t>
  </si>
  <si>
    <t>C3793</t>
  </si>
  <si>
    <t>P12892</t>
  </si>
  <si>
    <t>S274</t>
  </si>
  <si>
    <t>C2892</t>
  </si>
  <si>
    <t>P39754</t>
  </si>
  <si>
    <t>S991</t>
  </si>
  <si>
    <t>C3314</t>
  </si>
  <si>
    <t>P47180</t>
  </si>
  <si>
    <t>S911</t>
  </si>
  <si>
    <t>C6520</t>
  </si>
  <si>
    <t>P71821</t>
  </si>
  <si>
    <t>S817</t>
  </si>
  <si>
    <t>P38460</t>
  </si>
  <si>
    <t>C1889</t>
  </si>
  <si>
    <t>P55647</t>
  </si>
  <si>
    <t>S845</t>
  </si>
  <si>
    <t>P46135</t>
  </si>
  <si>
    <t>S102</t>
  </si>
  <si>
    <t>C5578</t>
  </si>
  <si>
    <t>P78126</t>
  </si>
  <si>
    <t>C4430</t>
  </si>
  <si>
    <t>P24716</t>
  </si>
  <si>
    <t>S969</t>
  </si>
  <si>
    <t>C9015</t>
  </si>
  <si>
    <t>P85160</t>
  </si>
  <si>
    <t>S602</t>
  </si>
  <si>
    <t>C1234</t>
  </si>
  <si>
    <t>P56835</t>
  </si>
  <si>
    <t>C3670</t>
  </si>
  <si>
    <t>P46519</t>
  </si>
  <si>
    <t>S580</t>
  </si>
  <si>
    <t>C3198</t>
  </si>
  <si>
    <t>P73753</t>
  </si>
  <si>
    <t>S793</t>
  </si>
  <si>
    <t>C1658</t>
  </si>
  <si>
    <t>P14761</t>
  </si>
  <si>
    <t>C1755</t>
  </si>
  <si>
    <t>P19638</t>
  </si>
  <si>
    <t>S935</t>
  </si>
  <si>
    <t>C2145</t>
  </si>
  <si>
    <t>P63546</t>
  </si>
  <si>
    <t>C3515</t>
  </si>
  <si>
    <t>P93337</t>
  </si>
  <si>
    <t>S368</t>
  </si>
  <si>
    <t>C7337</t>
  </si>
  <si>
    <t>P79506</t>
  </si>
  <si>
    <t>C5374</t>
  </si>
  <si>
    <t>P83143</t>
  </si>
  <si>
    <t>C2673</t>
  </si>
  <si>
    <t>P63739</t>
  </si>
  <si>
    <t>S120</t>
  </si>
  <si>
    <t>C8238</t>
  </si>
  <si>
    <t>P33365</t>
  </si>
  <si>
    <t>C1761</t>
  </si>
  <si>
    <t>P59177</t>
  </si>
  <si>
    <t>C2055</t>
  </si>
  <si>
    <t>P85582</t>
  </si>
  <si>
    <t>C3810</t>
  </si>
  <si>
    <t>P29476</t>
  </si>
  <si>
    <t>C5053</t>
  </si>
  <si>
    <t>P72137</t>
  </si>
  <si>
    <t>S965</t>
  </si>
  <si>
    <t>C6938</t>
  </si>
  <si>
    <t>P71536</t>
  </si>
  <si>
    <t>C1770</t>
  </si>
  <si>
    <t>P11843</t>
  </si>
  <si>
    <t>S173</t>
  </si>
  <si>
    <t>C9419</t>
  </si>
  <si>
    <t>P12881</t>
  </si>
  <si>
    <t>C9594</t>
  </si>
  <si>
    <t>P87711</t>
  </si>
  <si>
    <t>C6731</t>
  </si>
  <si>
    <t>P56433</t>
  </si>
  <si>
    <t>C6327</t>
  </si>
  <si>
    <t>P15097</t>
  </si>
  <si>
    <t>C7065</t>
  </si>
  <si>
    <t>P54028</t>
  </si>
  <si>
    <t>C8640</t>
  </si>
  <si>
    <t>P37742</t>
  </si>
  <si>
    <t>C5377</t>
  </si>
  <si>
    <t>P20599</t>
  </si>
  <si>
    <t>S922</t>
  </si>
  <si>
    <t>C2291</t>
  </si>
  <si>
    <t>P38064</t>
  </si>
  <si>
    <t>C3800</t>
  </si>
  <si>
    <t>P24799</t>
  </si>
  <si>
    <t>S811</t>
  </si>
  <si>
    <t>C2369</t>
  </si>
  <si>
    <t>P93920</t>
  </si>
  <si>
    <t>S547</t>
  </si>
  <si>
    <t>C1723</t>
  </si>
  <si>
    <t>P77865</t>
  </si>
  <si>
    <t>S211</t>
  </si>
  <si>
    <t>C7680</t>
  </si>
  <si>
    <t>P76793</t>
  </si>
  <si>
    <t>C8236</t>
  </si>
  <si>
    <t>P48333</t>
  </si>
  <si>
    <t>C9676</t>
  </si>
  <si>
    <t>P42642</t>
  </si>
  <si>
    <t>C2151</t>
  </si>
  <si>
    <t>P15492</t>
  </si>
  <si>
    <t>C8494</t>
  </si>
  <si>
    <t>P46723</t>
  </si>
  <si>
    <t>S281</t>
  </si>
  <si>
    <t>C8073</t>
  </si>
  <si>
    <t>P80572</t>
  </si>
  <si>
    <t>S364</t>
  </si>
  <si>
    <t>C9867</t>
  </si>
  <si>
    <t>P34151</t>
  </si>
  <si>
    <t>C1661</t>
  </si>
  <si>
    <t>P50741</t>
  </si>
  <si>
    <t>C5570</t>
  </si>
  <si>
    <t>P44283</t>
  </si>
  <si>
    <t>C6373</t>
  </si>
  <si>
    <t>P74068</t>
  </si>
  <si>
    <t>C7516</t>
  </si>
  <si>
    <t>P92336</t>
  </si>
  <si>
    <t>C1255</t>
  </si>
  <si>
    <t>P86555</t>
  </si>
  <si>
    <t>S227</t>
  </si>
  <si>
    <t>C1347</t>
  </si>
  <si>
    <t>P34741</t>
  </si>
  <si>
    <t>C3274</t>
  </si>
  <si>
    <t>P94390</t>
  </si>
  <si>
    <t>S171</t>
  </si>
  <si>
    <t>C3285</t>
  </si>
  <si>
    <t>P62076</t>
  </si>
  <si>
    <t>C3422</t>
  </si>
  <si>
    <t>P95548</t>
  </si>
  <si>
    <t>C3347</t>
  </si>
  <si>
    <t>P57650</t>
  </si>
  <si>
    <t>S826</t>
  </si>
  <si>
    <t>C7169</t>
  </si>
  <si>
    <t>P99710</t>
  </si>
  <si>
    <t>S553</t>
  </si>
  <si>
    <t>C7103</t>
  </si>
  <si>
    <t>P82219</t>
  </si>
  <si>
    <t>C7319</t>
  </si>
  <si>
    <t>P69021</t>
  </si>
  <si>
    <t>S548</t>
  </si>
  <si>
    <t>C2758</t>
  </si>
  <si>
    <t>P45367</t>
  </si>
  <si>
    <t>C2041</t>
  </si>
  <si>
    <t>P40099</t>
  </si>
  <si>
    <t>C1675</t>
  </si>
  <si>
    <t>P33052</t>
  </si>
  <si>
    <t>S446</t>
  </si>
  <si>
    <t>C9448</t>
  </si>
  <si>
    <t>P88497</t>
  </si>
  <si>
    <t>S167</t>
  </si>
  <si>
    <t>C2797</t>
  </si>
  <si>
    <t>P68268</t>
  </si>
  <si>
    <t>C7200</t>
  </si>
  <si>
    <t>P98913</t>
  </si>
  <si>
    <t>C3196</t>
  </si>
  <si>
    <t>P56104</t>
  </si>
  <si>
    <t>P65781</t>
  </si>
  <si>
    <t>C8444</t>
  </si>
  <si>
    <t>P20510</t>
  </si>
  <si>
    <t>C8018</t>
  </si>
  <si>
    <t>P82746</t>
  </si>
  <si>
    <t>C7900</t>
  </si>
  <si>
    <t>P79000</t>
  </si>
  <si>
    <t>C7158</t>
  </si>
  <si>
    <t>P15806</t>
  </si>
  <si>
    <t>C6493</t>
  </si>
  <si>
    <t>P17232</t>
  </si>
  <si>
    <t>C7742</t>
  </si>
  <si>
    <t>P31300</t>
  </si>
  <si>
    <t>C3611</t>
  </si>
  <si>
    <t>P32075</t>
  </si>
  <si>
    <t>C2417</t>
  </si>
  <si>
    <t>P35230</t>
  </si>
  <si>
    <t>S494</t>
  </si>
  <si>
    <t>P44674</t>
  </si>
  <si>
    <t>S797</t>
  </si>
  <si>
    <t>C3322</t>
  </si>
  <si>
    <t>P60100</t>
  </si>
  <si>
    <t>C6604</t>
  </si>
  <si>
    <t>P65894</t>
  </si>
  <si>
    <t>S119</t>
  </si>
  <si>
    <t>P62107</t>
  </si>
  <si>
    <t>S229</t>
  </si>
  <si>
    <t>C2626</t>
  </si>
  <si>
    <t>P73822</t>
  </si>
  <si>
    <t>C6411</t>
  </si>
  <si>
    <t>P88672</t>
  </si>
  <si>
    <t>S955</t>
  </si>
  <si>
    <t>C4527</t>
  </si>
  <si>
    <t>P30927</t>
  </si>
  <si>
    <t>C9651</t>
  </si>
  <si>
    <t>P49743</t>
  </si>
  <si>
    <t>C9823</t>
  </si>
  <si>
    <t>P72142</t>
  </si>
  <si>
    <t>S508</t>
  </si>
  <si>
    <t>C3952</t>
  </si>
  <si>
    <t>P83616</t>
  </si>
  <si>
    <t>S146</t>
  </si>
  <si>
    <t>C8614</t>
  </si>
  <si>
    <t>P74361</t>
  </si>
  <si>
    <t>S321</t>
  </si>
  <si>
    <t>C8013</t>
  </si>
  <si>
    <t>P88047</t>
  </si>
  <si>
    <t>C8187</t>
  </si>
  <si>
    <t>P69405</t>
  </si>
  <si>
    <t>C2183</t>
  </si>
  <si>
    <t>P30719</t>
  </si>
  <si>
    <t>C5791</t>
  </si>
  <si>
    <t>P87850</t>
  </si>
  <si>
    <t>C2919</t>
  </si>
  <si>
    <t>P52595</t>
  </si>
  <si>
    <t>C7189</t>
  </si>
  <si>
    <t>P43910</t>
  </si>
  <si>
    <t>C1839</t>
  </si>
  <si>
    <t>P34578</t>
  </si>
  <si>
    <t>S127</t>
  </si>
  <si>
    <t>C7446</t>
  </si>
  <si>
    <t>P12654</t>
  </si>
  <si>
    <t>S752</t>
  </si>
  <si>
    <t>C5919</t>
  </si>
  <si>
    <t>P36819</t>
  </si>
  <si>
    <t>S577</t>
  </si>
  <si>
    <t>C8820</t>
  </si>
  <si>
    <t>P28170</t>
  </si>
  <si>
    <t>S695</t>
  </si>
  <si>
    <t>C5861</t>
  </si>
  <si>
    <t>P73582</t>
  </si>
  <si>
    <t>C8254</t>
  </si>
  <si>
    <t>P22941</t>
  </si>
  <si>
    <t>C9711</t>
  </si>
  <si>
    <t>P73079</t>
  </si>
  <si>
    <t>S836</t>
  </si>
  <si>
    <t>C7227</t>
  </si>
  <si>
    <t>P23280</t>
  </si>
  <si>
    <t>S563</t>
  </si>
  <si>
    <t>C9955</t>
  </si>
  <si>
    <t>P83230</t>
  </si>
  <si>
    <t>C3368</t>
  </si>
  <si>
    <t>P39203</t>
  </si>
  <si>
    <t>C3939</t>
  </si>
  <si>
    <t>P63214</t>
  </si>
  <si>
    <t>S689</t>
  </si>
  <si>
    <t>C7764</t>
  </si>
  <si>
    <t>P71836</t>
  </si>
  <si>
    <t>C6733</t>
  </si>
  <si>
    <t>P67207</t>
  </si>
  <si>
    <t>C7194</t>
  </si>
  <si>
    <t>P27883</t>
  </si>
  <si>
    <t>C5121</t>
  </si>
  <si>
    <t>P16553</t>
  </si>
  <si>
    <t>C3311</t>
  </si>
  <si>
    <t>P91556</t>
  </si>
  <si>
    <t>C4766</t>
  </si>
  <si>
    <t>P68097</t>
  </si>
  <si>
    <t>S665</t>
  </si>
  <si>
    <t>C3523</t>
  </si>
  <si>
    <t>P81695</t>
  </si>
  <si>
    <t>S459</t>
  </si>
  <si>
    <t>C3711</t>
  </si>
  <si>
    <t>P20529</t>
  </si>
  <si>
    <t>S531</t>
  </si>
  <si>
    <t>C1376</t>
  </si>
  <si>
    <t>P63365</t>
  </si>
  <si>
    <t>S104</t>
  </si>
  <si>
    <t>P60070</t>
  </si>
  <si>
    <t>C2656</t>
  </si>
  <si>
    <t>P74315</t>
  </si>
  <si>
    <t>C7621</t>
  </si>
  <si>
    <t>P27776</t>
  </si>
  <si>
    <t>S778</t>
  </si>
  <si>
    <t>C9621</t>
  </si>
  <si>
    <t>P20547</t>
  </si>
  <si>
    <t>S749</t>
  </si>
  <si>
    <t>C9167</t>
  </si>
  <si>
    <t>P77005</t>
  </si>
  <si>
    <t>C8849</t>
  </si>
  <si>
    <t>P63806</t>
  </si>
  <si>
    <t>C7208</t>
  </si>
  <si>
    <t>P84092</t>
  </si>
  <si>
    <t>S920</t>
  </si>
  <si>
    <t>C7028</t>
  </si>
  <si>
    <t>P22207</t>
  </si>
  <si>
    <t>S614</t>
  </si>
  <si>
    <t>P98110</t>
  </si>
  <si>
    <t>S871</t>
  </si>
  <si>
    <t>P31446</t>
  </si>
  <si>
    <t>S903</t>
  </si>
  <si>
    <t>C1949</t>
  </si>
  <si>
    <t>P64596</t>
  </si>
  <si>
    <t>S621</t>
  </si>
  <si>
    <t>C3537</t>
  </si>
  <si>
    <t>P24690</t>
  </si>
  <si>
    <t>P83366</t>
  </si>
  <si>
    <t>S275</t>
  </si>
  <si>
    <t>C1158</t>
  </si>
  <si>
    <t>P47997</t>
  </si>
  <si>
    <t>S648</t>
  </si>
  <si>
    <t>C8896</t>
  </si>
  <si>
    <t>P38133</t>
  </si>
  <si>
    <t>S471</t>
  </si>
  <si>
    <t>C6645</t>
  </si>
  <si>
    <t>P72513</t>
  </si>
  <si>
    <t>S683</t>
  </si>
  <si>
    <t>C1356</t>
  </si>
  <si>
    <t>P75263</t>
  </si>
  <si>
    <t>C2487</t>
  </si>
  <si>
    <t>P31326</t>
  </si>
  <si>
    <t>S601</t>
  </si>
  <si>
    <t>C7391</t>
  </si>
  <si>
    <t>P88948</t>
  </si>
  <si>
    <t>C9884</t>
  </si>
  <si>
    <t>S930</t>
  </si>
  <si>
    <t>C5210</t>
  </si>
  <si>
    <t>P81942</t>
  </si>
  <si>
    <t>S405</t>
  </si>
  <si>
    <t>C6563</t>
  </si>
  <si>
    <t>P13188</t>
  </si>
  <si>
    <t>C1056</t>
  </si>
  <si>
    <t>P68548</t>
  </si>
  <si>
    <t>C1944</t>
  </si>
  <si>
    <t>P19114</t>
  </si>
  <si>
    <t>C2902</t>
  </si>
  <si>
    <t>P40540</t>
  </si>
  <si>
    <t>P50647</t>
  </si>
  <si>
    <t>P46355</t>
  </si>
  <si>
    <t>C2878</t>
  </si>
  <si>
    <t>P68597</t>
  </si>
  <si>
    <t>C9006</t>
  </si>
  <si>
    <t>P41876</t>
  </si>
  <si>
    <t>S411</t>
  </si>
  <si>
    <t>C3769</t>
  </si>
  <si>
    <t>P55499</t>
  </si>
  <si>
    <t>S526</t>
  </si>
  <si>
    <t>C7324</t>
  </si>
  <si>
    <t>P38173</t>
  </si>
  <si>
    <t>C1497</t>
  </si>
  <si>
    <t>P71161</t>
  </si>
  <si>
    <t>S573</t>
  </si>
  <si>
    <t>C2607</t>
  </si>
  <si>
    <t>P12016</t>
  </si>
  <si>
    <t>C9520</t>
  </si>
  <si>
    <t>P93106</t>
  </si>
  <si>
    <t>S537</t>
  </si>
  <si>
    <t>C4524</t>
  </si>
  <si>
    <t>P84534</t>
  </si>
  <si>
    <t>C1868</t>
  </si>
  <si>
    <t>P36398</t>
  </si>
  <si>
    <t>S782</t>
  </si>
  <si>
    <t>C3675</t>
  </si>
  <si>
    <t>P60665</t>
  </si>
  <si>
    <t>C6803</t>
  </si>
  <si>
    <t>P11214</t>
  </si>
  <si>
    <t>S488</t>
  </si>
  <si>
    <t>C7569</t>
  </si>
  <si>
    <t>P60643</t>
  </si>
  <si>
    <t>S193</t>
  </si>
  <si>
    <t>C9992</t>
  </si>
  <si>
    <t>C1942</t>
  </si>
  <si>
    <t>P56365</t>
  </si>
  <si>
    <t>S109</t>
  </si>
  <si>
    <t>C3837</t>
  </si>
  <si>
    <t>P84135</t>
  </si>
  <si>
    <t>S651</t>
  </si>
  <si>
    <t>C3423</t>
  </si>
  <si>
    <t>P22906</t>
  </si>
  <si>
    <t>C5103</t>
  </si>
  <si>
    <t>P35968</t>
  </si>
  <si>
    <t>C2138</t>
  </si>
  <si>
    <t>P48575</t>
  </si>
  <si>
    <t>C9649</t>
  </si>
  <si>
    <t>P23890</t>
  </si>
  <si>
    <t>C9566</t>
  </si>
  <si>
    <t>P81543</t>
  </si>
  <si>
    <t>C8161</t>
  </si>
  <si>
    <t>P27443</t>
  </si>
  <si>
    <t>S606</t>
  </si>
  <si>
    <t>C1594</t>
  </si>
  <si>
    <t>P64604</t>
  </si>
  <si>
    <t>C9467</t>
  </si>
  <si>
    <t>P68235</t>
  </si>
  <si>
    <t>C4377</t>
  </si>
  <si>
    <t>P40105</t>
  </si>
  <si>
    <t>C8253</t>
  </si>
  <si>
    <t>P89311</t>
  </si>
  <si>
    <t>C5948</t>
  </si>
  <si>
    <t>P47170</t>
  </si>
  <si>
    <t>C1999</t>
  </si>
  <si>
    <t>P77384</t>
  </si>
  <si>
    <t>C6506</t>
  </si>
  <si>
    <t>P30605</t>
  </si>
  <si>
    <t>S866</t>
  </si>
  <si>
    <t>C6361</t>
  </si>
  <si>
    <t>P35475</t>
  </si>
  <si>
    <t>S741</t>
  </si>
  <si>
    <t>C8720</t>
  </si>
  <si>
    <t>P28830</t>
  </si>
  <si>
    <t>C8463</t>
  </si>
  <si>
    <t>P60278</t>
  </si>
  <si>
    <t>S735</t>
  </si>
  <si>
    <t>C6492</t>
  </si>
  <si>
    <t>P39722</t>
  </si>
  <si>
    <t>C9254</t>
  </si>
  <si>
    <t>P87120</t>
  </si>
  <si>
    <t>C6674</t>
  </si>
  <si>
    <t>P11080</t>
  </si>
  <si>
    <t>C5703</t>
  </si>
  <si>
    <t>P46820</t>
  </si>
  <si>
    <t>C9052</t>
  </si>
  <si>
    <t>P26995</t>
  </si>
  <si>
    <t>C7219</t>
  </si>
  <si>
    <t>P52816</t>
  </si>
  <si>
    <t>S472</t>
  </si>
  <si>
    <t>C4201</t>
  </si>
  <si>
    <t>P19854</t>
  </si>
  <si>
    <t>C4404</t>
  </si>
  <si>
    <t>P47260</t>
  </si>
  <si>
    <t>C5289</t>
  </si>
  <si>
    <t>P96173</t>
  </si>
  <si>
    <t>S564</t>
  </si>
  <si>
    <t>C5506</t>
  </si>
  <si>
    <t>P28715</t>
  </si>
  <si>
    <t>C7605</t>
  </si>
  <si>
    <t>P74818</t>
  </si>
  <si>
    <t>C7813</t>
  </si>
  <si>
    <t>P91144</t>
  </si>
  <si>
    <t>C1226</t>
  </si>
  <si>
    <t>P90399</t>
  </si>
  <si>
    <t>C8897</t>
  </si>
  <si>
    <t>P74541</t>
  </si>
  <si>
    <t>S572</t>
  </si>
  <si>
    <t>C2841</t>
  </si>
  <si>
    <t>P43902</t>
  </si>
  <si>
    <t>P75873</t>
  </si>
  <si>
    <t>C3062</t>
  </si>
  <si>
    <t>P60406</t>
  </si>
  <si>
    <t>C5242</t>
  </si>
  <si>
    <t>P28095</t>
  </si>
  <si>
    <t>C7096</t>
  </si>
  <si>
    <t>P65309</t>
  </si>
  <si>
    <t>S917</t>
  </si>
  <si>
    <t>C1613</t>
  </si>
  <si>
    <t>P44640</t>
  </si>
  <si>
    <t>C9585</t>
  </si>
  <si>
    <t>P56489</t>
  </si>
  <si>
    <t>P70314</t>
  </si>
  <si>
    <t>P16829</t>
  </si>
  <si>
    <t>C2764</t>
  </si>
  <si>
    <t>P43043</t>
  </si>
  <si>
    <t>P17386</t>
  </si>
  <si>
    <t>P96755</t>
  </si>
  <si>
    <t>S773</t>
  </si>
  <si>
    <t>C8248</t>
  </si>
  <si>
    <t>P14369</t>
  </si>
  <si>
    <t>S375</t>
  </si>
  <si>
    <t>C3896</t>
  </si>
  <si>
    <t>P92641</t>
  </si>
  <si>
    <t>C1557</t>
  </si>
  <si>
    <t>P19808</t>
  </si>
  <si>
    <t>S758</t>
  </si>
  <si>
    <t>P57910</t>
  </si>
  <si>
    <t>C2507</t>
  </si>
  <si>
    <t>P32787</t>
  </si>
  <si>
    <t>S540</t>
  </si>
  <si>
    <t>C6051</t>
  </si>
  <si>
    <t>P37313</t>
  </si>
  <si>
    <t>S638</t>
  </si>
  <si>
    <t>C8055</t>
  </si>
  <si>
    <t>P65842</t>
  </si>
  <si>
    <t>C2031</t>
  </si>
  <si>
    <t>P99301</t>
  </si>
  <si>
    <t>S124</t>
  </si>
  <si>
    <t>C7081</t>
  </si>
  <si>
    <t>P20223</t>
  </si>
  <si>
    <t>C9559</t>
  </si>
  <si>
    <t>P10064</t>
  </si>
  <si>
    <t>C4506</t>
  </si>
  <si>
    <t>P58226</t>
  </si>
  <si>
    <t>S715</t>
  </si>
  <si>
    <t>C6422</t>
  </si>
  <si>
    <t>P24407</t>
  </si>
  <si>
    <t>S362</t>
  </si>
  <si>
    <t>P93828</t>
  </si>
  <si>
    <t>C5860</t>
  </si>
  <si>
    <t>P13729</t>
  </si>
  <si>
    <t>C2225</t>
  </si>
  <si>
    <t>P22196</t>
  </si>
  <si>
    <t>S254</t>
  </si>
  <si>
    <t>C2301</t>
  </si>
  <si>
    <t>P16858</t>
  </si>
  <si>
    <t>S858</t>
  </si>
  <si>
    <t>C4833</t>
  </si>
  <si>
    <t>P10395</t>
  </si>
  <si>
    <t>S545</t>
  </si>
  <si>
    <t>C9539</t>
  </si>
  <si>
    <t>P11263</t>
  </si>
  <si>
    <t>C3646</t>
  </si>
  <si>
    <t>P26650</t>
  </si>
  <si>
    <t>C3318</t>
  </si>
  <si>
    <t>P52719</t>
  </si>
  <si>
    <t>C2617</t>
  </si>
  <si>
    <t>P53016</t>
  </si>
  <si>
    <t>C4892</t>
  </si>
  <si>
    <t>P55104</t>
  </si>
  <si>
    <t>S561</t>
  </si>
  <si>
    <t>C1827</t>
  </si>
  <si>
    <t>P35465</t>
  </si>
  <si>
    <t>C7749</t>
  </si>
  <si>
    <t>P43064</t>
  </si>
  <si>
    <t>C6069</t>
  </si>
  <si>
    <t>P29623</t>
  </si>
  <si>
    <t>C4232</t>
  </si>
  <si>
    <t>P30128</t>
  </si>
  <si>
    <t>S177</t>
  </si>
  <si>
    <t>C6739</t>
  </si>
  <si>
    <t>S910</t>
  </si>
  <si>
    <t>C1014</t>
  </si>
  <si>
    <t>P94335</t>
  </si>
  <si>
    <t>C4890</t>
  </si>
  <si>
    <t>P27175</t>
  </si>
  <si>
    <t>C6162</t>
  </si>
  <si>
    <t>P53473</t>
  </si>
  <si>
    <t>S139</t>
  </si>
  <si>
    <t>C6142</t>
  </si>
  <si>
    <t>P98782</t>
  </si>
  <si>
    <t>S190</t>
  </si>
  <si>
    <t>C7211</t>
  </si>
  <si>
    <t>P52723</t>
  </si>
  <si>
    <t>C2935</t>
  </si>
  <si>
    <t>P52213</t>
  </si>
  <si>
    <t>P44136</t>
  </si>
  <si>
    <t>C6378</t>
  </si>
  <si>
    <t>P81094</t>
  </si>
  <si>
    <t>P58634</t>
  </si>
  <si>
    <t>P57289</t>
  </si>
  <si>
    <t>S781</t>
  </si>
  <si>
    <t>C3303</t>
  </si>
  <si>
    <t>P62833</t>
  </si>
  <si>
    <t>C2590</t>
  </si>
  <si>
    <t>P32388</t>
  </si>
  <si>
    <t>S819</t>
  </si>
  <si>
    <t>C1793</t>
  </si>
  <si>
    <t>P29483</t>
  </si>
  <si>
    <t>S907</t>
  </si>
  <si>
    <t>C6413</t>
  </si>
  <si>
    <t>P81310</t>
  </si>
  <si>
    <t>P45200</t>
  </si>
  <si>
    <t>S413</t>
  </si>
  <si>
    <t>C2379</t>
  </si>
  <si>
    <t>P19675</t>
  </si>
  <si>
    <t>C3126</t>
  </si>
  <si>
    <t>P63013</t>
  </si>
  <si>
    <t>C3567</t>
  </si>
  <si>
    <t>P25233</t>
  </si>
  <si>
    <t>C2976</t>
  </si>
  <si>
    <t>P58328</t>
  </si>
  <si>
    <t>C7094</t>
  </si>
  <si>
    <t>P71471</t>
  </si>
  <si>
    <t>C7180</t>
  </si>
  <si>
    <t>P67435</t>
  </si>
  <si>
    <t>P36485</t>
  </si>
  <si>
    <t>C6786</t>
  </si>
  <si>
    <t>P48174</t>
  </si>
  <si>
    <t>S268</t>
  </si>
  <si>
    <t>C2018</t>
  </si>
  <si>
    <t>P61105</t>
  </si>
  <si>
    <t>C6497</t>
  </si>
  <si>
    <t>P93984</t>
  </si>
  <si>
    <t>S344</t>
  </si>
  <si>
    <t>C4667</t>
  </si>
  <si>
    <t>P12246</t>
  </si>
  <si>
    <t>P46719</t>
  </si>
  <si>
    <t>S441</t>
  </si>
  <si>
    <t>P56491</t>
  </si>
  <si>
    <t>S977</t>
  </si>
  <si>
    <t>C6858</t>
  </si>
  <si>
    <t>P76480</t>
  </si>
  <si>
    <t>C4145</t>
  </si>
  <si>
    <t>P17802</t>
  </si>
  <si>
    <t>C8000</t>
  </si>
  <si>
    <t>P13512</t>
  </si>
  <si>
    <t>C8611</t>
  </si>
  <si>
    <t>P55414</t>
  </si>
  <si>
    <t>C5308</t>
  </si>
  <si>
    <t>P84855</t>
  </si>
  <si>
    <t>P33901</t>
  </si>
  <si>
    <t>S787</t>
  </si>
  <si>
    <t>C3517</t>
  </si>
  <si>
    <t>P97725</t>
  </si>
  <si>
    <t>S172</t>
  </si>
  <si>
    <t>C9509</t>
  </si>
  <si>
    <t>P97221</t>
  </si>
  <si>
    <t>C6541</t>
  </si>
  <si>
    <t>P59986</t>
  </si>
  <si>
    <t>S293</t>
  </si>
  <si>
    <t>C9383</t>
  </si>
  <si>
    <t>P78099</t>
  </si>
  <si>
    <t>C3562</t>
  </si>
  <si>
    <t>P16641</t>
  </si>
  <si>
    <t>S627</t>
  </si>
  <si>
    <t>C3261</t>
  </si>
  <si>
    <t>P37215</t>
  </si>
  <si>
    <t>C5959</t>
  </si>
  <si>
    <t>P92979</t>
  </si>
  <si>
    <t>S178</t>
  </si>
  <si>
    <t>C8245</t>
  </si>
  <si>
    <t>P77641</t>
  </si>
  <si>
    <t>C7642</t>
  </si>
  <si>
    <t>P90913</t>
  </si>
  <si>
    <t>S704</t>
  </si>
  <si>
    <t>C5076</t>
  </si>
  <si>
    <t>P42925</t>
  </si>
  <si>
    <t>C7953</t>
  </si>
  <si>
    <t>P62182</t>
  </si>
  <si>
    <t>P36539</t>
  </si>
  <si>
    <t>S335</t>
  </si>
  <si>
    <t>C7513</t>
  </si>
  <si>
    <t>P14642</t>
  </si>
  <si>
    <t>C4177</t>
  </si>
  <si>
    <t>P80047</t>
  </si>
  <si>
    <t>P84638</t>
  </si>
  <si>
    <t>C9045</t>
  </si>
  <si>
    <t>P62129</t>
  </si>
  <si>
    <t>C3742</t>
  </si>
  <si>
    <t>P47403</t>
  </si>
  <si>
    <t>S429</t>
  </si>
  <si>
    <t>C3971</t>
  </si>
  <si>
    <t>P15539</t>
  </si>
  <si>
    <t>S425</t>
  </si>
  <si>
    <t>C1782</t>
  </si>
  <si>
    <t>P60659</t>
  </si>
  <si>
    <t>C3686</t>
  </si>
  <si>
    <t>P18382</t>
  </si>
  <si>
    <t>S770</t>
  </si>
  <si>
    <t>C9678</t>
  </si>
  <si>
    <t>P42521</t>
  </si>
  <si>
    <t>S760</t>
  </si>
  <si>
    <t>C7196</t>
  </si>
  <si>
    <t>P95827</t>
  </si>
  <si>
    <t>C4989</t>
  </si>
  <si>
    <t>P72805</t>
  </si>
  <si>
    <t>C7820</t>
  </si>
  <si>
    <t>P18512</t>
  </si>
  <si>
    <t>S985</t>
  </si>
  <si>
    <t>C1004</t>
  </si>
  <si>
    <t>S682</t>
  </si>
  <si>
    <t>C4521</t>
  </si>
  <si>
    <t>P76836</t>
  </si>
  <si>
    <t>C9171</t>
  </si>
  <si>
    <t>P29874</t>
  </si>
  <si>
    <t>C4324</t>
  </si>
  <si>
    <t>P56221</t>
  </si>
  <si>
    <t>C1578</t>
  </si>
  <si>
    <t>P67290</t>
  </si>
  <si>
    <t>P92911</t>
  </si>
  <si>
    <t>S208</t>
  </si>
  <si>
    <t>C9581</t>
  </si>
  <si>
    <t>P95333</t>
  </si>
  <si>
    <t>C6083</t>
  </si>
  <si>
    <t>P18816</t>
  </si>
  <si>
    <t>S129</t>
  </si>
  <si>
    <t>C1171</t>
  </si>
  <si>
    <t>P63294</t>
  </si>
  <si>
    <t>S725</t>
  </si>
  <si>
    <t>C9359</t>
  </si>
  <si>
    <t>P13685</t>
  </si>
  <si>
    <t>C3291</t>
  </si>
  <si>
    <t>P11532</t>
  </si>
  <si>
    <t>S450</t>
  </si>
  <si>
    <t>C3258</t>
  </si>
  <si>
    <t>P46509</t>
  </si>
  <si>
    <t>C3804</t>
  </si>
  <si>
    <t>P27610</t>
  </si>
  <si>
    <t>C9631</t>
  </si>
  <si>
    <t>S994</t>
  </si>
  <si>
    <t>C6297</t>
  </si>
  <si>
    <t>P35511</t>
  </si>
  <si>
    <t>C7940</t>
  </si>
  <si>
    <t>P94590</t>
  </si>
  <si>
    <t>C4333</t>
  </si>
  <si>
    <t>P50002</t>
  </si>
  <si>
    <t>C2701</t>
  </si>
  <si>
    <t>P18496</t>
  </si>
  <si>
    <t>S814</t>
  </si>
  <si>
    <t>C5587</t>
  </si>
  <si>
    <t>P47690</t>
  </si>
  <si>
    <t>S946</t>
  </si>
  <si>
    <t>C5029</t>
  </si>
  <si>
    <t>P57345</t>
  </si>
  <si>
    <t>C8399</t>
  </si>
  <si>
    <t>P11908</t>
  </si>
  <si>
    <t>C6311</t>
  </si>
  <si>
    <t>P84893</t>
  </si>
  <si>
    <t>C6154</t>
  </si>
  <si>
    <t>P98176</t>
  </si>
  <si>
    <t>C4600</t>
  </si>
  <si>
    <t>P54109</t>
  </si>
  <si>
    <t>C8518</t>
  </si>
  <si>
    <t>P93098</t>
  </si>
  <si>
    <t>P52800</t>
  </si>
  <si>
    <t>C3691</t>
  </si>
  <si>
    <t>P20222</t>
  </si>
  <si>
    <t>C5901</t>
  </si>
  <si>
    <t>P52889</t>
  </si>
  <si>
    <t>P20633</t>
  </si>
  <si>
    <t>C8625</t>
  </si>
  <si>
    <t>P10094</t>
  </si>
  <si>
    <t>C2946</t>
  </si>
  <si>
    <t>P50078</t>
  </si>
  <si>
    <t>S136</t>
  </si>
  <si>
    <t>C7042</t>
  </si>
  <si>
    <t>P40982</t>
  </si>
  <si>
    <t>C8868</t>
  </si>
  <si>
    <t>P34003</t>
  </si>
  <si>
    <t>S350</t>
  </si>
  <si>
    <t>C6153</t>
  </si>
  <si>
    <t>P44370</t>
  </si>
  <si>
    <t>C4651</t>
  </si>
  <si>
    <t>P20431</t>
  </si>
  <si>
    <t>S639</t>
  </si>
  <si>
    <t>C9308</t>
  </si>
  <si>
    <t>P39654</t>
  </si>
  <si>
    <t>P75907</t>
  </si>
  <si>
    <t>S859</t>
  </si>
  <si>
    <t>C8393</t>
  </si>
  <si>
    <t>P79939</t>
  </si>
  <si>
    <t>S574</t>
  </si>
  <si>
    <t>C6426</t>
  </si>
  <si>
    <t>P51120</t>
  </si>
  <si>
    <t>C5768</t>
  </si>
  <si>
    <t>P39945</t>
  </si>
  <si>
    <t>C1284</t>
  </si>
  <si>
    <t>P26246</t>
  </si>
  <si>
    <t>C8699</t>
  </si>
  <si>
    <t>P78165</t>
  </si>
  <si>
    <t>S619</t>
  </si>
  <si>
    <t>C8179</t>
  </si>
  <si>
    <t>P13712</t>
  </si>
  <si>
    <t>C1566</t>
  </si>
  <si>
    <t>P91288</t>
  </si>
  <si>
    <t>S626</t>
  </si>
  <si>
    <t>P37115</t>
  </si>
  <si>
    <t>C5857</t>
  </si>
  <si>
    <t>P26312</t>
  </si>
  <si>
    <t>C8550</t>
  </si>
  <si>
    <t>P78659</t>
  </si>
  <si>
    <t>S753</t>
  </si>
  <si>
    <t>C6360</t>
  </si>
  <si>
    <t>P70558</t>
  </si>
  <si>
    <t>C9990</t>
  </si>
  <si>
    <t>P39954</t>
  </si>
  <si>
    <t>C4039</t>
  </si>
  <si>
    <t>P43952</t>
  </si>
  <si>
    <t>C4535</t>
  </si>
  <si>
    <t>P47622</t>
  </si>
  <si>
    <t>C3121</t>
  </si>
  <si>
    <t>P55678</t>
  </si>
  <si>
    <t>C5318</t>
  </si>
  <si>
    <t>P20832</t>
  </si>
  <si>
    <t>C6840</t>
  </si>
  <si>
    <t>P25154</t>
  </si>
  <si>
    <t>S742</t>
  </si>
  <si>
    <t>C1600</t>
  </si>
  <si>
    <t>P62185</t>
  </si>
  <si>
    <t>C1783</t>
  </si>
  <si>
    <t>P97844</t>
  </si>
  <si>
    <t>S431</t>
  </si>
  <si>
    <t>C4526</t>
  </si>
  <si>
    <t>P54361</t>
  </si>
  <si>
    <t>S354</t>
  </si>
  <si>
    <t>C6962</t>
  </si>
  <si>
    <t>P96732</t>
  </si>
  <si>
    <t>S196</t>
  </si>
  <si>
    <t>C6905</t>
  </si>
  <si>
    <t>P15054</t>
  </si>
  <si>
    <t>C2139</t>
  </si>
  <si>
    <t>P85164</t>
  </si>
  <si>
    <t>S636</t>
  </si>
  <si>
    <t>C4046</t>
  </si>
  <si>
    <t>P71743</t>
  </si>
  <si>
    <t>S586</t>
  </si>
  <si>
    <t>C7506</t>
  </si>
  <si>
    <t>P60924</t>
  </si>
  <si>
    <t>S270</t>
  </si>
  <si>
    <t>C4956</t>
  </si>
  <si>
    <t>P82089</t>
  </si>
  <si>
    <t>C5415</t>
  </si>
  <si>
    <t>P62509</t>
  </si>
  <si>
    <t>C8899</t>
  </si>
  <si>
    <t>P56429</t>
  </si>
  <si>
    <t>S523</t>
  </si>
  <si>
    <t>C1254</t>
  </si>
  <si>
    <t>P69051</t>
  </si>
  <si>
    <t>S791</t>
  </si>
  <si>
    <t>P65892</t>
  </si>
  <si>
    <t>C6785</t>
  </si>
  <si>
    <t>P30998</t>
  </si>
  <si>
    <t>C9669</t>
  </si>
  <si>
    <t>P77902</t>
  </si>
  <si>
    <t>S491</t>
  </si>
  <si>
    <t>C8485</t>
  </si>
  <si>
    <t>P59527</t>
  </si>
  <si>
    <t>S188</t>
  </si>
  <si>
    <t>C9339</t>
  </si>
  <si>
    <t>P22943</t>
  </si>
  <si>
    <t>S166</t>
  </si>
  <si>
    <t>C7329</t>
  </si>
  <si>
    <t>P44984</t>
  </si>
  <si>
    <t>C5918</t>
  </si>
  <si>
    <t>P71064</t>
  </si>
  <si>
    <t>C7731</t>
  </si>
  <si>
    <t>P20965</t>
  </si>
  <si>
    <t>C3774</t>
  </si>
  <si>
    <t>P47117</t>
  </si>
  <si>
    <t>C4743</t>
  </si>
  <si>
    <t>P17159</t>
  </si>
  <si>
    <t>C9083</t>
  </si>
  <si>
    <t>P91256</t>
  </si>
  <si>
    <t>C3436</t>
  </si>
  <si>
    <t>P15769</t>
  </si>
  <si>
    <t>C8275</t>
  </si>
  <si>
    <t>P92096</t>
  </si>
  <si>
    <t>S664</t>
  </si>
  <si>
    <t>P66795</t>
  </si>
  <si>
    <t>C2148</t>
  </si>
  <si>
    <t>P13086</t>
  </si>
  <si>
    <t>S624</t>
  </si>
  <si>
    <t>C7542</t>
  </si>
  <si>
    <t>P48233</t>
  </si>
  <si>
    <t>S294</t>
  </si>
  <si>
    <t>C4839</t>
  </si>
  <si>
    <t>P54138</t>
  </si>
  <si>
    <t>C1458</t>
  </si>
  <si>
    <t>P26066</t>
  </si>
  <si>
    <t>C8711</t>
  </si>
  <si>
    <t>C5930</t>
  </si>
  <si>
    <t>P33398</t>
  </si>
  <si>
    <t>C4656</t>
  </si>
  <si>
    <t>P97154</t>
  </si>
  <si>
    <t>S150</t>
  </si>
  <si>
    <t>C5363</t>
  </si>
  <si>
    <t>P77699</t>
  </si>
  <si>
    <t>S699</t>
  </si>
  <si>
    <t>C7098</t>
  </si>
  <si>
    <t>P15280</t>
  </si>
  <si>
    <t>C7168</t>
  </si>
  <si>
    <t>P92633</t>
  </si>
  <si>
    <t>C6106</t>
  </si>
  <si>
    <t>P47204</t>
  </si>
  <si>
    <t>S909</t>
  </si>
  <si>
    <t>C5682</t>
  </si>
  <si>
    <t>P21154</t>
  </si>
  <si>
    <t>C2248</t>
  </si>
  <si>
    <t>P36234</t>
  </si>
  <si>
    <t>S137</t>
  </si>
  <si>
    <t>C8512</t>
  </si>
  <si>
    <t>P33289</t>
  </si>
  <si>
    <t>C8409</t>
  </si>
  <si>
    <t>P91909</t>
  </si>
  <si>
    <t>S469</t>
  </si>
  <si>
    <t>C1037</t>
  </si>
  <si>
    <t>P58503</t>
  </si>
  <si>
    <t>C3674</t>
  </si>
  <si>
    <t>P32820</t>
  </si>
  <si>
    <t>S148</t>
  </si>
  <si>
    <t>P24333</t>
  </si>
  <si>
    <t>C2104</t>
  </si>
  <si>
    <t>P93190</t>
  </si>
  <si>
    <t>C9313</t>
  </si>
  <si>
    <t>P72126</t>
  </si>
  <si>
    <t>S612</t>
  </si>
  <si>
    <t>C8101</t>
  </si>
  <si>
    <t>P68920</t>
  </si>
  <si>
    <t>C2549</t>
  </si>
  <si>
    <t>P60511</t>
  </si>
  <si>
    <t>S892</t>
  </si>
  <si>
    <t>C5710</t>
  </si>
  <si>
    <t>P48892</t>
  </si>
  <si>
    <t>C5470</t>
  </si>
  <si>
    <t>P32003</t>
  </si>
  <si>
    <t>S192</t>
  </si>
  <si>
    <t>C6054</t>
  </si>
  <si>
    <t>P11130</t>
  </si>
  <si>
    <t>S489</t>
  </si>
  <si>
    <t>C1987</t>
  </si>
  <si>
    <t>P70582</t>
  </si>
  <si>
    <t>C9770</t>
  </si>
  <si>
    <t>P30343</t>
  </si>
  <si>
    <t>P97123</t>
  </si>
  <si>
    <t>P27412</t>
  </si>
  <si>
    <t>C6462</t>
  </si>
  <si>
    <t>P41795</t>
  </si>
  <si>
    <t>C2234</t>
  </si>
  <si>
    <t>P93514</t>
  </si>
  <si>
    <t>C9734</t>
  </si>
  <si>
    <t>P22197</t>
  </si>
  <si>
    <t>C3912</t>
  </si>
  <si>
    <t>P58232</t>
  </si>
  <si>
    <t>S844</t>
  </si>
  <si>
    <t>C5960</t>
  </si>
  <si>
    <t>P43556</t>
  </si>
  <si>
    <t>S947</t>
  </si>
  <si>
    <t>C6959</t>
  </si>
  <si>
    <t>P29673</t>
  </si>
  <si>
    <t>S662</t>
  </si>
  <si>
    <t>P18177</t>
  </si>
  <si>
    <t>S135</t>
  </si>
  <si>
    <t>S398</t>
  </si>
  <si>
    <t>C6796</t>
  </si>
  <si>
    <t>P50416</t>
  </si>
  <si>
    <t>C8115</t>
  </si>
  <si>
    <t>P40486</t>
  </si>
  <si>
    <t>C5517</t>
  </si>
  <si>
    <t>P26277</t>
  </si>
  <si>
    <t>S719</t>
  </si>
  <si>
    <t>P47790</t>
  </si>
  <si>
    <t>C1785</t>
  </si>
  <si>
    <t>P41016</t>
  </si>
  <si>
    <t>C4649</t>
  </si>
  <si>
    <t>P86514</t>
  </si>
  <si>
    <t>S125</t>
  </si>
  <si>
    <t>C1152</t>
  </si>
  <si>
    <t>P64836</t>
  </si>
  <si>
    <t>C3482</t>
  </si>
  <si>
    <t>P17593</t>
  </si>
  <si>
    <t>C5021</t>
  </si>
  <si>
    <t>P28748</t>
  </si>
  <si>
    <t>C3732</t>
  </si>
  <si>
    <t>P82009</t>
  </si>
  <si>
    <t>S318</t>
  </si>
  <si>
    <t>C6893</t>
  </si>
  <si>
    <t>P69673</t>
  </si>
  <si>
    <t>S392</t>
  </si>
  <si>
    <t>C5661</t>
  </si>
  <si>
    <t>P54713</t>
  </si>
  <si>
    <t>S468</t>
  </si>
  <si>
    <t>C7322</t>
  </si>
  <si>
    <t>P52916</t>
  </si>
  <si>
    <t>S851</t>
  </si>
  <si>
    <t>C4655</t>
  </si>
  <si>
    <t>P96706</t>
  </si>
  <si>
    <t>C7015</t>
  </si>
  <si>
    <t>P31506</t>
  </si>
  <si>
    <t>C2629</t>
  </si>
  <si>
    <t>P93463</t>
  </si>
  <si>
    <t>C9456</t>
  </si>
  <si>
    <t>P49095</t>
  </si>
  <si>
    <t>C9275</t>
  </si>
  <si>
    <t>C7669</t>
  </si>
  <si>
    <t>P93220</t>
  </si>
  <si>
    <t>C1777</t>
  </si>
  <si>
    <t>P29763</t>
  </si>
  <si>
    <t>C6751</t>
  </si>
  <si>
    <t>P47918</t>
  </si>
  <si>
    <t>C3607</t>
  </si>
  <si>
    <t>P69790</t>
  </si>
  <si>
    <t>C8145</t>
  </si>
  <si>
    <t>P55819</t>
  </si>
  <si>
    <t>C4089</t>
  </si>
  <si>
    <t>P24242</t>
  </si>
  <si>
    <t>C5858</t>
  </si>
  <si>
    <t>P72002</t>
  </si>
  <si>
    <t>S384</t>
  </si>
  <si>
    <t>C9898</t>
  </si>
  <si>
    <t>P82369</t>
  </si>
  <si>
    <t>C1526</t>
  </si>
  <si>
    <t>P98567</t>
  </si>
  <si>
    <t>S184</t>
  </si>
  <si>
    <t>C5992</t>
  </si>
  <si>
    <t>P89182</t>
  </si>
  <si>
    <t>C5864</t>
  </si>
  <si>
    <t>P55852</t>
  </si>
  <si>
    <t>C2210</t>
  </si>
  <si>
    <t>P19218</t>
  </si>
  <si>
    <t>C4859</t>
  </si>
  <si>
    <t>P39379</t>
  </si>
  <si>
    <t>C2476</t>
  </si>
  <si>
    <t>P50800</t>
  </si>
  <si>
    <t>C7359</t>
  </si>
  <si>
    <t>P89900</t>
  </si>
  <si>
    <t>S201</t>
  </si>
  <si>
    <t>C9109</t>
  </si>
  <si>
    <t>P33758</t>
  </si>
  <si>
    <t>C2005</t>
  </si>
  <si>
    <t>P39369</t>
  </si>
  <si>
    <t>C1205</t>
  </si>
  <si>
    <t>P22442</t>
  </si>
  <si>
    <t>S790</t>
  </si>
  <si>
    <t>C9350</t>
  </si>
  <si>
    <t>P51745</t>
  </si>
  <si>
    <t>S879</t>
  </si>
  <si>
    <t>C4729</t>
  </si>
  <si>
    <t>P86693</t>
  </si>
  <si>
    <t>C2120</t>
  </si>
  <si>
    <t>P40041</t>
  </si>
  <si>
    <t>C7171</t>
  </si>
  <si>
    <t>P20952</t>
  </si>
  <si>
    <t>C3671</t>
  </si>
  <si>
    <t>P53739</t>
  </si>
  <si>
    <t>C7532</t>
  </si>
  <si>
    <t>P64808</t>
  </si>
  <si>
    <t>C8513</t>
  </si>
  <si>
    <t>P33010</t>
  </si>
  <si>
    <t>C8190</t>
  </si>
  <si>
    <t>C8044</t>
  </si>
  <si>
    <t>P30917</t>
  </si>
  <si>
    <t>P69003</t>
  </si>
  <si>
    <t>S688</t>
  </si>
  <si>
    <t>C8607</t>
  </si>
  <si>
    <t>P20928</t>
  </si>
  <si>
    <t>P35602</t>
  </si>
  <si>
    <t>C1797</t>
  </si>
  <si>
    <t>P78382</t>
  </si>
  <si>
    <t>C8147</t>
  </si>
  <si>
    <t>P47538</t>
  </si>
  <si>
    <t>C6945</t>
  </si>
  <si>
    <t>P13487</t>
  </si>
  <si>
    <t>C7831</t>
  </si>
  <si>
    <t>P26775</t>
  </si>
  <si>
    <t>S242</t>
  </si>
  <si>
    <t>P73594</t>
  </si>
  <si>
    <t>C8077</t>
  </si>
  <si>
    <t>P30710</t>
  </si>
  <si>
    <t>C2152</t>
  </si>
  <si>
    <t>P44062</t>
  </si>
  <si>
    <t>C2658</t>
  </si>
  <si>
    <t>P82468</t>
  </si>
  <si>
    <t>C7548</t>
  </si>
  <si>
    <t>P78560</t>
  </si>
  <si>
    <t>C5443</t>
  </si>
  <si>
    <t>P93197</t>
  </si>
  <si>
    <t>P71794</t>
  </si>
  <si>
    <t>C1543</t>
  </si>
  <si>
    <t>P46668</t>
  </si>
  <si>
    <t>C9086</t>
  </si>
  <si>
    <t>P60998</t>
  </si>
  <si>
    <t>C4325</t>
  </si>
  <si>
    <t>P60393</t>
  </si>
  <si>
    <t>C7653</t>
  </si>
  <si>
    <t>P73411</t>
  </si>
  <si>
    <t>P49305</t>
  </si>
  <si>
    <t>C8615</t>
  </si>
  <si>
    <t>P13436</t>
  </si>
  <si>
    <t>C1381</t>
  </si>
  <si>
    <t>P77381</t>
  </si>
  <si>
    <t>C2333</t>
  </si>
  <si>
    <t>P79205</t>
  </si>
  <si>
    <t>P52510</t>
  </si>
  <si>
    <t>C7710</t>
  </si>
  <si>
    <t>P95772</t>
  </si>
  <si>
    <t>S439</t>
  </si>
  <si>
    <t>C6129</t>
  </si>
  <si>
    <t>P59289</t>
  </si>
  <si>
    <t>S853</t>
  </si>
  <si>
    <t>P32369</t>
  </si>
  <si>
    <t>P49952</t>
  </si>
  <si>
    <t>C4598</t>
  </si>
  <si>
    <t>P62955</t>
  </si>
  <si>
    <t>P89618</t>
  </si>
  <si>
    <t>C7729</t>
  </si>
  <si>
    <t>P49729</t>
  </si>
  <si>
    <t>C9983</t>
  </si>
  <si>
    <t>P52738</t>
  </si>
  <si>
    <t>S804</t>
  </si>
  <si>
    <t>P97081</t>
  </si>
  <si>
    <t>S632</t>
  </si>
  <si>
    <t>C6091</t>
  </si>
  <si>
    <t>P90084</t>
  </si>
  <si>
    <t>C4759</t>
  </si>
  <si>
    <t>P80648</t>
  </si>
  <si>
    <t>C6710</t>
  </si>
  <si>
    <t>P22588</t>
  </si>
  <si>
    <t>S298</t>
  </si>
  <si>
    <t>C5325</t>
  </si>
  <si>
    <t>P68535</t>
  </si>
  <si>
    <t>C1570</t>
  </si>
  <si>
    <t>P22084</t>
  </si>
  <si>
    <t>C1539</t>
  </si>
  <si>
    <t>P99905</t>
  </si>
  <si>
    <t>C5456</t>
  </si>
  <si>
    <t>P36897</t>
  </si>
  <si>
    <t>C1329</t>
  </si>
  <si>
    <t>P14858</t>
  </si>
  <si>
    <t>C3448</t>
  </si>
  <si>
    <t>P89921</t>
  </si>
  <si>
    <t>C1891</t>
  </si>
  <si>
    <t>P31972</t>
  </si>
  <si>
    <t>S381</t>
  </si>
  <si>
    <t>C9114</t>
  </si>
  <si>
    <t>P49412</t>
  </si>
  <si>
    <t>C8608</t>
  </si>
  <si>
    <t>P95641</t>
  </si>
  <si>
    <t>P86497</t>
  </si>
  <si>
    <t>C2766</t>
  </si>
  <si>
    <t>P18219</t>
  </si>
  <si>
    <t>C4405</t>
  </si>
  <si>
    <t>P20862</t>
  </si>
  <si>
    <t>P58192</t>
  </si>
  <si>
    <t>C5158</t>
  </si>
  <si>
    <t>P51773</t>
  </si>
  <si>
    <t>P31698</t>
  </si>
  <si>
    <t>C9722</t>
  </si>
  <si>
    <t>P78908</t>
  </si>
  <si>
    <t>S823</t>
  </si>
  <si>
    <t>C3223</t>
  </si>
  <si>
    <t>P52732</t>
  </si>
  <si>
    <t>S556</t>
  </si>
  <si>
    <t>C4460</t>
  </si>
  <si>
    <t>P30881</t>
  </si>
  <si>
    <t>S206</t>
  </si>
  <si>
    <t>C9642</t>
  </si>
  <si>
    <t>P64327</t>
  </si>
  <si>
    <t>C9088</t>
  </si>
  <si>
    <t>P23140</t>
  </si>
  <si>
    <t>C2586</t>
  </si>
  <si>
    <t>P80218</t>
  </si>
  <si>
    <t>C6073</t>
  </si>
  <si>
    <t>P85265</t>
  </si>
  <si>
    <t>P75667</t>
  </si>
  <si>
    <t>C9641</t>
  </si>
  <si>
    <t>P69682</t>
  </si>
  <si>
    <t>C6352</t>
  </si>
  <si>
    <t>P53130</t>
  </si>
  <si>
    <t>S973</t>
  </si>
  <si>
    <t>C1862</t>
  </si>
  <si>
    <t>P80063</t>
  </si>
  <si>
    <t>C4323</t>
  </si>
  <si>
    <t>P10445</t>
  </si>
  <si>
    <t>C7172</t>
  </si>
  <si>
    <t>P11979</t>
  </si>
  <si>
    <t>C4912</t>
  </si>
  <si>
    <t>P93452</t>
  </si>
  <si>
    <t>C1842</t>
  </si>
  <si>
    <t>P52642</t>
  </si>
  <si>
    <t>C7381</t>
  </si>
  <si>
    <t>P77917</t>
  </si>
  <si>
    <t>C1906</t>
  </si>
  <si>
    <t>P74042</t>
  </si>
  <si>
    <t>C3106</t>
  </si>
  <si>
    <t>P23669</t>
  </si>
  <si>
    <t>C1479</t>
  </si>
  <si>
    <t>P86190</t>
  </si>
  <si>
    <t>C5142</t>
  </si>
  <si>
    <t>P71902</t>
  </si>
  <si>
    <t>C8871</t>
  </si>
  <si>
    <t>P23527</t>
  </si>
  <si>
    <t>S895</t>
  </si>
  <si>
    <t>C4577</t>
  </si>
  <si>
    <t>P80780</t>
  </si>
  <si>
    <t>C7668</t>
  </si>
  <si>
    <t>P90880</t>
  </si>
  <si>
    <t>S103</t>
  </si>
  <si>
    <t>C9425</t>
  </si>
  <si>
    <t>P10693</t>
  </si>
  <si>
    <t>P99199</t>
  </si>
  <si>
    <t>C4749</t>
  </si>
  <si>
    <t>P45271</t>
  </si>
  <si>
    <t>C5509</t>
  </si>
  <si>
    <t>P97971</t>
  </si>
  <si>
    <t>C3301</t>
  </si>
  <si>
    <t>P83246</t>
  </si>
  <si>
    <t>C8921</t>
  </si>
  <si>
    <t>P11567</t>
  </si>
  <si>
    <t>C4894</t>
  </si>
  <si>
    <t>P75064</t>
  </si>
  <si>
    <t>S964</t>
  </si>
  <si>
    <t>C8527</t>
  </si>
  <si>
    <t>P73372</t>
  </si>
  <si>
    <t>C7154</t>
  </si>
  <si>
    <t>P96762</t>
  </si>
  <si>
    <t>P61464</t>
  </si>
  <si>
    <t>S557</t>
  </si>
  <si>
    <t>C8097</t>
  </si>
  <si>
    <t>P54735</t>
  </si>
  <si>
    <t>C9146</t>
  </si>
  <si>
    <t>P61389</t>
  </si>
  <si>
    <t>S702</t>
  </si>
  <si>
    <t>P48769</t>
  </si>
  <si>
    <t>S608</t>
  </si>
  <si>
    <t>C4174</t>
  </si>
  <si>
    <t>P97905</t>
  </si>
  <si>
    <t>S982</t>
  </si>
  <si>
    <t>C9465</t>
  </si>
  <si>
    <t>P10589</t>
  </si>
  <si>
    <t>C1637</t>
  </si>
  <si>
    <t>P25828</t>
  </si>
  <si>
    <t>S396</t>
  </si>
  <si>
    <t>C1580</t>
  </si>
  <si>
    <t>P42209</t>
  </si>
  <si>
    <t>C2865</t>
  </si>
  <si>
    <t>P38887</t>
  </si>
  <si>
    <t>S824</t>
  </si>
  <si>
    <t>C7066</t>
  </si>
  <si>
    <t>P36723</t>
  </si>
  <si>
    <t>C7240</t>
  </si>
  <si>
    <t>P57565</t>
  </si>
  <si>
    <t>S738</t>
  </si>
  <si>
    <t>C9174</t>
  </si>
  <si>
    <t>P19864</t>
  </si>
  <si>
    <t>C9089</t>
  </si>
  <si>
    <t>P61772</t>
  </si>
  <si>
    <t>P28632</t>
  </si>
  <si>
    <t>C7030</t>
  </si>
  <si>
    <t>P30995</t>
  </si>
  <si>
    <t>S848</t>
  </si>
  <si>
    <t>C3392</t>
  </si>
  <si>
    <t>P38688</t>
  </si>
  <si>
    <t>P65744</t>
  </si>
  <si>
    <t>C9849</t>
  </si>
  <si>
    <t>P68397</t>
  </si>
  <si>
    <t>C4563</t>
  </si>
  <si>
    <t>P66049</t>
  </si>
  <si>
    <t>C1841</t>
  </si>
  <si>
    <t>P55706</t>
  </si>
  <si>
    <t>S160</t>
  </si>
  <si>
    <t>C1899</t>
  </si>
  <si>
    <t>P29861</t>
  </si>
  <si>
    <t>S820</t>
  </si>
  <si>
    <t>C5803</t>
  </si>
  <si>
    <t>P92897</t>
  </si>
  <si>
    <t>P59047</t>
  </si>
  <si>
    <t>C3802</t>
  </si>
  <si>
    <t>P17312</t>
  </si>
  <si>
    <t>P97513</t>
  </si>
  <si>
    <t>C4549</t>
  </si>
  <si>
    <t>P59766</t>
  </si>
  <si>
    <t>S106</t>
  </si>
  <si>
    <t>C1749</t>
  </si>
  <si>
    <t>P31676</t>
  </si>
  <si>
    <t>S400</t>
  </si>
  <si>
    <t>C5732</t>
  </si>
  <si>
    <t>P62620</t>
  </si>
  <si>
    <t>C8632</t>
  </si>
  <si>
    <t>P26444</t>
  </si>
  <si>
    <t>C3964</t>
  </si>
  <si>
    <t>P18104</t>
  </si>
  <si>
    <t>C2702</t>
  </si>
  <si>
    <t>P72723</t>
  </si>
  <si>
    <t>C6177</t>
  </si>
  <si>
    <t>P21160</t>
  </si>
  <si>
    <t>S576</t>
  </si>
  <si>
    <t>C1303</t>
  </si>
  <si>
    <t>P44930</t>
  </si>
  <si>
    <t>C8466</t>
  </si>
  <si>
    <t>P90631</t>
  </si>
  <si>
    <t>C2982</t>
  </si>
  <si>
    <t>P45765</t>
  </si>
  <si>
    <t>C1568</t>
  </si>
  <si>
    <t>P25701</t>
  </si>
  <si>
    <t>C1559</t>
  </si>
  <si>
    <t>P56097</t>
  </si>
  <si>
    <t>C1125</t>
  </si>
  <si>
    <t>P76735</t>
  </si>
  <si>
    <t>C6024</t>
  </si>
  <si>
    <t>P34691</t>
  </si>
  <si>
    <t>C1163</t>
  </si>
  <si>
    <t>P62540</t>
  </si>
  <si>
    <t>C7590</t>
  </si>
  <si>
    <t>P41432</t>
  </si>
  <si>
    <t>S590</t>
  </si>
  <si>
    <t>C1957</t>
  </si>
  <si>
    <t>P83823</t>
  </si>
  <si>
    <t>C7406</t>
  </si>
  <si>
    <t>P43924</t>
  </si>
  <si>
    <t>C8458</t>
  </si>
  <si>
    <t>P94075</t>
  </si>
  <si>
    <t>C4754</t>
  </si>
  <si>
    <t>P26593</t>
  </si>
  <si>
    <t>P26533</t>
  </si>
  <si>
    <t>S854</t>
  </si>
  <si>
    <t>C7667</t>
  </si>
  <si>
    <t>P77799</t>
  </si>
  <si>
    <t>C1707</t>
  </si>
  <si>
    <t>P91393</t>
  </si>
  <si>
    <t>S534</t>
  </si>
  <si>
    <t>C8877</t>
  </si>
  <si>
    <t>P48938</t>
  </si>
  <si>
    <t>C6244</t>
  </si>
  <si>
    <t>P40929</t>
  </si>
  <si>
    <t>C9962</t>
  </si>
  <si>
    <t>P81980</t>
  </si>
  <si>
    <t>C4168</t>
  </si>
  <si>
    <t>P41000</t>
  </si>
  <si>
    <t>C3531</t>
  </si>
  <si>
    <t>P47487</t>
  </si>
  <si>
    <t>C7589</t>
  </si>
  <si>
    <t>P58241</t>
  </si>
  <si>
    <t>C5723</t>
  </si>
  <si>
    <t>P84684</t>
  </si>
  <si>
    <t>C5172</t>
  </si>
  <si>
    <t>P22836</t>
  </si>
  <si>
    <t>C6562</t>
  </si>
  <si>
    <t>P83285</t>
  </si>
  <si>
    <t>C1632</t>
  </si>
  <si>
    <t>P12199</t>
  </si>
  <si>
    <t>C5795</t>
  </si>
  <si>
    <t>P20691</t>
  </si>
  <si>
    <t>P30703</t>
  </si>
  <si>
    <t>C2466</t>
  </si>
  <si>
    <t>P51876</t>
  </si>
  <si>
    <t>C3415</t>
  </si>
  <si>
    <t>S197</t>
  </si>
  <si>
    <t>C1189</t>
  </si>
  <si>
    <t>P21752</t>
  </si>
  <si>
    <t>C6873</t>
  </si>
  <si>
    <t>P38013</t>
  </si>
  <si>
    <t>S718</t>
  </si>
  <si>
    <t>C2548</t>
  </si>
  <si>
    <t>S385</t>
  </si>
  <si>
    <t>P11753</t>
  </si>
  <si>
    <t>S748</t>
  </si>
  <si>
    <t>C3883</t>
  </si>
  <si>
    <t>P97804</t>
  </si>
  <si>
    <t>C2098</t>
  </si>
  <si>
    <t>P24679</t>
  </si>
  <si>
    <t>C6835</t>
  </si>
  <si>
    <t>P83662</t>
  </si>
  <si>
    <t>S978</t>
  </si>
  <si>
    <t>C6700</t>
  </si>
  <si>
    <t>P50000</t>
  </si>
  <si>
    <t>C3349</t>
  </si>
  <si>
    <t>P24332</t>
  </si>
  <si>
    <t>P88488</t>
  </si>
  <si>
    <t>C5369</t>
  </si>
  <si>
    <t>P30325</t>
  </si>
  <si>
    <t>C1807</t>
  </si>
  <si>
    <t>P55799</t>
  </si>
  <si>
    <t>C4728</t>
  </si>
  <si>
    <t>P47304</t>
  </si>
  <si>
    <t>P16089</t>
  </si>
  <si>
    <t>S418</t>
  </si>
  <si>
    <t>C5807</t>
  </si>
  <si>
    <t>P93457</t>
  </si>
  <si>
    <t>S900</t>
  </si>
  <si>
    <t>C2526</t>
  </si>
  <si>
    <t>P96314</t>
  </si>
  <si>
    <t>P14213</t>
  </si>
  <si>
    <t>C4419</t>
  </si>
  <si>
    <t>P11144</t>
  </si>
  <si>
    <t>C1118</t>
  </si>
  <si>
    <t>P94963</t>
  </si>
  <si>
    <t>C5290</t>
  </si>
  <si>
    <t>P65034</t>
  </si>
  <si>
    <t>C5904</t>
  </si>
  <si>
    <t>P55534</t>
  </si>
  <si>
    <t>C5816</t>
  </si>
  <si>
    <t>P17188</t>
  </si>
  <si>
    <t>C7536</t>
  </si>
  <si>
    <t>P93086</t>
  </si>
  <si>
    <t>C2362</t>
  </si>
  <si>
    <t>P10925</t>
  </si>
  <si>
    <t>C8201</t>
  </si>
  <si>
    <t>P91583</t>
  </si>
  <si>
    <t>S516</t>
  </si>
  <si>
    <t>C6439</t>
  </si>
  <si>
    <t>P79843</t>
  </si>
  <si>
    <t>C9797</t>
  </si>
  <si>
    <t>P47371</t>
  </si>
  <si>
    <t>C5763</t>
  </si>
  <si>
    <t>P52294</t>
  </si>
  <si>
    <t>C7307</t>
  </si>
  <si>
    <t>P41325</t>
  </si>
  <si>
    <t>C4511</t>
  </si>
  <si>
    <t>P64030</t>
  </si>
  <si>
    <t>S438</t>
  </si>
  <si>
    <t>C7023</t>
  </si>
  <si>
    <t>P30543</t>
  </si>
  <si>
    <t>C4018</t>
  </si>
  <si>
    <t>P25299</t>
  </si>
  <si>
    <t>C5773</t>
  </si>
  <si>
    <t>P58372</t>
  </si>
  <si>
    <t>P29290</t>
  </si>
  <si>
    <t>C8088</t>
  </si>
  <si>
    <t>P22822</t>
  </si>
  <si>
    <t>C7153</t>
  </si>
  <si>
    <t>P12794</t>
  </si>
  <si>
    <t>C6906</t>
  </si>
  <si>
    <t>P34886</t>
  </si>
  <si>
    <t>C3915</t>
  </si>
  <si>
    <t>P66050</t>
  </si>
  <si>
    <t>S351</t>
  </si>
  <si>
    <t>C1902</t>
  </si>
  <si>
    <t>P48487</t>
  </si>
  <si>
    <t>C5694</t>
  </si>
  <si>
    <t>P68676</t>
  </si>
  <si>
    <t>S835</t>
  </si>
  <si>
    <t>C8639</t>
  </si>
  <si>
    <t>P27875</t>
  </si>
  <si>
    <t>C5442</t>
  </si>
  <si>
    <t>P84783</t>
  </si>
  <si>
    <t>C7593</t>
  </si>
  <si>
    <t>P40875</t>
  </si>
  <si>
    <t>S570</t>
  </si>
  <si>
    <t>C5980</t>
  </si>
  <si>
    <t>P51341</t>
  </si>
  <si>
    <t>C6319</t>
  </si>
  <si>
    <t>P54191</t>
  </si>
  <si>
    <t>S794</t>
  </si>
  <si>
    <t>C1363</t>
  </si>
  <si>
    <t>P57342</t>
  </si>
  <si>
    <t>C9956</t>
  </si>
  <si>
    <t>P15465</t>
  </si>
  <si>
    <t>C7546</t>
  </si>
  <si>
    <t>P83932</t>
  </si>
  <si>
    <t>C7382</t>
  </si>
  <si>
    <t>P52710</t>
  </si>
  <si>
    <t>P37924</t>
  </si>
  <si>
    <t>C5031</t>
  </si>
  <si>
    <t>P25029</t>
  </si>
  <si>
    <t>C6119</t>
  </si>
  <si>
    <t>P40579</t>
  </si>
  <si>
    <t>S340</t>
  </si>
  <si>
    <t>C7664</t>
  </si>
  <si>
    <t>P86377</t>
  </si>
  <si>
    <t>S635</t>
  </si>
  <si>
    <t>C6331</t>
  </si>
  <si>
    <t>P34583</t>
  </si>
  <si>
    <t>P13571</t>
  </si>
  <si>
    <t>C6434</t>
  </si>
  <si>
    <t>P86680</t>
  </si>
  <si>
    <t>P54389</t>
  </si>
  <si>
    <t>S525</t>
  </si>
  <si>
    <t>C7292</t>
  </si>
  <si>
    <t>P97097</t>
  </si>
  <si>
    <t>C6909</t>
  </si>
  <si>
    <t>P86213</t>
  </si>
  <si>
    <t>S615</t>
  </si>
  <si>
    <t>P88040</t>
  </si>
  <si>
    <t>C2897</t>
  </si>
  <si>
    <t>P87264</t>
  </si>
  <si>
    <t>C9325</t>
  </si>
  <si>
    <t>P14486</t>
  </si>
  <si>
    <t>C3959</t>
  </si>
  <si>
    <t>P39144</t>
  </si>
  <si>
    <t>C2061</t>
  </si>
  <si>
    <t>P69893</t>
  </si>
  <si>
    <t>C1766</t>
  </si>
  <si>
    <t>P39949</t>
  </si>
  <si>
    <t>S484</t>
  </si>
  <si>
    <t>C7990</t>
  </si>
  <si>
    <t>P79519</t>
  </si>
  <si>
    <t>C5939</t>
  </si>
  <si>
    <t>P79269</t>
  </si>
  <si>
    <t>C9287</t>
  </si>
  <si>
    <t>P22460</t>
  </si>
  <si>
    <t>C3074</t>
  </si>
  <si>
    <t>P26006</t>
  </si>
  <si>
    <t>S996</t>
  </si>
  <si>
    <t>C2329</t>
  </si>
  <si>
    <t>P51420</t>
  </si>
  <si>
    <t>S906</t>
  </si>
  <si>
    <t>C4976</t>
  </si>
  <si>
    <t>P98340</t>
  </si>
  <si>
    <t>C4564</t>
  </si>
  <si>
    <t>P48526</t>
  </si>
  <si>
    <t>C4054</t>
  </si>
  <si>
    <t>P18977</t>
  </si>
  <si>
    <t>C2216</t>
  </si>
  <si>
    <t>P24800</t>
  </si>
  <si>
    <t>C9667</t>
  </si>
  <si>
    <t>P43292</t>
  </si>
  <si>
    <t>S524</t>
  </si>
  <si>
    <t>C9152</t>
  </si>
  <si>
    <t>P67395</t>
  </si>
  <si>
    <t>C3416</t>
  </si>
  <si>
    <t>P25964</t>
  </si>
  <si>
    <t>S331</t>
  </si>
  <si>
    <t>C4288</t>
  </si>
  <si>
    <t>P88254</t>
  </si>
  <si>
    <t>C3446</t>
  </si>
  <si>
    <t>P13346</t>
  </si>
  <si>
    <t>C5182</t>
  </si>
  <si>
    <t>P54700</t>
  </si>
  <si>
    <t>C9746</t>
  </si>
  <si>
    <t>P15136</t>
  </si>
  <si>
    <t>C9963</t>
  </si>
  <si>
    <t>P48082</t>
  </si>
  <si>
    <t>C5872</t>
  </si>
  <si>
    <t>P53341</t>
  </si>
  <si>
    <t>C8177</t>
  </si>
  <si>
    <t>P61158</t>
  </si>
  <si>
    <t>S143</t>
  </si>
  <si>
    <t>C3177</t>
  </si>
  <si>
    <t>P80639</t>
  </si>
  <si>
    <t>C8163</t>
  </si>
  <si>
    <t>P53924</t>
  </si>
  <si>
    <t>C8771</t>
  </si>
  <si>
    <t>P11929</t>
  </si>
  <si>
    <t>P21252</t>
  </si>
  <si>
    <t>C3747</t>
  </si>
  <si>
    <t>P36641</t>
  </si>
  <si>
    <t>C1849</t>
  </si>
  <si>
    <t>P79498</t>
  </si>
  <si>
    <t>P11601</t>
  </si>
  <si>
    <t>C9301</t>
  </si>
  <si>
    <t>P96849</t>
  </si>
  <si>
    <t>C2957</t>
  </si>
  <si>
    <t>P98568</t>
  </si>
  <si>
    <t>C1744</t>
  </si>
  <si>
    <t>C6251</t>
  </si>
  <si>
    <t>P29575</t>
  </si>
  <si>
    <t>S827</t>
  </si>
  <si>
    <t>P65149</t>
  </si>
  <si>
    <t>C8002</t>
  </si>
  <si>
    <t>P69273</t>
  </si>
  <si>
    <t>P20830</t>
  </si>
  <si>
    <t>C4381</t>
  </si>
  <si>
    <t>P17447</t>
  </si>
  <si>
    <t>C1638</t>
  </si>
  <si>
    <t>P83245</t>
  </si>
  <si>
    <t>C9859</t>
  </si>
  <si>
    <t>P27399</t>
  </si>
  <si>
    <t>C6633</t>
  </si>
  <si>
    <t>P42734</t>
  </si>
  <si>
    <t>C7037</t>
  </si>
  <si>
    <t>P24426</t>
  </si>
  <si>
    <t>C1239</t>
  </si>
  <si>
    <t>P70237</t>
  </si>
  <si>
    <t>C7376</t>
  </si>
  <si>
    <t>P20114</t>
  </si>
  <si>
    <t>C7443</t>
  </si>
  <si>
    <t>P95469</t>
  </si>
  <si>
    <t>C6737</t>
  </si>
  <si>
    <t>P84975</t>
  </si>
  <si>
    <t>C1812</t>
  </si>
  <si>
    <t>P67052</t>
  </si>
  <si>
    <t>S951</t>
  </si>
  <si>
    <t>C9294</t>
  </si>
  <si>
    <t>P97469</t>
  </si>
  <si>
    <t>S891</t>
  </si>
  <si>
    <t>C3577</t>
  </si>
  <si>
    <t>P43443</t>
  </si>
  <si>
    <t>C7018</t>
  </si>
  <si>
    <t>P34236</t>
  </si>
  <si>
    <t>C9600</t>
  </si>
  <si>
    <t>P57670</t>
  </si>
  <si>
    <t>C3488</t>
  </si>
  <si>
    <t>P38897</t>
  </si>
  <si>
    <t>C9123</t>
  </si>
  <si>
    <t>P69596</t>
  </si>
  <si>
    <t>C7257</t>
  </si>
  <si>
    <t>P45035</t>
  </si>
  <si>
    <t>C6333</t>
  </si>
  <si>
    <t>P98591</t>
  </si>
  <si>
    <t>S765</t>
  </si>
  <si>
    <t>C3736</t>
  </si>
  <si>
    <t>P12838</t>
  </si>
  <si>
    <t>C7890</t>
  </si>
  <si>
    <t>P73253</t>
  </si>
  <si>
    <t>C3625</t>
  </si>
  <si>
    <t>P52591</t>
  </si>
  <si>
    <t>C2775</t>
  </si>
  <si>
    <t>P96127</t>
  </si>
  <si>
    <t>C3302</t>
  </si>
  <si>
    <t>P39123</t>
  </si>
  <si>
    <t>S241</t>
  </si>
  <si>
    <t>C3560</t>
  </si>
  <si>
    <t>P17527</t>
  </si>
  <si>
    <t>C4505</t>
  </si>
  <si>
    <t>P11084</t>
  </si>
  <si>
    <t>C7794</t>
  </si>
  <si>
    <t>P89019</t>
  </si>
  <si>
    <t>S712</t>
  </si>
  <si>
    <t>C5687</t>
  </si>
  <si>
    <t>P85236</t>
  </si>
  <si>
    <t>C1794</t>
  </si>
  <si>
    <t>P77258</t>
  </si>
  <si>
    <t>P82242</t>
  </si>
  <si>
    <t>C6528</t>
  </si>
  <si>
    <t>P45515</t>
  </si>
  <si>
    <t>C9599</t>
  </si>
  <si>
    <t>P62492</t>
  </si>
  <si>
    <t>C7920</t>
  </si>
  <si>
    <t>P65928</t>
  </si>
  <si>
    <t>C4205</t>
  </si>
  <si>
    <t>P46201</t>
  </si>
  <si>
    <t>C9921</t>
  </si>
  <si>
    <t>P71383</t>
  </si>
  <si>
    <t>S483</t>
  </si>
  <si>
    <t>C6704</t>
  </si>
  <si>
    <t>P50533</t>
  </si>
  <si>
    <t>C5954</t>
  </si>
  <si>
    <t>P43512</t>
  </si>
  <si>
    <t>C1089</t>
  </si>
  <si>
    <t>P53815</t>
  </si>
  <si>
    <t>S141</t>
  </si>
  <si>
    <t>C8811</t>
  </si>
  <si>
    <t>P87875</t>
  </si>
  <si>
    <t>C8378</t>
  </si>
  <si>
    <t>P95017</t>
  </si>
  <si>
    <t>P58260</t>
  </si>
  <si>
    <t>C1633</t>
  </si>
  <si>
    <t>P19402</t>
  </si>
  <si>
    <t>C1606</t>
  </si>
  <si>
    <t>P84399</t>
  </si>
  <si>
    <t>C9716</t>
  </si>
  <si>
    <t>C3608</t>
  </si>
  <si>
    <t>S581</t>
  </si>
  <si>
    <t>C1554</t>
  </si>
  <si>
    <t>P46104</t>
  </si>
  <si>
    <t>P19017</t>
  </si>
  <si>
    <t>C3930</t>
  </si>
  <si>
    <t>P40755</t>
  </si>
  <si>
    <t>C6529</t>
  </si>
  <si>
    <t>P18299</t>
  </si>
  <si>
    <t>C2855</t>
  </si>
  <si>
    <t>P93517</t>
  </si>
  <si>
    <t>S309</t>
  </si>
  <si>
    <t>C5350</t>
  </si>
  <si>
    <t>P40709</t>
  </si>
  <si>
    <t>S457</t>
  </si>
  <si>
    <t>C3887</t>
  </si>
  <si>
    <t>P65833</t>
  </si>
  <si>
    <t>S324</t>
  </si>
  <si>
    <t>C7714</t>
  </si>
  <si>
    <t>P20935</t>
  </si>
  <si>
    <t>S589</t>
  </si>
  <si>
    <t>C6363</t>
  </si>
  <si>
    <t>P54893</t>
  </si>
  <si>
    <t>P93127</t>
  </si>
  <si>
    <t>C9739</t>
  </si>
  <si>
    <t>P91919</t>
  </si>
  <si>
    <t>S259</t>
  </si>
  <si>
    <t>C9874</t>
  </si>
  <si>
    <t>P67600</t>
  </si>
  <si>
    <t>C5862</t>
  </si>
  <si>
    <t>P78606</t>
  </si>
  <si>
    <t>S776</t>
  </si>
  <si>
    <t>C2554</t>
  </si>
  <si>
    <t>P31983</t>
  </si>
  <si>
    <t>S686</t>
  </si>
  <si>
    <t>C4613</t>
  </si>
  <si>
    <t>P38994</t>
  </si>
  <si>
    <t>C6207</t>
  </si>
  <si>
    <t>P48585</t>
  </si>
  <si>
    <t>C2545</t>
  </si>
  <si>
    <t>P71465</t>
  </si>
  <si>
    <t>S147</t>
  </si>
  <si>
    <t>C9847</t>
  </si>
  <si>
    <t>P80417</t>
  </si>
  <si>
    <t>S322</t>
  </si>
  <si>
    <t>C8342</t>
  </si>
  <si>
    <t>P44018</t>
  </si>
  <si>
    <t>C2925</t>
  </si>
  <si>
    <t>P60189</t>
  </si>
  <si>
    <t>C9721</t>
  </si>
  <si>
    <t>P32098</t>
  </si>
  <si>
    <t>C9497</t>
  </si>
  <si>
    <t>P80440</t>
  </si>
  <si>
    <t>S961</t>
  </si>
  <si>
    <t>C2685</t>
  </si>
  <si>
    <t>P45682</t>
  </si>
  <si>
    <t>C3693</t>
  </si>
  <si>
    <t>P82417</t>
  </si>
  <si>
    <t>C2249</t>
  </si>
  <si>
    <t>P32970</t>
  </si>
  <si>
    <t>S305</t>
  </si>
  <si>
    <t>C6303</t>
  </si>
  <si>
    <t>P28018</t>
  </si>
  <si>
    <t>C4530</t>
  </si>
  <si>
    <t>P74713</t>
  </si>
  <si>
    <t>P21955</t>
  </si>
  <si>
    <t>C1466</t>
  </si>
  <si>
    <t>P58555</t>
  </si>
  <si>
    <t>C9692</t>
  </si>
  <si>
    <t>P56741</t>
  </si>
  <si>
    <t>S333</t>
  </si>
  <si>
    <t>C2601</t>
  </si>
  <si>
    <t>P32151</t>
  </si>
  <si>
    <t>C8135</t>
  </si>
  <si>
    <t>P36657</t>
  </si>
  <si>
    <t>C7287</t>
  </si>
  <si>
    <t>P44173</t>
  </si>
  <si>
    <t>C3751</t>
  </si>
  <si>
    <t>P99424</t>
  </si>
  <si>
    <t>S837</t>
  </si>
  <si>
    <t>C1269</t>
  </si>
  <si>
    <t>P99624</t>
  </si>
  <si>
    <t>C6474</t>
  </si>
  <si>
    <t>P27864</t>
  </si>
  <si>
    <t>P65803</t>
  </si>
  <si>
    <t>C1854</t>
  </si>
  <si>
    <t>P87228</t>
  </si>
  <si>
    <t>C9657</t>
  </si>
  <si>
    <t>P22777</t>
  </si>
  <si>
    <t>S868</t>
  </si>
  <si>
    <t>C5275</t>
  </si>
  <si>
    <t>P87027</t>
  </si>
  <si>
    <t>S732</t>
  </si>
  <si>
    <t>C8230</t>
  </si>
  <si>
    <t>P91331</t>
  </si>
  <si>
    <t>C3256</t>
  </si>
  <si>
    <t>P45402</t>
  </si>
  <si>
    <t>P41460</t>
  </si>
  <si>
    <t>C3657</t>
  </si>
  <si>
    <t>P54935</t>
  </si>
  <si>
    <t>C8778</t>
  </si>
  <si>
    <t>P37446</t>
  </si>
  <si>
    <t>C9400</t>
  </si>
  <si>
    <t>P74669</t>
  </si>
  <si>
    <t>C5510</t>
  </si>
  <si>
    <t>P83541</t>
  </si>
  <si>
    <t>P16294</t>
  </si>
  <si>
    <t>S458</t>
  </si>
  <si>
    <t>C3972</t>
  </si>
  <si>
    <t>P86848</t>
  </si>
  <si>
    <t>C6779</t>
  </si>
  <si>
    <t>P39063</t>
  </si>
  <si>
    <t>S453</t>
  </si>
  <si>
    <t>C4420</t>
  </si>
  <si>
    <t>P12068</t>
  </si>
  <si>
    <t>S810</t>
  </si>
  <si>
    <t>C7389</t>
  </si>
  <si>
    <t>P74802</t>
  </si>
  <si>
    <t>C3389</t>
  </si>
  <si>
    <t>P83694</t>
  </si>
  <si>
    <t>C1489</t>
  </si>
  <si>
    <t>P76520</t>
  </si>
  <si>
    <t>C9075</t>
  </si>
  <si>
    <t>P66782</t>
  </si>
  <si>
    <t>C5059</t>
  </si>
  <si>
    <t>P86821</t>
  </si>
  <si>
    <t>P81123</t>
  </si>
  <si>
    <t>C5447</t>
  </si>
  <si>
    <t>P30523</t>
  </si>
  <si>
    <t>S691</t>
  </si>
  <si>
    <t>C7174</t>
  </si>
  <si>
    <t>P25689</t>
  </si>
  <si>
    <t>C4237</t>
  </si>
  <si>
    <t>P11027</t>
  </si>
  <si>
    <t>P75481</t>
  </si>
  <si>
    <t>C4654</t>
  </si>
  <si>
    <t>P74372</t>
  </si>
  <si>
    <t>C3364</t>
  </si>
  <si>
    <t>P25072</t>
  </si>
  <si>
    <t>S496</t>
  </si>
  <si>
    <t>C9501</t>
  </si>
  <si>
    <t>P35594</t>
  </si>
  <si>
    <t>C7088</t>
  </si>
  <si>
    <t>P52044</t>
  </si>
  <si>
    <t>C8952</t>
  </si>
  <si>
    <t>P34440</t>
  </si>
  <si>
    <t>C9614</t>
  </si>
  <si>
    <t>P35147</t>
  </si>
  <si>
    <t>C1316</t>
  </si>
  <si>
    <t>P25977</t>
  </si>
  <si>
    <t>P69643</t>
  </si>
  <si>
    <t>C8829</t>
  </si>
  <si>
    <t>P93816</t>
  </si>
  <si>
    <t>C7501</t>
  </si>
  <si>
    <t>P88845</t>
  </si>
  <si>
    <t>P40736</t>
  </si>
  <si>
    <t>C3400</t>
  </si>
  <si>
    <t>P79814</t>
  </si>
  <si>
    <t>C9773</t>
  </si>
  <si>
    <t>P59939</t>
  </si>
  <si>
    <t>C3886</t>
  </si>
  <si>
    <t>P97108</t>
  </si>
  <si>
    <t>S925</t>
  </si>
  <si>
    <t>C5043</t>
  </si>
  <si>
    <t>C6622</t>
  </si>
  <si>
    <t>P23570</t>
  </si>
  <si>
    <t>C6437</t>
  </si>
  <si>
    <t>P61134</t>
  </si>
  <si>
    <t>S690</t>
  </si>
  <si>
    <t>C3673</t>
  </si>
  <si>
    <t>P56921</t>
  </si>
  <si>
    <t>C3946</t>
  </si>
  <si>
    <t>P26472</t>
  </si>
  <si>
    <t>C8153</t>
  </si>
  <si>
    <t>P47310</t>
  </si>
  <si>
    <t>C5087</t>
  </si>
  <si>
    <t>P42655</t>
  </si>
  <si>
    <t>C1360</t>
  </si>
  <si>
    <t>P80135</t>
  </si>
  <si>
    <t>P37955</t>
  </si>
  <si>
    <t>C8445</t>
  </si>
  <si>
    <t>P89817</t>
  </si>
  <si>
    <t>C5715</t>
  </si>
  <si>
    <t>P44162</t>
  </si>
  <si>
    <t>C7090</t>
  </si>
  <si>
    <t>P21377</t>
  </si>
  <si>
    <t>C5734</t>
  </si>
  <si>
    <t>P95293</t>
  </si>
  <si>
    <t>C4822</t>
  </si>
  <si>
    <t>P65305</t>
  </si>
  <si>
    <t>S401</t>
  </si>
  <si>
    <t>C3420</t>
  </si>
  <si>
    <t>P94448</t>
  </si>
  <si>
    <t>C3662</t>
  </si>
  <si>
    <t>P70049</t>
  </si>
  <si>
    <t>C5258</t>
  </si>
  <si>
    <t>P79907</t>
  </si>
  <si>
    <t>P80288</t>
  </si>
  <si>
    <t>C5994</t>
  </si>
  <si>
    <t>P14696</t>
  </si>
  <si>
    <t>C5909</t>
  </si>
  <si>
    <t>P83563</t>
  </si>
  <si>
    <t>C4142</t>
  </si>
  <si>
    <t>P36409</t>
  </si>
  <si>
    <t>C5950</t>
  </si>
  <si>
    <t>P99007</t>
  </si>
  <si>
    <t>S181</t>
  </si>
  <si>
    <t>profit</t>
  </si>
  <si>
    <t>order_id</t>
  </si>
  <si>
    <t>order_date</t>
  </si>
  <si>
    <t>shipment_date</t>
  </si>
  <si>
    <t>delivery_date</t>
  </si>
  <si>
    <t>customer_id</t>
  </si>
  <si>
    <t>customer_region</t>
  </si>
  <si>
    <t>customer_country</t>
  </si>
  <si>
    <t>product_id</t>
  </si>
  <si>
    <t>product_name</t>
  </si>
  <si>
    <t>product_category</t>
  </si>
  <si>
    <t>supplier_id</t>
  </si>
  <si>
    <t>supplier_name</t>
  </si>
  <si>
    <t>supplier_region</t>
  </si>
  <si>
    <t>warehouse_id</t>
  </si>
  <si>
    <t>warehouse_location</t>
  </si>
  <si>
    <t>transportation_mode</t>
  </si>
  <si>
    <t>order_quantity</t>
  </si>
  <si>
    <t>unit_price</t>
  </si>
  <si>
    <t>total_cost</t>
  </si>
  <si>
    <t>shipping_cost</t>
  </si>
  <si>
    <t>inventory_level</t>
  </si>
  <si>
    <t>order_status</t>
  </si>
  <si>
    <t>shipment_to_delivery_days</t>
  </si>
  <si>
    <t>order_to_delivery_days</t>
  </si>
  <si>
    <t>delivery_performance</t>
  </si>
  <si>
    <t>On Time</t>
  </si>
  <si>
    <t>Not Yet Delivered</t>
  </si>
  <si>
    <t>Row Labels</t>
  </si>
  <si>
    <t>Grand Total</t>
  </si>
  <si>
    <t>Count of order_id</t>
  </si>
  <si>
    <t>Sum of profit</t>
  </si>
  <si>
    <t>Average of order_to_delivery_days</t>
  </si>
  <si>
    <t>Region</t>
  </si>
  <si>
    <t>Total Order</t>
  </si>
  <si>
    <t>Total Profit</t>
  </si>
  <si>
    <t>Average Delivery Time</t>
  </si>
  <si>
    <t>On time Delivery rate</t>
  </si>
  <si>
    <t>Cancellation Rate</t>
  </si>
  <si>
    <t>Supply Chain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</si>
</sst>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,,&quot;M&quot;"/>
    <numFmt numFmtId="171" formatCode="0\ &quot;Days&quot;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1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71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9" fontId="2" fillId="2" borderId="0" xfId="1" applyFont="1" applyFill="1" applyAlignment="1">
      <alignment horizontal="center"/>
    </xf>
  </cellXfs>
  <cellStyles count="2">
    <cellStyle name="Normal" xfId="0" builtinId="0"/>
    <cellStyle name="Per cent" xfId="1" builtinId="5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[supplychain_analysis.xlsx]Pivot_DeliveryPerformance!PivotTable1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Delivery Performance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0.16436417322834651"/>
              <c:y val="-6.03222513852435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8.1220691163604544E-2"/>
              <c:y val="0.172819699620880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0.13816141732283466"/>
              <c:y val="-7.26520122484689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Pivot_DeliveryPerformance!$B$3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F94-4C51-AB5D-E97D29FB45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F94-4C51-AB5D-E97D29FB45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94-4C51-AB5D-E97D29FB458A}"/>
              </c:ext>
            </c:extLst>
          </c:dPt>
          <c:dLbls>
            <c:dLbl>
              <c:idx val="0"/>
              <c:layout>
                <c:manualLayout>
                  <c:x val="-0.16436417322834651"/>
                  <c:y val="-6.032225138524359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94-4C51-AB5D-E97D29FB458A}"/>
                </c:ext>
              </c:extLst>
            </c:dLbl>
            <c:dLbl>
              <c:idx val="1"/>
              <c:layout>
                <c:manualLayout>
                  <c:x val="0.13816141732283466"/>
                  <c:y val="-7.265201224846894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94-4C51-AB5D-E97D29FB458A}"/>
                </c:ext>
              </c:extLst>
            </c:dLbl>
            <c:dLbl>
              <c:idx val="2"/>
              <c:layout>
                <c:manualLayout>
                  <c:x val="8.1220691163604544E-2"/>
                  <c:y val="0.1728196996208806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94-4C51-AB5D-E97D29FB45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Pivot_DeliveryPerformance!$A$4:$A$7</c:f>
              <c:strCache>
                <c:ptCount val="3"/>
                <c:pt idx="0">
                  <c:v>Delayed</c:v>
                </c:pt>
                <c:pt idx="1">
                  <c:v>On Time</c:v>
                </c:pt>
                <c:pt idx="2">
                  <c:v>Not Yet Delivered</c:v>
                </c:pt>
              </c:strCache>
            </c:strRef>
          </c:cat>
          <c:val>
            <c:numRef>
              <c:f>Pivot_DeliveryPerformance!$B$4:$B$7</c:f>
              <c:numCache>
                <c:formatCode>General</c:formatCode>
                <c:ptCount val="3"/>
                <c:pt idx="0">
                  <c:v>829</c:v>
                </c:pt>
                <c:pt idx="1">
                  <c:v>407</c:v>
                </c:pt>
                <c:pt idx="2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4-4C51-AB5D-E97D29FB458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[supplychain_analysis.xlsx]Pivot_ProfitByTransportMode!PivotTable2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Profit By Transport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Pivot_ProfitByTransportMode!$B$3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Pivot_ProfitByTransportMode!$A$4:$A$8</c:f>
              <c:strCache>
                <c:ptCount val="4"/>
                <c:pt idx="0">
                  <c:v>Rail</c:v>
                </c:pt>
                <c:pt idx="1">
                  <c:v>Sea</c:v>
                </c:pt>
                <c:pt idx="2">
                  <c:v>Air</c:v>
                </c:pt>
                <c:pt idx="3">
                  <c:v>Road</c:v>
                </c:pt>
              </c:strCache>
            </c:strRef>
          </c:cat>
          <c:val>
            <c:numRef>
              <c:f>Pivot_ProfitByTransportMode!$B$4:$B$8</c:f>
              <c:numCache>
                <c:formatCode>General</c:formatCode>
                <c:ptCount val="4"/>
                <c:pt idx="0">
                  <c:v>1966012.5900000003</c:v>
                </c:pt>
                <c:pt idx="1">
                  <c:v>1836152.8299999987</c:v>
                </c:pt>
                <c:pt idx="2">
                  <c:v>1788199.4600000009</c:v>
                </c:pt>
                <c:pt idx="3">
                  <c:v>1666838.0100000016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F-4B1F-B4C6-B9CB86F3F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543919"/>
        <c:axId val="1801600895"/>
      </c:barChart>
      <c:catAx>
        <c:axId val="432543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0895"/>
        <c:crosses val="autoZero"/>
        <c:auto val="1"/>
        <c:lblAlgn val="ctr"/>
        <c:lblOffset val="100"/>
        <c:noMultiLvlLbl val="0"/>
      </c:catAx>
      <c:valAx>
        <c:axId val="18016008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4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[supplychain_analysis.xlsx]Pivot_DeliveryTimeByMode!PivotTable5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Delivery Time By Transportation Mode (days)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Pivot_DeliveryTimeByMode!$B$3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Pivot_DeliveryTimeByMode!$A$4:$A$8</c:f>
              <c:strCache>
                <c:ptCount val="4"/>
                <c:pt idx="0">
                  <c:v>Sea</c:v>
                </c:pt>
                <c:pt idx="1">
                  <c:v>Rail</c:v>
                </c:pt>
                <c:pt idx="2">
                  <c:v>Road</c:v>
                </c:pt>
                <c:pt idx="3">
                  <c:v>Air</c:v>
                </c:pt>
              </c:strCache>
            </c:strRef>
          </c:cat>
          <c:val>
            <c:numRef>
              <c:f>Pivot_DeliveryTimeByMode!$B$4:$B$8</c:f>
              <c:numCache>
                <c:formatCode>0</c:formatCode>
                <c:ptCount val="4"/>
                <c:pt idx="0">
                  <c:v>20.338797814207652</c:v>
                </c:pt>
                <c:pt idx="1">
                  <c:v>11.984</c:v>
                </c:pt>
                <c:pt idx="2">
                  <c:v>9.0686015831134572</c:v>
                </c:pt>
                <c:pt idx="3">
                  <c:v>6.1263157894736846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3-40E0-B4A6-DC504CCB5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544847"/>
        <c:axId val="1978136991"/>
      </c:barChart>
      <c:catAx>
        <c:axId val="43254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36991"/>
        <c:crosses val="autoZero"/>
        <c:auto val="1"/>
        <c:lblAlgn val="ctr"/>
        <c:lblOffset val="100"/>
        <c:noMultiLvlLbl val="0"/>
      </c:catAx>
      <c:valAx>
        <c:axId val="197813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4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[supplychain_analysis.xlsx]Pivot_StatusByRegion!PivotTable6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</a:t>
            </a:r>
            <a:r>
              <a:rPr lang="en-GB" baseline="0"/>
              <a:t> Status By Customer Region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Pivot_StatusByRegion!$B$3:$B$4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Pivot_StatusByRegion!$A$5:$A$10</c:f>
              <c:strCache>
                <c:ptCount val="5"/>
                <c:pt idx="0">
                  <c:v>North America</c:v>
                </c:pt>
                <c:pt idx="1">
                  <c:v>Middle East</c:v>
                </c:pt>
                <c:pt idx="2">
                  <c:v>Asia</c:v>
                </c:pt>
                <c:pt idx="3">
                  <c:v>Africa</c:v>
                </c:pt>
                <c:pt idx="4">
                  <c:v>Europe</c:v>
                </c:pt>
              </c:strCache>
            </c:strRef>
          </c:cat>
          <c:val>
            <c:numRef>
              <c:f>Pivot_StatusByRegion!$B$5:$B$10</c:f>
              <c:numCache>
                <c:formatCode>General</c:formatCode>
                <c:ptCount val="5"/>
                <c:pt idx="0">
                  <c:v>271</c:v>
                </c:pt>
                <c:pt idx="1">
                  <c:v>251</c:v>
                </c:pt>
                <c:pt idx="2">
                  <c:v>245</c:v>
                </c:pt>
                <c:pt idx="3">
                  <c:v>240</c:v>
                </c:pt>
                <c:pt idx="4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8-47A5-8853-3F6B43DC9713}"/>
            </c:ext>
          </c:extLst>
        </c:ser>
        <c:ser>
          <c:idx val="1"/>
          <c:order val="1"/>
          <c:tx>
            <c:strRef>
              <c:f>Pivot_StatusByRegion!$C$3:$C$4</c:f>
              <c:strCache>
                <c:ptCount val="1"/>
                <c:pt idx="0">
                  <c:v>In Transit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Pivot_StatusByRegion!$A$5:$A$10</c:f>
              <c:strCache>
                <c:ptCount val="5"/>
                <c:pt idx="0">
                  <c:v>North America</c:v>
                </c:pt>
                <c:pt idx="1">
                  <c:v>Middle East</c:v>
                </c:pt>
                <c:pt idx="2">
                  <c:v>Asia</c:v>
                </c:pt>
                <c:pt idx="3">
                  <c:v>Africa</c:v>
                </c:pt>
                <c:pt idx="4">
                  <c:v>Europe</c:v>
                </c:pt>
              </c:strCache>
            </c:strRef>
          </c:cat>
          <c:val>
            <c:numRef>
              <c:f>Pivot_StatusByRegion!$C$5:$C$10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26</c:v>
                </c:pt>
                <c:pt idx="3">
                  <c:v>25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8-47A5-8853-3F6B43DC9713}"/>
            </c:ext>
          </c:extLst>
        </c:ser>
        <c:ser>
          <c:idx val="2"/>
          <c:order val="2"/>
          <c:tx>
            <c:strRef>
              <c:f>Pivot_StatusByRegion!$D$3:$D$4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Pivot_StatusByRegion!$A$5:$A$10</c:f>
              <c:strCache>
                <c:ptCount val="5"/>
                <c:pt idx="0">
                  <c:v>North America</c:v>
                </c:pt>
                <c:pt idx="1">
                  <c:v>Middle East</c:v>
                </c:pt>
                <c:pt idx="2">
                  <c:v>Asia</c:v>
                </c:pt>
                <c:pt idx="3">
                  <c:v>Africa</c:v>
                </c:pt>
                <c:pt idx="4">
                  <c:v>Europe</c:v>
                </c:pt>
              </c:strCache>
            </c:strRef>
          </c:cat>
          <c:val>
            <c:numRef>
              <c:f>Pivot_StatusByRegion!$D$5:$D$10</c:f>
              <c:numCache>
                <c:formatCode>General</c:formatCode>
                <c:ptCount val="5"/>
                <c:pt idx="0">
                  <c:v>22</c:v>
                </c:pt>
                <c:pt idx="1">
                  <c:v>16</c:v>
                </c:pt>
                <c:pt idx="2">
                  <c:v>21</c:v>
                </c:pt>
                <c:pt idx="3">
                  <c:v>13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8-47A5-8853-3F6B43DC9713}"/>
            </c:ext>
          </c:extLst>
        </c:ser>
        <c:ser>
          <c:idx val="3"/>
          <c:order val="3"/>
          <c:tx>
            <c:strRef>
              <c:f>Pivot_StatusByRegion!$E$3:$E$4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Pivot_StatusByRegion!$A$5:$A$10</c:f>
              <c:strCache>
                <c:ptCount val="5"/>
                <c:pt idx="0">
                  <c:v>North America</c:v>
                </c:pt>
                <c:pt idx="1">
                  <c:v>Middle East</c:v>
                </c:pt>
                <c:pt idx="2">
                  <c:v>Asia</c:v>
                </c:pt>
                <c:pt idx="3">
                  <c:v>Africa</c:v>
                </c:pt>
                <c:pt idx="4">
                  <c:v>Europe</c:v>
                </c:pt>
              </c:strCache>
            </c:strRef>
          </c:cat>
          <c:val>
            <c:numRef>
              <c:f>Pivot_StatusByRegion!$E$5:$E$10</c:f>
              <c:numCache>
                <c:formatCode>General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38-47A5-8853-3F6B43DC9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568511"/>
        <c:axId val="1978146591"/>
      </c:barChart>
      <c:catAx>
        <c:axId val="4325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46591"/>
        <c:crosses val="autoZero"/>
        <c:auto val="1"/>
        <c:lblAlgn val="ctr"/>
        <c:lblOffset val="100"/>
        <c:noMultiLvlLbl val="0"/>
      </c:catAx>
      <c:valAx>
        <c:axId val="197814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6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[supplychain_analysis.xlsx]Pivot_DeliveryPerformance!PivotTable1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Delivery Performance Breakdown</a:t>
            </a:r>
          </a:p>
        </c:rich>
      </c:tx>
      <c:layout>
        <c:manualLayout>
          <c:xMode val="edge"/>
          <c:yMode val="edge"/>
          <c:x val="2.8474576271186446E-2"/>
          <c:y val="5.03144654088050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0.16436417322834651"/>
              <c:y val="-6.0322251385243594E-2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8.1220691163604544E-2"/>
              <c:y val="0.17281969962088067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0.13816141732283466"/>
              <c:y val="-7.2652012248468942E-2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0.16436417322834651"/>
              <c:y val="-6.0322251385243594E-2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0.13816141732283466"/>
              <c:y val="-7.2652012248468942E-2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8.1220691163604544E-2"/>
              <c:y val="0.17281969962088067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436417322834651"/>
              <c:y val="-6.032225138524359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E1E1CA9-D30C-410F-8119-2EA21657FB63}" type="PERCENTAGE">
                  <a:rPr lang="en-US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[PERCENTAGE]</a:t>
                </a:fld>
                <a:endParaRPr lang="en-GB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3816141732283466"/>
              <c:y val="-7.26520122484689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9713292207900724E-2"/>
              <c:y val="0.13508393997920071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CE335075-9F63-4E61-98B1-76005BAE9B8E}" type="PERCENTAGE">
                  <a:rPr lang="en-US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[PERCENTAGE]</a:t>
                </a:fld>
                <a:endParaRPr lang="en-GB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Pivot_DeliveryPerformance!$B$3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46-4CD5-B38E-7C23D1FCAF2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46-4CD5-B38E-7C23D1FCAF2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46-4CD5-B38E-7C23D1FCAF28}"/>
              </c:ext>
            </c:extLst>
          </c:dPt>
          <c:dLbls>
            <c:dLbl>
              <c:idx val="0"/>
              <c:layout>
                <c:manualLayout>
                  <c:x val="-0.16436417322834651"/>
                  <c:y val="-6.0322251385243594E-2"/>
                </c:manualLayout>
              </c:layout>
              <c:tx>
                <c:rich>
                  <a:bodyPr/>
                  <a:lstStyle/>
                  <a:p>
                    <a:fld id="{FE1E1CA9-D30C-410F-8119-2EA21657FB63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GB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E46-4CD5-B38E-7C23D1FCAF28}"/>
                </c:ext>
              </c:extLst>
            </c:dLbl>
            <c:dLbl>
              <c:idx val="1"/>
              <c:layout>
                <c:manualLayout>
                  <c:x val="0.13816141732283466"/>
                  <c:y val="-7.265201224846894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46-4CD5-B38E-7C23D1FCAF28}"/>
                </c:ext>
              </c:extLst>
            </c:dLbl>
            <c:dLbl>
              <c:idx val="2"/>
              <c:layout>
                <c:manualLayout>
                  <c:x val="8.9713292207900724E-2"/>
                  <c:y val="0.13508393997920071"/>
                </c:manualLayout>
              </c:layout>
              <c:tx>
                <c:rich>
                  <a:bodyPr/>
                  <a:lstStyle/>
                  <a:p>
                    <a:fld id="{CE335075-9F63-4E61-98B1-76005BAE9B8E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GB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E46-4CD5-B38E-7C23D1FCAF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Pivot_DeliveryPerformance!$A$4:$A$7</c:f>
              <c:strCache>
                <c:ptCount val="3"/>
                <c:pt idx="0">
                  <c:v>Delayed</c:v>
                </c:pt>
                <c:pt idx="1">
                  <c:v>On Time</c:v>
                </c:pt>
                <c:pt idx="2">
                  <c:v>Not Yet Delivered</c:v>
                </c:pt>
              </c:strCache>
            </c:strRef>
          </c:cat>
          <c:val>
            <c:numRef>
              <c:f>Pivot_DeliveryPerformance!$B$4:$B$7</c:f>
              <c:numCache>
                <c:formatCode>General</c:formatCode>
                <c:ptCount val="3"/>
                <c:pt idx="0">
                  <c:v>829</c:v>
                </c:pt>
                <c:pt idx="1">
                  <c:v>407</c:v>
                </c:pt>
                <c:pt idx="2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46-4CD5-B38E-7C23D1FCAF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[supplychain_analysis.xlsx]Pivot_ProfitByTransportMode!PivotTable2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Profit By Transport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Pivot_ProfitByTransportMode!$B$3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Pivot_ProfitByTransportMode!$A$4:$A$8</c:f>
              <c:strCache>
                <c:ptCount val="4"/>
                <c:pt idx="0">
                  <c:v>Rail</c:v>
                </c:pt>
                <c:pt idx="1">
                  <c:v>Sea</c:v>
                </c:pt>
                <c:pt idx="2">
                  <c:v>Air</c:v>
                </c:pt>
                <c:pt idx="3">
                  <c:v>Road</c:v>
                </c:pt>
              </c:strCache>
            </c:strRef>
          </c:cat>
          <c:val>
            <c:numRef>
              <c:f>Pivot_ProfitByTransportMode!$B$4:$B$8</c:f>
              <c:numCache>
                <c:formatCode>General</c:formatCode>
                <c:ptCount val="4"/>
                <c:pt idx="0">
                  <c:v>1966012.5900000003</c:v>
                </c:pt>
                <c:pt idx="1">
                  <c:v>1836152.8299999987</c:v>
                </c:pt>
                <c:pt idx="2">
                  <c:v>1788199.4600000009</c:v>
                </c:pt>
                <c:pt idx="3">
                  <c:v>1666838.0100000016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2-4D5A-8E51-7C472AC21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432543919"/>
        <c:axId val="1801600895"/>
      </c:barChart>
      <c:catAx>
        <c:axId val="43254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0895"/>
        <c:crosses val="autoZero"/>
        <c:auto val="1"/>
        <c:lblAlgn val="ctr"/>
        <c:lblOffset val="100"/>
        <c:noMultiLvlLbl val="0"/>
      </c:catAx>
      <c:valAx>
        <c:axId val="1801600895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4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[supplychain_analysis.xlsx]Pivot_DeliveryTimeByMode!PivotTable5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Delivery Time By Transportation Mode (Days)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Pivot_DeliveryTimeByMode!$B$3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Pivot_DeliveryTimeByMode!$A$4:$A$8</c:f>
              <c:strCache>
                <c:ptCount val="4"/>
                <c:pt idx="0">
                  <c:v>Sea</c:v>
                </c:pt>
                <c:pt idx="1">
                  <c:v>Rail</c:v>
                </c:pt>
                <c:pt idx="2">
                  <c:v>Road</c:v>
                </c:pt>
                <c:pt idx="3">
                  <c:v>Air</c:v>
                </c:pt>
              </c:strCache>
            </c:strRef>
          </c:cat>
          <c:val>
            <c:numRef>
              <c:f>Pivot_DeliveryTimeByMode!$B$4:$B$8</c:f>
              <c:numCache>
                <c:formatCode>0</c:formatCode>
                <c:ptCount val="4"/>
                <c:pt idx="0">
                  <c:v>20.338797814207652</c:v>
                </c:pt>
                <c:pt idx="1">
                  <c:v>11.984</c:v>
                </c:pt>
                <c:pt idx="2">
                  <c:v>9.0686015831134572</c:v>
                </c:pt>
                <c:pt idx="3">
                  <c:v>6.1263157894736846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2-4BB2-8CB9-C04AA8855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32544847"/>
        <c:axId val="1978136991"/>
      </c:barChart>
      <c:catAx>
        <c:axId val="43254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36991"/>
        <c:crosses val="autoZero"/>
        <c:auto val="1"/>
        <c:lblAlgn val="ctr"/>
        <c:lblOffset val="100"/>
        <c:noMultiLvlLbl val="0"/>
      </c:catAx>
      <c:valAx>
        <c:axId val="197813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4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[supplychain_analysis.xlsx]Pivot_StatusByRegion!PivotTable6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</a:t>
            </a:r>
            <a:r>
              <a:rPr lang="en-GB" baseline="0"/>
              <a:t> Status By Customer Region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Pivot_StatusByRegion!$B$3:$B$4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Pivot_StatusByRegion!$A$5:$A$10</c:f>
              <c:strCache>
                <c:ptCount val="5"/>
                <c:pt idx="0">
                  <c:v>North America</c:v>
                </c:pt>
                <c:pt idx="1">
                  <c:v>Middle East</c:v>
                </c:pt>
                <c:pt idx="2">
                  <c:v>Asia</c:v>
                </c:pt>
                <c:pt idx="3">
                  <c:v>Africa</c:v>
                </c:pt>
                <c:pt idx="4">
                  <c:v>Europe</c:v>
                </c:pt>
              </c:strCache>
            </c:strRef>
          </c:cat>
          <c:val>
            <c:numRef>
              <c:f>Pivot_StatusByRegion!$B$5:$B$10</c:f>
              <c:numCache>
                <c:formatCode>General</c:formatCode>
                <c:ptCount val="5"/>
                <c:pt idx="0">
                  <c:v>271</c:v>
                </c:pt>
                <c:pt idx="1">
                  <c:v>251</c:v>
                </c:pt>
                <c:pt idx="2">
                  <c:v>245</c:v>
                </c:pt>
                <c:pt idx="3">
                  <c:v>240</c:v>
                </c:pt>
                <c:pt idx="4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5-470C-822E-E2ACFAE4E150}"/>
            </c:ext>
          </c:extLst>
        </c:ser>
        <c:ser>
          <c:idx val="1"/>
          <c:order val="1"/>
          <c:tx>
            <c:strRef>
              <c:f>Pivot_StatusByRegion!$C$3:$C$4</c:f>
              <c:strCache>
                <c:ptCount val="1"/>
                <c:pt idx="0">
                  <c:v>In Transit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Pivot_StatusByRegion!$A$5:$A$10</c:f>
              <c:strCache>
                <c:ptCount val="5"/>
                <c:pt idx="0">
                  <c:v>North America</c:v>
                </c:pt>
                <c:pt idx="1">
                  <c:v>Middle East</c:v>
                </c:pt>
                <c:pt idx="2">
                  <c:v>Asia</c:v>
                </c:pt>
                <c:pt idx="3">
                  <c:v>Africa</c:v>
                </c:pt>
                <c:pt idx="4">
                  <c:v>Europe</c:v>
                </c:pt>
              </c:strCache>
            </c:strRef>
          </c:cat>
          <c:val>
            <c:numRef>
              <c:f>Pivot_StatusByRegion!$C$5:$C$10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26</c:v>
                </c:pt>
                <c:pt idx="3">
                  <c:v>25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5-470C-822E-E2ACFAE4E150}"/>
            </c:ext>
          </c:extLst>
        </c:ser>
        <c:ser>
          <c:idx val="2"/>
          <c:order val="2"/>
          <c:tx>
            <c:strRef>
              <c:f>Pivot_StatusByRegion!$D$3:$D$4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Pivot_StatusByRegion!$A$5:$A$10</c:f>
              <c:strCache>
                <c:ptCount val="5"/>
                <c:pt idx="0">
                  <c:v>North America</c:v>
                </c:pt>
                <c:pt idx="1">
                  <c:v>Middle East</c:v>
                </c:pt>
                <c:pt idx="2">
                  <c:v>Asia</c:v>
                </c:pt>
                <c:pt idx="3">
                  <c:v>Africa</c:v>
                </c:pt>
                <c:pt idx="4">
                  <c:v>Europe</c:v>
                </c:pt>
              </c:strCache>
            </c:strRef>
          </c:cat>
          <c:val>
            <c:numRef>
              <c:f>Pivot_StatusByRegion!$D$5:$D$10</c:f>
              <c:numCache>
                <c:formatCode>General</c:formatCode>
                <c:ptCount val="5"/>
                <c:pt idx="0">
                  <c:v>22</c:v>
                </c:pt>
                <c:pt idx="1">
                  <c:v>16</c:v>
                </c:pt>
                <c:pt idx="2">
                  <c:v>21</c:v>
                </c:pt>
                <c:pt idx="3">
                  <c:v>13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5-470C-822E-E2ACFAE4E150}"/>
            </c:ext>
          </c:extLst>
        </c:ser>
        <c:ser>
          <c:idx val="3"/>
          <c:order val="3"/>
          <c:tx>
            <c:strRef>
              <c:f>Pivot_StatusByRegion!$E$3:$E$4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Pivot_StatusByRegion!$A$5:$A$10</c:f>
              <c:strCache>
                <c:ptCount val="5"/>
                <c:pt idx="0">
                  <c:v>North America</c:v>
                </c:pt>
                <c:pt idx="1">
                  <c:v>Middle East</c:v>
                </c:pt>
                <c:pt idx="2">
                  <c:v>Asia</c:v>
                </c:pt>
                <c:pt idx="3">
                  <c:v>Africa</c:v>
                </c:pt>
                <c:pt idx="4">
                  <c:v>Europe</c:v>
                </c:pt>
              </c:strCache>
            </c:strRef>
          </c:cat>
          <c:val>
            <c:numRef>
              <c:f>Pivot_StatusByRegion!$E$5:$E$10</c:f>
              <c:numCache>
                <c:formatCode>General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05-470C-822E-E2ACFAE4E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568511"/>
        <c:axId val="1978146591"/>
      </c:barChart>
      <c:catAx>
        <c:axId val="4325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46591"/>
        <c:crosses val="autoZero"/>
        <c:auto val="1"/>
        <c:lblAlgn val="ctr"/>
        <c:lblOffset val="100"/>
        <c:noMultiLvlLbl val="0"/>
      </c:catAx>
      <c:valAx>
        <c:axId val="197814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6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3</xdr:row>
      <xdr:rowOff>90487</xdr:rowOff>
    </xdr:from>
    <xdr:to>
      <xdr:col>9</xdr:col>
      <xdr:colOff>447675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F0FCCA-3291-0215-2C75-FEA3D7C4F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3</xdr:row>
      <xdr:rowOff>71437</xdr:rowOff>
    </xdr:from>
    <xdr:to>
      <xdr:col>10</xdr:col>
      <xdr:colOff>247650</xdr:colOff>
      <xdr:row>17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3330E8-628F-6AA1-766D-359EE72DF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1428750</xdr:colOff>
      <xdr:row>3</xdr:row>
      <xdr:rowOff>90487</xdr:rowOff>
    </xdr:from>
    <xdr:to>
      <xdr:col>8</xdr:col>
      <xdr:colOff>190500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908B60-A5D0-1580-6D9B-3823C2E37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71437</xdr:rowOff>
    </xdr:from>
    <xdr:to>
      <xdr:col>14</xdr:col>
      <xdr:colOff>304800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AE255-EC98-075A-EAE9-6B644A478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435430</xdr:colOff>
      <xdr:row>8</xdr:row>
      <xdr:rowOff>56910</xdr:rowOff>
    </xdr:from>
    <xdr:to>
      <xdr:col>14</xdr:col>
      <xdr:colOff>1056556</xdr:colOff>
      <xdr:row>19</xdr:row>
      <xdr:rowOff>27214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CD0FC0-EC00-4935-BE32-8229411BA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1074966</xdr:colOff>
      <xdr:row>8</xdr:row>
      <xdr:rowOff>51467</xdr:rowOff>
    </xdr:from>
    <xdr:to>
      <xdr:col>19</xdr:col>
      <xdr:colOff>40822</xdr:colOff>
      <xdr:row>19</xdr:row>
      <xdr:rowOff>68036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A47F47-7CCE-419C-B055-13B416F2F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421821</xdr:colOff>
      <xdr:row>19</xdr:row>
      <xdr:rowOff>36739</xdr:rowOff>
    </xdr:from>
    <xdr:to>
      <xdr:col>14</xdr:col>
      <xdr:colOff>1088572</xdr:colOff>
      <xdr:row>29</xdr:row>
      <xdr:rowOff>170089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5BCEA8-C147-4639-A996-B0215A5B6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1088572</xdr:colOff>
      <xdr:row>19</xdr:row>
      <xdr:rowOff>75160</xdr:rowOff>
    </xdr:from>
    <xdr:to>
      <xdr:col>19</xdr:col>
      <xdr:colOff>58431</xdr:colOff>
      <xdr:row>30</xdr:row>
      <xdr:rowOff>8485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4A7B2D-C36A-4930-B7C6-A3A956942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66.72865138889" createdVersion="8" refreshedVersion="8" minRefreshableVersion="3" recordCount="1500" xr:uid="{0BFD5AE2-C0BA-4E52-A124-F24330851CEA}">
  <cacheSource type="worksheet">
    <worksheetSource name="cleaned_data"/>
  </cacheSource>
  <cacheFields count="26">
    <cacheField name="order_id" numFmtId="0">
      <sharedItems containsSemiMixedTypes="0" containsString="0" containsNumber="1" containsInteger="1" minValue="100000" maxValue="101499"/>
    </cacheField>
    <cacheField name="order_date" numFmtId="22">
      <sharedItems containsSemiMixedTypes="0" containsNonDate="0" containsDate="1" containsString="0" minDate="2024-01-01T00:00:00" maxDate="2026-01-01T00:00:00"/>
    </cacheField>
    <cacheField name="shipment_date" numFmtId="22">
      <sharedItems containsSemiMixedTypes="0" containsNonDate="0" containsDate="1" containsString="0" minDate="2024-01-01T00:00:00" maxDate="2026-01-06T00:00:00"/>
    </cacheField>
    <cacheField name="delivery_date" numFmtId="22">
      <sharedItems containsSemiMixedTypes="0" containsNonDate="0" containsDate="1" containsString="0" minDate="2024-01-07T00:00:00" maxDate="2026-01-23T00:00:00"/>
    </cacheField>
    <cacheField name="customer_id" numFmtId="0">
      <sharedItems/>
    </cacheField>
    <cacheField name="customer_region" numFmtId="0">
      <sharedItems count="5">
        <s v="Asia"/>
        <s v="Africa"/>
        <s v="North America"/>
        <s v="Europe"/>
        <s v="Middle East"/>
      </sharedItems>
    </cacheField>
    <cacheField name="customer_country" numFmtId="0">
      <sharedItems/>
    </cacheField>
    <cacheField name="product_id" numFmtId="0">
      <sharedItems/>
    </cacheField>
    <cacheField name="product_name" numFmtId="0">
      <sharedItems/>
    </cacheField>
    <cacheField name="product_category" numFmtId="0">
      <sharedItems/>
    </cacheField>
    <cacheField name="supplier_id" numFmtId="0">
      <sharedItems/>
    </cacheField>
    <cacheField name="supplier_name" numFmtId="0">
      <sharedItems/>
    </cacheField>
    <cacheField name="supplier_region" numFmtId="0">
      <sharedItems/>
    </cacheField>
    <cacheField name="warehouse_id" numFmtId="0">
      <sharedItems/>
    </cacheField>
    <cacheField name="warehouse_location" numFmtId="0">
      <sharedItems/>
    </cacheField>
    <cacheField name="transportation_mode" numFmtId="0">
      <sharedItems count="4">
        <s v="Road"/>
        <s v="Air"/>
        <s v="Sea"/>
        <s v="Rail"/>
      </sharedItems>
    </cacheField>
    <cacheField name="order_quantity" numFmtId="0">
      <sharedItems containsSemiMixedTypes="0" containsString="0" containsNumber="1" containsInteger="1" minValue="10" maxValue="500"/>
    </cacheField>
    <cacheField name="unit_price" numFmtId="0">
      <sharedItems containsSemiMixedTypes="0" containsString="0" containsNumber="1" minValue="5.4" maxValue="449.81"/>
    </cacheField>
    <cacheField name="total_cost" numFmtId="0">
      <sharedItems containsSemiMixedTypes="0" containsString="0" containsNumber="1" minValue="135.83000000000001" maxValue="215355.6"/>
    </cacheField>
    <cacheField name="shipping_cost" numFmtId="0">
      <sharedItems containsSemiMixedTypes="0" containsString="0" containsNumber="1" minValue="6.08" maxValue="60.72"/>
    </cacheField>
    <cacheField name="shipment_to_delivery_days" numFmtId="0">
      <sharedItems containsSemiMixedTypes="0" containsString="0" containsNumber="1" containsInteger="1" minValue="1" maxValue="25"/>
    </cacheField>
    <cacheField name="order_to_delivery_days" numFmtId="0">
      <sharedItems containsSemiMixedTypes="0" containsString="0" containsNumber="1" containsInteger="1" minValue="1" maxValue="30"/>
    </cacheField>
    <cacheField name="inventory_level" numFmtId="0">
      <sharedItems containsSemiMixedTypes="0" containsString="0" containsNumber="1" containsInteger="1" minValue="54" maxValue="4980"/>
    </cacheField>
    <cacheField name="delivery_performance" numFmtId="0">
      <sharedItems count="3">
        <s v="Delayed"/>
        <s v="Not Yet Delivered"/>
        <s v="On Time"/>
      </sharedItems>
    </cacheField>
    <cacheField name="order_status" numFmtId="0">
      <sharedItems count="4">
        <s v="Delivered"/>
        <s v="Cancelled"/>
        <s v="In Transit"/>
        <s v="Delayed"/>
      </sharedItems>
    </cacheField>
    <cacheField name="profit" numFmtId="0">
      <sharedItems containsSemiMixedTypes="0" containsString="0" containsNumber="1" minValue="-247.46" maxValue="38716.37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100000"/>
    <d v="2024-04-12T00:00:00"/>
    <d v="2024-04-15T00:00:00"/>
    <d v="2024-04-24T00:00:00"/>
    <s v="C6734"/>
    <x v="0"/>
    <s v="China"/>
    <s v="P16265"/>
    <s v="Denim Jeans"/>
    <s v="Apparel"/>
    <s v="S566"/>
    <s v="Atlas Sourcing"/>
    <s v="Europe"/>
    <s v="WH 02"/>
    <s v="Lahore"/>
    <x v="0"/>
    <n v="224"/>
    <n v="16.39"/>
    <n v="3671.36"/>
    <n v="18.82"/>
    <n v="9"/>
    <n v="12"/>
    <n v="2285"/>
    <x v="0"/>
    <x v="0"/>
    <n v="668.08"/>
  </r>
  <r>
    <n v="100001"/>
    <d v="2025-02-17T00:00:00"/>
    <d v="2025-02-22T00:00:00"/>
    <d v="2025-02-25T00:00:00"/>
    <s v="C7420"/>
    <x v="1"/>
    <s v="Egypt"/>
    <s v="P93104"/>
    <s v="Bluetooth Speaker"/>
    <s v="Electronics"/>
    <s v="S559"/>
    <s v="BlueRiver Trading"/>
    <s v="Europe"/>
    <s v="WH 04"/>
    <s v="Istanbul"/>
    <x v="0"/>
    <n v="323"/>
    <n v="264.66000000000003"/>
    <n v="85485.18"/>
    <n v="21.63"/>
    <n v="3"/>
    <n v="8"/>
    <n v="797"/>
    <x v="1"/>
    <x v="1"/>
    <n v="-21.2"/>
  </r>
  <r>
    <n v="100002"/>
    <d v="2025-11-30T00:00:00"/>
    <d v="2025-12-05T00:00:00"/>
    <d v="2025-12-09T00:00:00"/>
    <s v="C2267"/>
    <x v="1"/>
    <s v="Kenya"/>
    <s v="P41551"/>
    <s v="Face Mask Box"/>
    <s v="Healthcare"/>
    <s v="S604"/>
    <s v="Atlas Sourcing"/>
    <s v="Middle East"/>
    <s v="WH 10"/>
    <s v="Cairo"/>
    <x v="0"/>
    <n v="140"/>
    <n v="78.52"/>
    <n v="10992.8"/>
    <n v="16.440000000000001"/>
    <n v="4"/>
    <n v="9"/>
    <n v="846"/>
    <x v="1"/>
    <x v="2"/>
    <n v="2109.0700000000002"/>
  </r>
  <r>
    <n v="100003"/>
    <d v="2024-08-29T00:00:00"/>
    <d v="2024-08-30T00:00:00"/>
    <d v="2024-09-03T00:00:00"/>
    <s v="C7235"/>
    <x v="0"/>
    <s v="Vietnam"/>
    <s v="P33483"/>
    <s v="Bottled Water Case"/>
    <s v="FMCG"/>
    <s v="S554"/>
    <s v="Zenith Procurement"/>
    <s v="North America"/>
    <s v="WH 03"/>
    <s v="Dubai"/>
    <x v="1"/>
    <n v="437"/>
    <n v="27.28"/>
    <n v="11921.36"/>
    <n v="56.83"/>
    <n v="4"/>
    <n v="5"/>
    <n v="4314"/>
    <x v="2"/>
    <x v="0"/>
    <n v="821.66"/>
  </r>
  <r>
    <n v="100004"/>
    <d v="2025-01-24T00:00:00"/>
    <d v="2025-01-29T00:00:00"/>
    <d v="2025-02-17T00:00:00"/>
    <s v="C7873"/>
    <x v="2"/>
    <s v="United States"/>
    <s v="P81211"/>
    <s v="Power Bank"/>
    <s v="Electronics"/>
    <s v="S261"/>
    <s v="BlueRiver Trading"/>
    <s v="North America"/>
    <s v="WH 06"/>
    <s v="Amsterdam"/>
    <x v="2"/>
    <n v="211"/>
    <n v="408.98"/>
    <n v="86294.78"/>
    <n v="8.7899999999999991"/>
    <n v="19"/>
    <n v="24"/>
    <n v="319"/>
    <x v="0"/>
    <x v="0"/>
    <n v="13786.48"/>
  </r>
  <r>
    <n v="100005"/>
    <d v="2025-12-02T00:00:00"/>
    <d v="2025-12-06T00:00:00"/>
    <d v="2025-12-11T00:00:00"/>
    <s v="C5887"/>
    <x v="0"/>
    <s v="China"/>
    <s v="P22185"/>
    <s v="Storage Cabinet"/>
    <s v="Furniture"/>
    <s v="S316"/>
    <s v="BlueRiver Trading"/>
    <s v="Middle East"/>
    <s v="WH 02"/>
    <s v="Lahore"/>
    <x v="1"/>
    <n v="261"/>
    <n v="228.18"/>
    <n v="59554.98"/>
    <n v="45.42"/>
    <n v="5"/>
    <n v="9"/>
    <n v="542"/>
    <x v="0"/>
    <x v="0"/>
    <n v="7811.56"/>
  </r>
  <r>
    <n v="100006"/>
    <d v="2024-12-09T00:00:00"/>
    <d v="2024-12-09T00:00:00"/>
    <d v="2024-12-13T00:00:00"/>
    <s v="C6258"/>
    <x v="1"/>
    <s v="Nigeria"/>
    <s v="P97538"/>
    <s v="First Aid Kit"/>
    <s v="Healthcare"/>
    <s v="S692"/>
    <s v="BlueRiver Trading"/>
    <s v="Asia"/>
    <s v="WH 04"/>
    <s v="Istanbul"/>
    <x v="1"/>
    <n v="401"/>
    <n v="67.78"/>
    <n v="27179.78"/>
    <n v="54.5"/>
    <n v="4"/>
    <n v="4"/>
    <n v="3761"/>
    <x v="2"/>
    <x v="0"/>
    <n v="4897.75"/>
  </r>
  <r>
    <n v="100007"/>
    <d v="2024-02-02T00:00:00"/>
    <d v="2024-02-07T00:00:00"/>
    <d v="2024-02-12T00:00:00"/>
    <s v="C9154"/>
    <x v="0"/>
    <s v="Vietnam"/>
    <s v="P80592"/>
    <s v="Shampoo Pack"/>
    <s v="FMCG"/>
    <s v="S838"/>
    <s v="Evergreen Partners"/>
    <s v="North America"/>
    <s v="WH 08"/>
    <s v="Chicago"/>
    <x v="1"/>
    <n v="110"/>
    <n v="48.73"/>
    <n v="5360.3"/>
    <n v="35.64"/>
    <n v="5"/>
    <n v="10"/>
    <n v="2990"/>
    <x v="0"/>
    <x v="0"/>
    <n v="769.61"/>
  </r>
  <r>
    <n v="100008"/>
    <d v="2025-01-27T00:00:00"/>
    <d v="2025-01-28T00:00:00"/>
    <d v="2025-01-30T00:00:00"/>
    <s v="C8858"/>
    <x v="3"/>
    <s v="Italy"/>
    <s v="P60015"/>
    <s v="Denim Jeans"/>
    <s v="Apparel"/>
    <s v="S842"/>
    <s v="Nova Industrial"/>
    <s v="Asia"/>
    <s v="WH 10"/>
    <s v="Cairo"/>
    <x v="1"/>
    <n v="250"/>
    <n v="44.58"/>
    <n v="11145"/>
    <n v="44.71"/>
    <n v="2"/>
    <n v="3"/>
    <n v="245"/>
    <x v="2"/>
    <x v="0"/>
    <n v="1380.36"/>
  </r>
  <r>
    <n v="100009"/>
    <d v="2025-10-16T00:00:00"/>
    <d v="2025-10-18T00:00:00"/>
    <d v="2025-11-09T00:00:00"/>
    <s v="C4157"/>
    <x v="1"/>
    <s v="Kenya"/>
    <s v="P32299"/>
    <s v="Bottled Water Case"/>
    <s v="FMCG"/>
    <s v="S677"/>
    <s v="Evergreen Partners"/>
    <s v="North America"/>
    <s v="WH 09"/>
    <s v="Johannesburg"/>
    <x v="2"/>
    <n v="179"/>
    <n v="41.37"/>
    <n v="7405.23"/>
    <n v="11.28"/>
    <n v="22"/>
    <n v="24"/>
    <n v="3360"/>
    <x v="0"/>
    <x v="0"/>
    <n v="538.59"/>
  </r>
  <r>
    <n v="100010"/>
    <d v="2024-11-26T00:00:00"/>
    <d v="2024-11-27T00:00:00"/>
    <d v="2024-12-13T00:00:00"/>
    <s v="C8392"/>
    <x v="2"/>
    <s v="United States"/>
    <s v="P40080"/>
    <s v="Shampoo Pack"/>
    <s v="FMCG"/>
    <s v="S476"/>
    <s v="Zenith Procurement"/>
    <s v="Middle East"/>
    <s v="WH 05"/>
    <s v="Frankfurt"/>
    <x v="2"/>
    <n v="292"/>
    <n v="24.22"/>
    <n v="7072.24"/>
    <n v="13.34"/>
    <n v="16"/>
    <n v="17"/>
    <n v="2975"/>
    <x v="0"/>
    <x v="0"/>
    <n v="491.66"/>
  </r>
  <r>
    <n v="100011"/>
    <d v="2024-11-13T00:00:00"/>
    <d v="2024-11-17T00:00:00"/>
    <d v="2024-11-24T00:00:00"/>
    <s v="C1663"/>
    <x v="3"/>
    <s v="Netherlands"/>
    <s v="P44766"/>
    <s v="Denim Jeans"/>
    <s v="Apparel"/>
    <s v="S926"/>
    <s v="Pioneer Distribution"/>
    <s v="Middle East"/>
    <s v="WH 08"/>
    <s v="Chicago"/>
    <x v="0"/>
    <n v="383"/>
    <n v="34.06"/>
    <n v="13044.98"/>
    <n v="23.33"/>
    <n v="7"/>
    <n v="11"/>
    <n v="1645"/>
    <x v="0"/>
    <x v="0"/>
    <n v="3816.54"/>
  </r>
  <r>
    <n v="100012"/>
    <d v="2025-05-24T00:00:00"/>
    <d v="2025-05-25T00:00:00"/>
    <d v="2025-06-06T00:00:00"/>
    <s v="C4696"/>
    <x v="2"/>
    <s v="United States"/>
    <s v="P36736"/>
    <s v="Detergent Bag"/>
    <s v="FMCG"/>
    <s v="S101"/>
    <s v="Summit Supply Co"/>
    <s v="North America"/>
    <s v="WH 10"/>
    <s v="Cairo"/>
    <x v="2"/>
    <n v="139"/>
    <n v="23.5"/>
    <n v="3266.5"/>
    <n v="7.82"/>
    <n v="12"/>
    <n v="13"/>
    <n v="1154"/>
    <x v="0"/>
    <x v="0"/>
    <n v="257.23"/>
  </r>
  <r>
    <n v="100013"/>
    <d v="2025-11-14T00:00:00"/>
    <d v="2025-11-15T00:00:00"/>
    <d v="2025-11-24T00:00:00"/>
    <s v="C5931"/>
    <x v="1"/>
    <s v="Egypt"/>
    <s v="P62662"/>
    <s v="Denim Jeans"/>
    <s v="Apparel"/>
    <s v="S302"/>
    <s v="Crescent Logistics"/>
    <s v="Africa"/>
    <s v="WH 08"/>
    <s v="Chicago"/>
    <x v="3"/>
    <n v="193"/>
    <n v="36.14"/>
    <n v="6975.02"/>
    <n v="11.39"/>
    <n v="9"/>
    <n v="10"/>
    <n v="916"/>
    <x v="0"/>
    <x v="0"/>
    <n v="2057.9899999999998"/>
  </r>
  <r>
    <n v="100014"/>
    <d v="2025-05-25T00:00:00"/>
    <d v="2025-05-25T00:00:00"/>
    <d v="2025-06-04T00:00:00"/>
    <s v="C3511"/>
    <x v="0"/>
    <s v="Vietnam"/>
    <s v="P25708"/>
    <s v="Smart Watch"/>
    <s v="Electronics"/>
    <s v="S870"/>
    <s v="Crescent Logistics"/>
    <s v="Middle East"/>
    <s v="WH 10"/>
    <s v="Cairo"/>
    <x v="0"/>
    <n v="157"/>
    <n v="187.12"/>
    <n v="29377.84"/>
    <n v="16.920000000000002"/>
    <n v="10"/>
    <n v="10"/>
    <n v="452"/>
    <x v="0"/>
    <x v="0"/>
    <n v="3767.33"/>
  </r>
  <r>
    <n v="100015"/>
    <d v="2025-05-03T00:00:00"/>
    <d v="2025-05-03T00:00:00"/>
    <d v="2025-05-12T00:00:00"/>
    <s v="C3385"/>
    <x v="4"/>
    <s v="Oman"/>
    <s v="P21111"/>
    <s v="Face Mask Box"/>
    <s v="Healthcare"/>
    <s v="S740"/>
    <s v="Summit Supply Co"/>
    <s v="North America"/>
    <s v="WH 09"/>
    <s v="Johannesburg"/>
    <x v="0"/>
    <n v="276"/>
    <n v="35.97"/>
    <n v="9927.7199999999993"/>
    <n v="20.3"/>
    <n v="9"/>
    <n v="9"/>
    <n v="4261"/>
    <x v="0"/>
    <x v="0"/>
    <n v="900.44"/>
  </r>
  <r>
    <n v="100016"/>
    <d v="2025-07-25T00:00:00"/>
    <d v="2025-07-25T00:00:00"/>
    <d v="2025-07-28T00:00:00"/>
    <s v="C5548"/>
    <x v="0"/>
    <s v="China"/>
    <s v="P39855"/>
    <s v="Hand Sanitizer Case"/>
    <s v="Healthcare"/>
    <s v="S108"/>
    <s v="Zenith Procurement"/>
    <s v="Asia"/>
    <s v="WH 05"/>
    <s v="Frankfurt"/>
    <x v="0"/>
    <n v="242"/>
    <n v="36.64"/>
    <n v="8866.8799999999992"/>
    <n v="14.32"/>
    <n v="3"/>
    <n v="3"/>
    <n v="2455"/>
    <x v="2"/>
    <x v="0"/>
    <n v="1505.32"/>
  </r>
  <r>
    <n v="100017"/>
    <d v="2025-08-09T00:00:00"/>
    <d v="2025-08-09T00:00:00"/>
    <d v="2025-08-20T00:00:00"/>
    <s v="C5199"/>
    <x v="3"/>
    <s v="Spain"/>
    <s v="P71267"/>
    <s v="Wireless Earbuds"/>
    <s v="Electronics"/>
    <s v="S353"/>
    <s v="Summit Supply Co"/>
    <s v="Europe"/>
    <s v="WH 09"/>
    <s v="Johannesburg"/>
    <x v="3"/>
    <n v="236"/>
    <n v="205.19"/>
    <n v="48424.84"/>
    <n v="12.17"/>
    <n v="11"/>
    <n v="11"/>
    <n v="1546"/>
    <x v="1"/>
    <x v="2"/>
    <n v="4952.01"/>
  </r>
  <r>
    <n v="100018"/>
    <d v="2024-06-11T00:00:00"/>
    <d v="2024-06-15T00:00:00"/>
    <d v="2024-06-25T00:00:00"/>
    <s v="C6699"/>
    <x v="2"/>
    <s v="Mexico"/>
    <s v="P33328"/>
    <s v="Thermometer"/>
    <s v="Healthcare"/>
    <s v="S497"/>
    <s v="Atlas Sourcing"/>
    <s v="Europe"/>
    <s v="WH 06"/>
    <s v="Amsterdam"/>
    <x v="0"/>
    <n v="286"/>
    <n v="22.66"/>
    <n v="6480.76"/>
    <n v="20.58"/>
    <n v="10"/>
    <n v="14"/>
    <n v="1727"/>
    <x v="0"/>
    <x v="0"/>
    <n v="987.11"/>
  </r>
  <r>
    <n v="100019"/>
    <d v="2025-04-04T00:00:00"/>
    <d v="2025-04-06T00:00:00"/>
    <d v="2025-04-18T00:00:00"/>
    <s v="C2045"/>
    <x v="1"/>
    <s v="Morocco"/>
    <s v="P16893"/>
    <s v="Router"/>
    <s v="Electronics"/>
    <s v="S769"/>
    <s v="Zenith Procurement"/>
    <s v="Middle East"/>
    <s v="WH 01"/>
    <s v="Karachi"/>
    <x v="2"/>
    <n v="47"/>
    <n v="441.77"/>
    <n v="20763.189999999999"/>
    <n v="8.8800000000000008"/>
    <n v="12"/>
    <n v="14"/>
    <n v="612"/>
    <x v="0"/>
    <x v="0"/>
    <n v="3962.57"/>
  </r>
  <r>
    <n v="100020"/>
    <d v="2024-10-10T00:00:00"/>
    <d v="2024-10-10T00:00:00"/>
    <d v="2024-10-16T00:00:00"/>
    <s v="C8683"/>
    <x v="2"/>
    <s v="Canada"/>
    <s v="P83744"/>
    <s v="Shampoo Pack"/>
    <s v="FMCG"/>
    <s v="S271"/>
    <s v="Atlas Sourcing"/>
    <s v="Africa"/>
    <s v="WH 02"/>
    <s v="Lahore"/>
    <x v="0"/>
    <n v="229"/>
    <n v="26.15"/>
    <n v="5988.35"/>
    <n v="18.97"/>
    <n v="6"/>
    <n v="6"/>
    <n v="1369"/>
    <x v="2"/>
    <x v="0"/>
    <n v="292.48"/>
  </r>
  <r>
    <n v="100021"/>
    <d v="2025-05-11T00:00:00"/>
    <d v="2025-05-16T00:00:00"/>
    <d v="2025-05-22T00:00:00"/>
    <s v="C1699"/>
    <x v="4"/>
    <s v="United Arab Emirates"/>
    <s v="P64240"/>
    <s v="First Aid Kit"/>
    <s v="Healthcare"/>
    <s v="S215"/>
    <s v="Crescent Logistics"/>
    <s v="Middle East"/>
    <s v="WH 09"/>
    <s v="Johannesburg"/>
    <x v="0"/>
    <n v="200"/>
    <n v="33.07"/>
    <n v="6614"/>
    <n v="13.44"/>
    <n v="6"/>
    <n v="11"/>
    <n v="3175"/>
    <x v="0"/>
    <x v="0"/>
    <n v="595.27"/>
  </r>
  <r>
    <n v="100022"/>
    <d v="2025-07-19T00:00:00"/>
    <d v="2025-07-20T00:00:00"/>
    <d v="2025-08-01T00:00:00"/>
    <s v="C4863"/>
    <x v="2"/>
    <s v="Mexico"/>
    <s v="P82991"/>
    <s v="Face Mask Box"/>
    <s v="Healthcare"/>
    <s v="S953"/>
    <s v="Atlas Sourcing"/>
    <s v="Africa"/>
    <s v="WH 04"/>
    <s v="Istanbul"/>
    <x v="2"/>
    <n v="160"/>
    <n v="19.489999999999998"/>
    <n v="3118.4"/>
    <n v="10.94"/>
    <n v="12"/>
    <n v="13"/>
    <n v="354"/>
    <x v="0"/>
    <x v="0"/>
    <n v="551.39"/>
  </r>
  <r>
    <n v="100023"/>
    <d v="2024-09-02T00:00:00"/>
    <d v="2024-09-06T00:00:00"/>
    <d v="2024-09-08T00:00:00"/>
    <s v="C6986"/>
    <x v="4"/>
    <s v="Qatar"/>
    <s v="P60993"/>
    <s v="Storage Cabinet"/>
    <s v="Furniture"/>
    <s v="S507"/>
    <s v="Pioneer Distribution"/>
    <s v="Asia"/>
    <s v="WH 04"/>
    <s v="Istanbul"/>
    <x v="1"/>
    <n v="22"/>
    <n v="65.290000000000006"/>
    <n v="1436.38"/>
    <n v="29.94"/>
    <n v="2"/>
    <n v="6"/>
    <n v="85"/>
    <x v="2"/>
    <x v="0"/>
    <n v="291.8"/>
  </r>
  <r>
    <n v="100024"/>
    <d v="2025-02-03T00:00:00"/>
    <d v="2025-02-08T00:00:00"/>
    <d v="2025-03-01T00:00:00"/>
    <s v="C6919"/>
    <x v="0"/>
    <s v="Bangladesh"/>
    <s v="P20966"/>
    <s v="Router"/>
    <s v="Electronics"/>
    <s v="S953"/>
    <s v="Summit Supply Co"/>
    <s v="Europe"/>
    <s v="WH 10"/>
    <s v="Cairo"/>
    <x v="2"/>
    <n v="60"/>
    <n v="241.58"/>
    <n v="14494.8"/>
    <n v="9.11"/>
    <n v="21"/>
    <n v="26"/>
    <n v="624"/>
    <x v="0"/>
    <x v="0"/>
    <n v="2896.47"/>
  </r>
  <r>
    <n v="100025"/>
    <d v="2025-11-12T00:00:00"/>
    <d v="2025-11-17T00:00:00"/>
    <d v="2025-12-11T00:00:00"/>
    <s v="C3491"/>
    <x v="0"/>
    <s v="Pakistan"/>
    <s v="P90135"/>
    <s v="Smart Watch"/>
    <s v="Electronics"/>
    <s v="S152"/>
    <s v="BlueRiver Trading"/>
    <s v="Asia"/>
    <s v="WH 06"/>
    <s v="Amsterdam"/>
    <x v="2"/>
    <n v="69"/>
    <n v="144.16999999999999"/>
    <n v="9947.73"/>
    <n v="6.87"/>
    <n v="24"/>
    <n v="29"/>
    <n v="54"/>
    <x v="0"/>
    <x v="0"/>
    <n v="1059.6600000000001"/>
  </r>
  <r>
    <n v="100026"/>
    <d v="2025-10-17T00:00:00"/>
    <d v="2025-10-21T00:00:00"/>
    <d v="2025-10-24T00:00:00"/>
    <s v="C2693"/>
    <x v="1"/>
    <s v="Kenya"/>
    <s v="P96672"/>
    <s v="Sportswear Set"/>
    <s v="Apparel"/>
    <s v="S219"/>
    <s v="Atlas Sourcing"/>
    <s v="Africa"/>
    <s v="WH 03"/>
    <s v="Dubai"/>
    <x v="0"/>
    <n v="328"/>
    <n v="57.69"/>
    <n v="18922.32"/>
    <n v="16.13"/>
    <n v="3"/>
    <n v="7"/>
    <n v="1231"/>
    <x v="1"/>
    <x v="2"/>
    <n v="5519.21"/>
  </r>
  <r>
    <n v="100027"/>
    <d v="2025-01-27T00:00:00"/>
    <d v="2025-01-30T00:00:00"/>
    <d v="2025-02-10T00:00:00"/>
    <s v="C1512"/>
    <x v="3"/>
    <s v="Sweden"/>
    <s v="P56175"/>
    <s v="Floor Lamp"/>
    <s v="Furniture"/>
    <s v="S737"/>
    <s v="Atlas Sourcing"/>
    <s v="Asia"/>
    <s v="WH 02"/>
    <s v="Lahore"/>
    <x v="3"/>
    <n v="127"/>
    <n v="261.52"/>
    <n v="33213.040000000001"/>
    <n v="13.78"/>
    <n v="11"/>
    <n v="14"/>
    <n v="537"/>
    <x v="0"/>
    <x v="0"/>
    <n v="6717.55"/>
  </r>
  <r>
    <n v="100028"/>
    <d v="2025-08-03T00:00:00"/>
    <d v="2025-08-08T00:00:00"/>
    <d v="2025-08-21T00:00:00"/>
    <s v="C2679"/>
    <x v="2"/>
    <s v="Canada"/>
    <s v="P79042"/>
    <s v="Floor Lamp"/>
    <s v="Furniture"/>
    <s v="S185"/>
    <s v="Orion Supplies"/>
    <s v="Asia"/>
    <s v="WH 01"/>
    <s v="Karachi"/>
    <x v="3"/>
    <n v="194"/>
    <n v="145.97999999999999"/>
    <n v="28320.12"/>
    <n v="15.41"/>
    <n v="13"/>
    <n v="18"/>
    <n v="1293"/>
    <x v="1"/>
    <x v="3"/>
    <n v="3567.56"/>
  </r>
  <r>
    <n v="100029"/>
    <d v="2025-03-28T00:00:00"/>
    <d v="2025-03-31T00:00:00"/>
    <d v="2025-04-13T00:00:00"/>
    <s v="C7484"/>
    <x v="2"/>
    <s v="United States"/>
    <s v="P72752"/>
    <s v="Toothpaste Box"/>
    <s v="FMCG"/>
    <s v="S353"/>
    <s v="Atlas Sourcing"/>
    <s v="Africa"/>
    <s v="WH 08"/>
    <s v="Chicago"/>
    <x v="3"/>
    <n v="231"/>
    <n v="34.24"/>
    <n v="7909.44"/>
    <n v="16.309999999999999"/>
    <n v="13"/>
    <n v="16"/>
    <n v="3149"/>
    <x v="1"/>
    <x v="2"/>
    <n v="1338.95"/>
  </r>
  <r>
    <n v="100030"/>
    <d v="2024-11-20T00:00:00"/>
    <d v="2024-11-24T00:00:00"/>
    <d v="2024-12-07T00:00:00"/>
    <s v="C9527"/>
    <x v="4"/>
    <s v="Saudi Arabia"/>
    <s v="P40977"/>
    <s v="Sportswear Set"/>
    <s v="Apparel"/>
    <s v="S596"/>
    <s v="Atlas Sourcing"/>
    <s v="Asia"/>
    <s v="WH 08"/>
    <s v="Chicago"/>
    <x v="2"/>
    <n v="485"/>
    <n v="74.44"/>
    <n v="36103.4"/>
    <n v="16.86"/>
    <n v="13"/>
    <n v="17"/>
    <n v="1001"/>
    <x v="0"/>
    <x v="0"/>
    <n v="8238.4599999999991"/>
  </r>
  <r>
    <n v="100031"/>
    <d v="2025-11-21T00:00:00"/>
    <d v="2025-11-23T00:00:00"/>
    <d v="2025-11-29T00:00:00"/>
    <s v="C6536"/>
    <x v="0"/>
    <s v="China"/>
    <s v="P79449"/>
    <s v="Vitamin Pack"/>
    <s v="Healthcare"/>
    <s v="S142"/>
    <s v="BlueRiver Trading"/>
    <s v="Europe"/>
    <s v="WH 03"/>
    <s v="Dubai"/>
    <x v="0"/>
    <n v="53"/>
    <n v="30.46"/>
    <n v="1614.38"/>
    <n v="13.98"/>
    <n v="6"/>
    <n v="8"/>
    <n v="4307"/>
    <x v="1"/>
    <x v="2"/>
    <n v="118.85"/>
  </r>
  <r>
    <n v="100032"/>
    <d v="2024-03-30T00:00:00"/>
    <d v="2024-04-03T00:00:00"/>
    <d v="2024-04-16T00:00:00"/>
    <s v="C1417"/>
    <x v="4"/>
    <s v="Oman"/>
    <s v="P67458"/>
    <s v="Bottled Water Case"/>
    <s v="FMCG"/>
    <s v="S716"/>
    <s v="Orion Supplies"/>
    <s v="Europe"/>
    <s v="WH 07"/>
    <s v="Toronto"/>
    <x v="3"/>
    <n v="400"/>
    <n v="10.32"/>
    <n v="4128"/>
    <n v="20.41"/>
    <n v="13"/>
    <n v="17"/>
    <n v="1816"/>
    <x v="1"/>
    <x v="2"/>
    <n v="410.28"/>
  </r>
  <r>
    <n v="100033"/>
    <d v="2025-11-06T00:00:00"/>
    <d v="2025-11-07T00:00:00"/>
    <d v="2025-11-13T00:00:00"/>
    <s v="C3786"/>
    <x v="4"/>
    <s v="Qatar"/>
    <s v="P93042"/>
    <s v="Bookshelf"/>
    <s v="Furniture"/>
    <s v="S647"/>
    <s v="Evergreen Partners"/>
    <s v="Africa"/>
    <s v="WH 08"/>
    <s v="Chicago"/>
    <x v="0"/>
    <n v="475"/>
    <n v="117.51"/>
    <n v="55817.25"/>
    <n v="25.94"/>
    <n v="6"/>
    <n v="7"/>
    <n v="2193"/>
    <x v="2"/>
    <x v="0"/>
    <n v="14338.41"/>
  </r>
  <r>
    <n v="100034"/>
    <d v="2025-06-08T00:00:00"/>
    <d v="2025-06-08T00:00:00"/>
    <d v="2025-06-22T00:00:00"/>
    <s v="C9787"/>
    <x v="3"/>
    <s v="Italy"/>
    <s v="P56959"/>
    <s v="Shampoo Pack"/>
    <s v="FMCG"/>
    <s v="S828"/>
    <s v="Vertex Manufacturing"/>
    <s v="Africa"/>
    <s v="WH 01"/>
    <s v="Karachi"/>
    <x v="2"/>
    <n v="351"/>
    <n v="18.39"/>
    <n v="6454.89"/>
    <n v="14.42"/>
    <n v="14"/>
    <n v="14"/>
    <n v="695"/>
    <x v="1"/>
    <x v="3"/>
    <n v="1019.19"/>
  </r>
  <r>
    <n v="100035"/>
    <d v="2025-12-18T00:00:00"/>
    <d v="2025-12-21T00:00:00"/>
    <d v="2025-12-24T00:00:00"/>
    <s v="C9335"/>
    <x v="0"/>
    <s v="Pakistan"/>
    <s v="P96900"/>
    <s v="Face Mask Box"/>
    <s v="Healthcare"/>
    <s v="S168"/>
    <s v="Summit Supply Co"/>
    <s v="Africa"/>
    <s v="WH 03"/>
    <s v="Dubai"/>
    <x v="1"/>
    <n v="108"/>
    <n v="57.4"/>
    <n v="6199.2"/>
    <n v="35.51"/>
    <n v="3"/>
    <n v="6"/>
    <n v="3138"/>
    <x v="2"/>
    <x v="0"/>
    <n v="1028.08"/>
  </r>
  <r>
    <n v="100036"/>
    <d v="2025-11-23T00:00:00"/>
    <d v="2025-11-24T00:00:00"/>
    <d v="2025-12-02T00:00:00"/>
    <s v="C5729"/>
    <x v="1"/>
    <s v="South Africa"/>
    <s v="P19348"/>
    <s v="Shampoo Pack"/>
    <s v="FMCG"/>
    <s v="S262"/>
    <s v="Vertex Manufacturing"/>
    <s v="Asia"/>
    <s v="WH 04"/>
    <s v="Istanbul"/>
    <x v="0"/>
    <n v="224"/>
    <n v="29.57"/>
    <n v="6623.68"/>
    <n v="18.82"/>
    <n v="8"/>
    <n v="9"/>
    <n v="1253"/>
    <x v="0"/>
    <x v="0"/>
    <n v="384.79"/>
  </r>
  <r>
    <n v="100037"/>
    <d v="2024-06-18T00:00:00"/>
    <d v="2024-06-18T00:00:00"/>
    <d v="2024-06-23T00:00:00"/>
    <s v="C2540"/>
    <x v="0"/>
    <s v="Indonesia"/>
    <s v="P98092"/>
    <s v="Detergent Bag"/>
    <s v="FMCG"/>
    <s v="S264"/>
    <s v="Vertex Manufacturing"/>
    <s v="Asia"/>
    <s v="WH 10"/>
    <s v="Cairo"/>
    <x v="3"/>
    <n v="431"/>
    <n v="49.4"/>
    <n v="21291.4"/>
    <n v="15.68"/>
    <n v="5"/>
    <n v="5"/>
    <n v="1688"/>
    <x v="2"/>
    <x v="0"/>
    <n v="3670.76"/>
  </r>
  <r>
    <n v="100038"/>
    <d v="2024-05-11T00:00:00"/>
    <d v="2024-05-14T00:00:00"/>
    <d v="2024-05-21T00:00:00"/>
    <s v="C2810"/>
    <x v="4"/>
    <s v="Turkey"/>
    <s v="P82124"/>
    <s v="Thermometer"/>
    <s v="Healthcare"/>
    <s v="S975"/>
    <s v="Zenith Procurement"/>
    <s v="North America"/>
    <s v="WH 04"/>
    <s v="Istanbul"/>
    <x v="0"/>
    <n v="191"/>
    <n v="65.819999999999993"/>
    <n v="12571.62"/>
    <n v="17.89"/>
    <n v="7"/>
    <n v="10"/>
    <n v="913"/>
    <x v="0"/>
    <x v="0"/>
    <n v="842.89"/>
  </r>
  <r>
    <n v="100039"/>
    <d v="2024-02-27T00:00:00"/>
    <d v="2024-03-01T00:00:00"/>
    <d v="2024-03-05T00:00:00"/>
    <s v="C4072"/>
    <x v="3"/>
    <s v="Italy"/>
    <s v="P49298"/>
    <s v="Study Table"/>
    <s v="Furniture"/>
    <s v="S447"/>
    <s v="Nova Industrial"/>
    <s v="Middle East"/>
    <s v="WH 06"/>
    <s v="Amsterdam"/>
    <x v="1"/>
    <n v="199"/>
    <n v="164.07"/>
    <n v="32649.93"/>
    <n v="41.41"/>
    <n v="4"/>
    <n v="7"/>
    <n v="1581"/>
    <x v="2"/>
    <x v="0"/>
    <n v="5044.6400000000003"/>
  </r>
  <r>
    <n v="100040"/>
    <d v="2025-07-09T00:00:00"/>
    <d v="2025-07-13T00:00:00"/>
    <d v="2025-07-25T00:00:00"/>
    <s v="C6348"/>
    <x v="0"/>
    <s v="Malaysia"/>
    <s v="P40354"/>
    <s v="Thermometer"/>
    <s v="Healthcare"/>
    <s v="S631"/>
    <s v="BlueRiver Trading"/>
    <s v="Asia"/>
    <s v="WH 09"/>
    <s v="Johannesburg"/>
    <x v="0"/>
    <n v="450"/>
    <n v="50.89"/>
    <n v="22900.5"/>
    <n v="18.690000000000001"/>
    <n v="12"/>
    <n v="16"/>
    <n v="1456"/>
    <x v="1"/>
    <x v="3"/>
    <n v="2461.0700000000002"/>
  </r>
  <r>
    <n v="100041"/>
    <d v="2025-07-19T00:00:00"/>
    <d v="2025-07-24T00:00:00"/>
    <d v="2025-08-05T00:00:00"/>
    <s v="C9120"/>
    <x v="1"/>
    <s v="Nigeria"/>
    <s v="P17114"/>
    <s v="Snack Carton"/>
    <s v="FMCG"/>
    <s v="S111"/>
    <s v="BlueRiver Trading"/>
    <s v="Europe"/>
    <s v="WH 06"/>
    <s v="Amsterdam"/>
    <x v="2"/>
    <n v="339"/>
    <n v="47.77"/>
    <n v="16194.03"/>
    <n v="14.2"/>
    <n v="12"/>
    <n v="17"/>
    <n v="657"/>
    <x v="0"/>
    <x v="0"/>
    <n v="1379.45"/>
  </r>
  <r>
    <n v="100042"/>
    <d v="2024-03-30T00:00:00"/>
    <d v="2024-03-31T00:00:00"/>
    <d v="2024-04-04T00:00:00"/>
    <s v="C5964"/>
    <x v="3"/>
    <s v="Spain"/>
    <s v="P14835"/>
    <s v="Hand Sanitizer Case"/>
    <s v="Healthcare"/>
    <s v="S803"/>
    <s v="Vertex Manufacturing"/>
    <s v="Africa"/>
    <s v="WH 01"/>
    <s v="Karachi"/>
    <x v="1"/>
    <n v="420"/>
    <n v="65.25"/>
    <n v="27405"/>
    <n v="55.73"/>
    <n v="4"/>
    <n v="5"/>
    <n v="2708"/>
    <x v="2"/>
    <x v="0"/>
    <n v="5107.93"/>
  </r>
  <r>
    <n v="100043"/>
    <d v="2025-08-16T00:00:00"/>
    <d v="2025-08-18T00:00:00"/>
    <d v="2025-08-23T00:00:00"/>
    <s v="C1009"/>
    <x v="0"/>
    <s v="India"/>
    <s v="P94791"/>
    <s v="T Shirt Bundle"/>
    <s v="Apparel"/>
    <s v="S897"/>
    <s v="BlueRiver Trading"/>
    <s v="Africa"/>
    <s v="WH 03"/>
    <s v="Dubai"/>
    <x v="1"/>
    <n v="251"/>
    <n v="70.67"/>
    <n v="17738.169999999998"/>
    <n v="44.78"/>
    <n v="5"/>
    <n v="7"/>
    <n v="1178"/>
    <x v="1"/>
    <x v="1"/>
    <n v="-246.95"/>
  </r>
  <r>
    <n v="100044"/>
    <d v="2024-06-25T00:00:00"/>
    <d v="2024-06-27T00:00:00"/>
    <d v="2024-07-02T00:00:00"/>
    <s v="C4925"/>
    <x v="2"/>
    <s v="Mexico"/>
    <s v="P16970"/>
    <s v="Snack Carton"/>
    <s v="FMCG"/>
    <s v="S894"/>
    <s v="Atlas Sourcing"/>
    <s v="North America"/>
    <s v="WH 09"/>
    <s v="Johannesburg"/>
    <x v="1"/>
    <n v="186"/>
    <n v="42.72"/>
    <n v="7945.92"/>
    <n v="30.05"/>
    <n v="5"/>
    <n v="7"/>
    <n v="1933"/>
    <x v="2"/>
    <x v="0"/>
    <n v="381.37"/>
  </r>
  <r>
    <n v="100045"/>
    <d v="2025-04-20T00:00:00"/>
    <d v="2025-04-20T00:00:00"/>
    <d v="2025-04-28T00:00:00"/>
    <s v="C6989"/>
    <x v="2"/>
    <s v="United States"/>
    <s v="P90642"/>
    <s v="Power Bank"/>
    <s v="Electronics"/>
    <s v="S536"/>
    <s v="Nova Industrial"/>
    <s v="Asia"/>
    <s v="WH 01"/>
    <s v="Karachi"/>
    <x v="3"/>
    <n v="32"/>
    <n v="359.91"/>
    <n v="11517.12"/>
    <n v="11.47"/>
    <n v="8"/>
    <n v="8"/>
    <n v="726"/>
    <x v="0"/>
    <x v="0"/>
    <n v="1298.6199999999999"/>
  </r>
  <r>
    <n v="100046"/>
    <d v="2024-01-01T00:00:00"/>
    <d v="2024-01-03T00:00:00"/>
    <d v="2024-01-08T00:00:00"/>
    <s v="C6565"/>
    <x v="3"/>
    <s v="Poland"/>
    <s v="P80080"/>
    <s v="Denim Jeans"/>
    <s v="Apparel"/>
    <s v="S980"/>
    <s v="Pioneer Distribution"/>
    <s v="Africa"/>
    <s v="WH 07"/>
    <s v="Toronto"/>
    <x v="1"/>
    <n v="497"/>
    <n v="77.989999999999995"/>
    <n v="38761.03"/>
    <n v="60.72"/>
    <n v="5"/>
    <n v="7"/>
    <n v="2292"/>
    <x v="2"/>
    <x v="0"/>
    <n v="7848.92"/>
  </r>
  <r>
    <n v="100047"/>
    <d v="2024-11-01T00:00:00"/>
    <d v="2024-11-04T00:00:00"/>
    <d v="2024-11-06T00:00:00"/>
    <s v="C9580"/>
    <x v="0"/>
    <s v="Pakistan"/>
    <s v="P34285"/>
    <s v="Detergent Bag"/>
    <s v="FMCG"/>
    <s v="S862"/>
    <s v="Orion Supplies"/>
    <s v="North America"/>
    <s v="WH 10"/>
    <s v="Cairo"/>
    <x v="0"/>
    <n v="322"/>
    <n v="31.55"/>
    <n v="10159.1"/>
    <n v="21.6"/>
    <n v="2"/>
    <n v="5"/>
    <n v="3114"/>
    <x v="1"/>
    <x v="1"/>
    <n v="-178.98"/>
  </r>
  <r>
    <n v="100048"/>
    <d v="2025-03-10T00:00:00"/>
    <d v="2025-03-15T00:00:00"/>
    <d v="2025-04-09T00:00:00"/>
    <s v="C7241"/>
    <x v="4"/>
    <s v="Saudi Arabia"/>
    <s v="P83553"/>
    <s v="Wireless Earbuds"/>
    <s v="Electronics"/>
    <s v="S897"/>
    <s v="Zenith Procurement"/>
    <s v="Asia"/>
    <s v="WH 06"/>
    <s v="Amsterdam"/>
    <x v="2"/>
    <n v="344"/>
    <n v="230.62"/>
    <n v="79333.279999999999"/>
    <n v="14.29"/>
    <n v="25"/>
    <n v="30"/>
    <n v="496"/>
    <x v="1"/>
    <x v="3"/>
    <n v="12412.67"/>
  </r>
  <r>
    <n v="100049"/>
    <d v="2024-11-30T00:00:00"/>
    <d v="2024-12-03T00:00:00"/>
    <d v="2024-12-26T00:00:00"/>
    <s v="C8730"/>
    <x v="3"/>
    <s v="Poland"/>
    <s v="P53088"/>
    <s v="Wireless Earbuds"/>
    <s v="Electronics"/>
    <s v="S232"/>
    <s v="Summit Supply Co"/>
    <s v="Middle East"/>
    <s v="WH 10"/>
    <s v="Cairo"/>
    <x v="2"/>
    <n v="294"/>
    <n v="117.36"/>
    <n v="34503.839999999997"/>
    <n v="13.38"/>
    <n v="23"/>
    <n v="26"/>
    <n v="233"/>
    <x v="0"/>
    <x v="0"/>
    <n v="1408.39"/>
  </r>
  <r>
    <n v="100050"/>
    <d v="2025-03-25T00:00:00"/>
    <d v="2025-03-29T00:00:00"/>
    <d v="2025-04-21T00:00:00"/>
    <s v="C2906"/>
    <x v="3"/>
    <s v="Sweden"/>
    <s v="P16254"/>
    <s v="Toothpaste Box"/>
    <s v="FMCG"/>
    <s v="S860"/>
    <s v="Evergreen Partners"/>
    <s v="Asia"/>
    <s v="WH 03"/>
    <s v="Dubai"/>
    <x v="2"/>
    <n v="160"/>
    <n v="10.76"/>
    <n v="1721.6"/>
    <n v="10.94"/>
    <n v="23"/>
    <n v="27"/>
    <n v="3745"/>
    <x v="0"/>
    <x v="0"/>
    <n v="231.02"/>
  </r>
  <r>
    <n v="100051"/>
    <d v="2024-07-13T00:00:00"/>
    <d v="2024-07-15T00:00:00"/>
    <d v="2024-07-20T00:00:00"/>
    <s v="C7777"/>
    <x v="4"/>
    <s v="Saudi Arabia"/>
    <s v="P21314"/>
    <s v="Denim Jeans"/>
    <s v="Apparel"/>
    <s v="S502"/>
    <s v="BlueRiver Trading"/>
    <s v="Middle East"/>
    <s v="WH 01"/>
    <s v="Karachi"/>
    <x v="1"/>
    <n v="286"/>
    <n v="28.58"/>
    <n v="8173.88"/>
    <n v="34.85"/>
    <n v="5"/>
    <n v="7"/>
    <n v="753"/>
    <x v="1"/>
    <x v="2"/>
    <n v="1679.56"/>
  </r>
  <r>
    <n v="100052"/>
    <d v="2025-06-07T00:00:00"/>
    <d v="2025-06-08T00:00:00"/>
    <d v="2025-06-13T00:00:00"/>
    <s v="C8240"/>
    <x v="3"/>
    <s v="France"/>
    <s v="P33321"/>
    <s v="Bookshelf"/>
    <s v="Furniture"/>
    <s v="S348"/>
    <s v="Nova Industrial"/>
    <s v="Europe"/>
    <s v="WH 04"/>
    <s v="Istanbul"/>
    <x v="3"/>
    <n v="56"/>
    <n v="234.65"/>
    <n v="13140.4"/>
    <n v="8.93"/>
    <n v="5"/>
    <n v="6"/>
    <n v="1129"/>
    <x v="2"/>
    <x v="0"/>
    <n v="1696.33"/>
  </r>
  <r>
    <n v="100053"/>
    <d v="2024-09-13T00:00:00"/>
    <d v="2024-09-13T00:00:00"/>
    <d v="2024-09-17T00:00:00"/>
    <s v="C1302"/>
    <x v="3"/>
    <s v="Spain"/>
    <s v="P92558"/>
    <s v="Hoodie"/>
    <s v="Apparel"/>
    <s v="S155"/>
    <s v="BlueRiver Trading"/>
    <s v="North America"/>
    <s v="WH 06"/>
    <s v="Amsterdam"/>
    <x v="0"/>
    <n v="223"/>
    <n v="35.97"/>
    <n v="8021.31"/>
    <n v="18.8"/>
    <n v="4"/>
    <n v="4"/>
    <n v="177"/>
    <x v="2"/>
    <x v="0"/>
    <n v="1207.92"/>
  </r>
  <r>
    <n v="100054"/>
    <d v="2024-01-07T00:00:00"/>
    <d v="2024-01-09T00:00:00"/>
    <d v="2024-01-19T00:00:00"/>
    <s v="C6870"/>
    <x v="1"/>
    <s v="Nigeria"/>
    <s v="P77067"/>
    <s v="Bluetooth Speaker"/>
    <s v="Electronics"/>
    <s v="S373"/>
    <s v="Nova Industrial"/>
    <s v="Europe"/>
    <s v="WH 10"/>
    <s v="Cairo"/>
    <x v="3"/>
    <n v="303"/>
    <n v="267.72000000000003"/>
    <n v="81119.16"/>
    <n v="18.05"/>
    <n v="10"/>
    <n v="12"/>
    <n v="1088"/>
    <x v="0"/>
    <x v="0"/>
    <n v="8541.6200000000008"/>
  </r>
  <r>
    <n v="100055"/>
    <d v="2024-09-29T00:00:00"/>
    <d v="2024-10-04T00:00:00"/>
    <d v="2024-10-06T00:00:00"/>
    <s v="C5632"/>
    <x v="0"/>
    <s v="Pakistan"/>
    <s v="P13596"/>
    <s v="Face Mask Box"/>
    <s v="Healthcare"/>
    <s v="S311"/>
    <s v="Zenith Procurement"/>
    <s v="North America"/>
    <s v="WH 07"/>
    <s v="Toronto"/>
    <x v="1"/>
    <n v="34"/>
    <n v="63.69"/>
    <n v="2165.46"/>
    <n v="30.72"/>
    <n v="2"/>
    <n v="7"/>
    <n v="266"/>
    <x v="2"/>
    <x v="0"/>
    <n v="255.87"/>
  </r>
  <r>
    <n v="100056"/>
    <d v="2025-04-14T00:00:00"/>
    <d v="2025-04-15T00:00:00"/>
    <d v="2025-04-24T00:00:00"/>
    <s v="C7891"/>
    <x v="4"/>
    <s v="Turkey"/>
    <s v="P82274"/>
    <s v="Snack Carton"/>
    <s v="FMCG"/>
    <s v="S653"/>
    <s v="Orion Supplies"/>
    <s v="Middle East"/>
    <s v="WH 01"/>
    <s v="Karachi"/>
    <x v="0"/>
    <n v="434"/>
    <n v="20.190000000000001"/>
    <n v="8762.4599999999991"/>
    <n v="18.350000000000001"/>
    <n v="9"/>
    <n v="10"/>
    <n v="3039"/>
    <x v="0"/>
    <x v="0"/>
    <n v="825.41"/>
  </r>
  <r>
    <n v="100057"/>
    <d v="2025-01-11T00:00:00"/>
    <d v="2025-01-11T00:00:00"/>
    <d v="2025-02-01T00:00:00"/>
    <s v="C2605"/>
    <x v="2"/>
    <s v="Canada"/>
    <s v="P81158"/>
    <s v="Wireless Earbuds"/>
    <s v="Electronics"/>
    <s v="S723"/>
    <s v="Vertex Manufacturing"/>
    <s v="North America"/>
    <s v="WH 02"/>
    <s v="Lahore"/>
    <x v="2"/>
    <n v="13"/>
    <n v="391.82"/>
    <n v="5093.66"/>
    <n v="6.12"/>
    <n v="21"/>
    <n v="21"/>
    <n v="1519"/>
    <x v="1"/>
    <x v="3"/>
    <n v="525.01"/>
  </r>
  <r>
    <n v="100058"/>
    <d v="2024-08-30T00:00:00"/>
    <d v="2024-09-03T00:00:00"/>
    <d v="2024-09-07T00:00:00"/>
    <s v="C1005"/>
    <x v="1"/>
    <s v="Nigeria"/>
    <s v="P51427"/>
    <s v="Bookshelf"/>
    <s v="Furniture"/>
    <s v="S831"/>
    <s v="Evergreen Partners"/>
    <s v="North America"/>
    <s v="WH 09"/>
    <s v="Johannesburg"/>
    <x v="1"/>
    <n v="84"/>
    <n v="308.31"/>
    <n v="25898.04"/>
    <n v="33.96"/>
    <n v="4"/>
    <n v="8"/>
    <n v="695"/>
    <x v="0"/>
    <x v="0"/>
    <n v="6069.26"/>
  </r>
  <r>
    <n v="100059"/>
    <d v="2024-07-12T00:00:00"/>
    <d v="2024-07-14T00:00:00"/>
    <d v="2024-07-31T00:00:00"/>
    <s v="C7316"/>
    <x v="3"/>
    <s v="Spain"/>
    <s v="P16469"/>
    <s v="Study Table"/>
    <s v="Furniture"/>
    <s v="S509"/>
    <s v="Vertex Manufacturing"/>
    <s v="Africa"/>
    <s v="WH 05"/>
    <s v="Frankfurt"/>
    <x v="2"/>
    <n v="127"/>
    <n v="260.39999999999998"/>
    <n v="33070.800000000003"/>
    <n v="10.33"/>
    <n v="17"/>
    <n v="19"/>
    <n v="773"/>
    <x v="0"/>
    <x v="0"/>
    <n v="4565.8100000000004"/>
  </r>
  <r>
    <n v="100060"/>
    <d v="2024-11-15T00:00:00"/>
    <d v="2024-11-20T00:00:00"/>
    <d v="2024-11-28T00:00:00"/>
    <s v="C7988"/>
    <x v="1"/>
    <s v="South Africa"/>
    <s v="P57362"/>
    <s v="Hoodie"/>
    <s v="Apparel"/>
    <s v="S772"/>
    <s v="Atlas Sourcing"/>
    <s v="Middle East"/>
    <s v="WH 10"/>
    <s v="Cairo"/>
    <x v="3"/>
    <n v="399"/>
    <n v="47.03"/>
    <n v="18764.97"/>
    <n v="20.39"/>
    <n v="8"/>
    <n v="13"/>
    <n v="159"/>
    <x v="0"/>
    <x v="0"/>
    <n v="2613.1999999999998"/>
  </r>
  <r>
    <n v="100061"/>
    <d v="2025-08-18T00:00:00"/>
    <d v="2025-08-18T00:00:00"/>
    <d v="2025-08-25T00:00:00"/>
    <s v="C2994"/>
    <x v="4"/>
    <s v="Oman"/>
    <s v="P89767"/>
    <s v="Study Table"/>
    <s v="Furniture"/>
    <s v="S649"/>
    <s v="Summit Supply Co"/>
    <s v="Middle East"/>
    <s v="WH 03"/>
    <s v="Dubai"/>
    <x v="1"/>
    <n v="428"/>
    <n v="148.15"/>
    <n v="63408.2"/>
    <n v="41.66"/>
    <n v="7"/>
    <n v="7"/>
    <n v="1654"/>
    <x v="2"/>
    <x v="0"/>
    <n v="8828.36"/>
  </r>
  <r>
    <n v="100062"/>
    <d v="2024-05-16T00:00:00"/>
    <d v="2024-05-17T00:00:00"/>
    <d v="2024-05-28T00:00:00"/>
    <s v="C6951"/>
    <x v="2"/>
    <s v="Mexico"/>
    <s v="P97388"/>
    <s v="Hand Sanitizer Case"/>
    <s v="Healthcare"/>
    <s v="S939"/>
    <s v="BlueRiver Trading"/>
    <s v="Europe"/>
    <s v="WH 05"/>
    <s v="Frankfurt"/>
    <x v="0"/>
    <n v="276"/>
    <n v="73.209999999999994"/>
    <n v="20205.96"/>
    <n v="20.3"/>
    <n v="11"/>
    <n v="12"/>
    <n v="1514"/>
    <x v="0"/>
    <x v="0"/>
    <n v="3141.44"/>
  </r>
  <r>
    <n v="100063"/>
    <d v="2024-05-11T00:00:00"/>
    <d v="2024-05-11T00:00:00"/>
    <d v="2024-06-02T00:00:00"/>
    <s v="C7943"/>
    <x v="3"/>
    <s v="France"/>
    <s v="P21954"/>
    <s v="Bluetooth Speaker"/>
    <s v="Electronics"/>
    <s v="S736"/>
    <s v="Atlas Sourcing"/>
    <s v="Middle East"/>
    <s v="WH 10"/>
    <s v="Cairo"/>
    <x v="2"/>
    <n v="431"/>
    <n v="270.51"/>
    <n v="116589.81"/>
    <n v="15.87"/>
    <n v="22"/>
    <n v="22"/>
    <n v="624"/>
    <x v="0"/>
    <x v="0"/>
    <n v="23994.69"/>
  </r>
  <r>
    <n v="100064"/>
    <d v="2025-09-07T00:00:00"/>
    <d v="2025-09-09T00:00:00"/>
    <d v="2025-09-24T00:00:00"/>
    <s v="C2202"/>
    <x v="4"/>
    <s v="Oman"/>
    <s v="P34519"/>
    <s v="First Aid Kit"/>
    <s v="Healthcare"/>
    <s v="S653"/>
    <s v="Evergreen Partners"/>
    <s v="Middle East"/>
    <s v="WH 07"/>
    <s v="Toronto"/>
    <x v="0"/>
    <n v="457"/>
    <n v="21.67"/>
    <n v="9903.19"/>
    <n v="18.84"/>
    <n v="15"/>
    <n v="17"/>
    <n v="2235"/>
    <x v="1"/>
    <x v="3"/>
    <n v="1412.27"/>
  </r>
  <r>
    <n v="100065"/>
    <d v="2025-03-16T00:00:00"/>
    <d v="2025-03-16T00:00:00"/>
    <d v="2025-04-07T00:00:00"/>
    <s v="C1950"/>
    <x v="3"/>
    <s v="Poland"/>
    <s v="P12336"/>
    <s v="Bluetooth Speaker"/>
    <s v="Electronics"/>
    <s v="S353"/>
    <s v="Evergreen Partners"/>
    <s v="Europe"/>
    <s v="WH 03"/>
    <s v="Dubai"/>
    <x v="2"/>
    <n v="205"/>
    <n v="282.26"/>
    <n v="57863.3"/>
    <n v="8.7100000000000009"/>
    <n v="22"/>
    <n v="22"/>
    <n v="1595"/>
    <x v="0"/>
    <x v="0"/>
    <n v="5454.06"/>
  </r>
  <r>
    <n v="100066"/>
    <d v="2024-08-15T00:00:00"/>
    <d v="2024-08-19T00:00:00"/>
    <d v="2024-08-30T00:00:00"/>
    <s v="C4228"/>
    <x v="0"/>
    <s v="Indonesia"/>
    <s v="P30103"/>
    <s v="Shampoo Pack"/>
    <s v="FMCG"/>
    <s v="S360"/>
    <s v="Pioneer Distribution"/>
    <s v="Europe"/>
    <s v="WH 08"/>
    <s v="Chicago"/>
    <x v="3"/>
    <n v="166"/>
    <n v="15.32"/>
    <n v="2543.12"/>
    <n v="14.73"/>
    <n v="11"/>
    <n v="15"/>
    <n v="3191"/>
    <x v="1"/>
    <x v="2"/>
    <n v="310.27"/>
  </r>
  <r>
    <n v="100067"/>
    <d v="2024-10-09T00:00:00"/>
    <d v="2024-10-13T00:00:00"/>
    <d v="2024-10-17T00:00:00"/>
    <s v="C7166"/>
    <x v="4"/>
    <s v="Turkey"/>
    <s v="P10814"/>
    <s v="Face Mask Box"/>
    <s v="Healthcare"/>
    <s v="S445"/>
    <s v="Summit Supply Co"/>
    <s v="Middle East"/>
    <s v="WH 03"/>
    <s v="Dubai"/>
    <x v="1"/>
    <n v="311"/>
    <n v="58.43"/>
    <n v="18171.73"/>
    <n v="36.049999999999997"/>
    <n v="4"/>
    <n v="8"/>
    <n v="2465"/>
    <x v="0"/>
    <x v="0"/>
    <n v="2231.14"/>
  </r>
  <r>
    <n v="100068"/>
    <d v="2025-04-04T00:00:00"/>
    <d v="2025-04-07T00:00:00"/>
    <d v="2025-04-14T00:00:00"/>
    <s v="C4876"/>
    <x v="4"/>
    <s v="Qatar"/>
    <s v="P10126"/>
    <s v="Snack Carton"/>
    <s v="FMCG"/>
    <s v="S205"/>
    <s v="Summit Supply Co"/>
    <s v="Middle East"/>
    <s v="WH 04"/>
    <s v="Istanbul"/>
    <x v="3"/>
    <n v="101"/>
    <n v="21.85"/>
    <n v="2206.85"/>
    <n v="9.74"/>
    <n v="7"/>
    <n v="10"/>
    <n v="4446"/>
    <x v="0"/>
    <x v="0"/>
    <n v="366.14"/>
  </r>
  <r>
    <n v="100069"/>
    <d v="2025-09-04T00:00:00"/>
    <d v="2025-09-08T00:00:00"/>
    <d v="2025-09-10T00:00:00"/>
    <s v="C4030"/>
    <x v="4"/>
    <s v="United Arab Emirates"/>
    <s v="P29256"/>
    <s v="Denim Jeans"/>
    <s v="Apparel"/>
    <s v="S100"/>
    <s v="Nova Industrial"/>
    <s v="North America"/>
    <s v="WH 06"/>
    <s v="Amsterdam"/>
    <x v="1"/>
    <n v="328"/>
    <n v="44.26"/>
    <n v="14517.28"/>
    <n v="49.77"/>
    <n v="2"/>
    <n v="6"/>
    <n v="2568"/>
    <x v="2"/>
    <x v="0"/>
    <n v="1364.39"/>
  </r>
  <r>
    <n v="100070"/>
    <d v="2025-03-11T00:00:00"/>
    <d v="2025-03-11T00:00:00"/>
    <d v="2025-03-17T00:00:00"/>
    <s v="C8970"/>
    <x v="3"/>
    <s v="France"/>
    <s v="P35150"/>
    <s v="Bottled Water Case"/>
    <s v="FMCG"/>
    <s v="S343"/>
    <s v="Crescent Logistics"/>
    <s v="Europe"/>
    <s v="WH 02"/>
    <s v="Lahore"/>
    <x v="0"/>
    <n v="34"/>
    <n v="43.86"/>
    <n v="1491.24"/>
    <n v="9.9499999999999993"/>
    <n v="6"/>
    <n v="6"/>
    <n v="685"/>
    <x v="2"/>
    <x v="0"/>
    <n v="242.66"/>
  </r>
  <r>
    <n v="100071"/>
    <d v="2024-06-27T00:00:00"/>
    <d v="2024-07-02T00:00:00"/>
    <d v="2024-07-13T00:00:00"/>
    <s v="C6299"/>
    <x v="4"/>
    <s v="Qatar"/>
    <s v="P55765"/>
    <s v="Face Mask Box"/>
    <s v="Healthcare"/>
    <s v="S600"/>
    <s v="Evergreen Partners"/>
    <s v="Asia"/>
    <s v="WH 04"/>
    <s v="Istanbul"/>
    <x v="3"/>
    <n v="353"/>
    <n v="33.54"/>
    <n v="11839.62"/>
    <n v="19.27"/>
    <n v="11"/>
    <n v="16"/>
    <n v="4358"/>
    <x v="0"/>
    <x v="0"/>
    <n v="1136.8499999999999"/>
  </r>
  <r>
    <n v="100072"/>
    <d v="2024-03-24T00:00:00"/>
    <d v="2024-03-24T00:00:00"/>
    <d v="2024-03-28T00:00:00"/>
    <s v="C9533"/>
    <x v="4"/>
    <s v="Turkey"/>
    <s v="P31566"/>
    <s v="Router"/>
    <s v="Electronics"/>
    <s v="S800"/>
    <s v="Evergreen Partners"/>
    <s v="Middle East"/>
    <s v="WH 01"/>
    <s v="Karachi"/>
    <x v="3"/>
    <n v="369"/>
    <n v="255.86"/>
    <n v="94412.34"/>
    <n v="14.56"/>
    <n v="4"/>
    <n v="4"/>
    <n v="1214"/>
    <x v="2"/>
    <x v="0"/>
    <n v="18109.73"/>
  </r>
  <r>
    <n v="100073"/>
    <d v="2025-10-31T00:00:00"/>
    <d v="2025-11-04T00:00:00"/>
    <d v="2025-11-12T00:00:00"/>
    <s v="C8311"/>
    <x v="2"/>
    <s v="Canada"/>
    <s v="P99106"/>
    <s v="Storage Cabinet"/>
    <s v="Furniture"/>
    <s v="S117"/>
    <s v="Summit Supply Co"/>
    <s v="Africa"/>
    <s v="WH 04"/>
    <s v="Istanbul"/>
    <x v="1"/>
    <n v="266"/>
    <n v="280.41000000000003"/>
    <n v="74589.06"/>
    <n v="45.75"/>
    <n v="8"/>
    <n v="12"/>
    <n v="243"/>
    <x v="0"/>
    <x v="0"/>
    <n v="14836.4"/>
  </r>
  <r>
    <n v="100074"/>
    <d v="2025-10-05T00:00:00"/>
    <d v="2025-10-05T00:00:00"/>
    <d v="2025-10-16T00:00:00"/>
    <s v="C9038"/>
    <x v="3"/>
    <s v="Italy"/>
    <s v="P58770"/>
    <s v="Floor Lamp"/>
    <s v="Furniture"/>
    <s v="S899"/>
    <s v="Orion Supplies"/>
    <s v="Middle East"/>
    <s v="WH 06"/>
    <s v="Amsterdam"/>
    <x v="3"/>
    <n v="275"/>
    <n v="123.93"/>
    <n v="34080.75"/>
    <n v="17.37"/>
    <n v="11"/>
    <n v="11"/>
    <n v="1951"/>
    <x v="0"/>
    <x v="0"/>
    <n v="9410.35"/>
  </r>
  <r>
    <n v="100075"/>
    <d v="2025-01-25T00:00:00"/>
    <d v="2025-01-29T00:00:00"/>
    <d v="2025-02-13T00:00:00"/>
    <s v="C9519"/>
    <x v="3"/>
    <s v="Sweden"/>
    <s v="P66373"/>
    <s v="Study Table"/>
    <s v="Furniture"/>
    <s v="S860"/>
    <s v="Vertex Manufacturing"/>
    <s v="Africa"/>
    <s v="WH 01"/>
    <s v="Karachi"/>
    <x v="3"/>
    <n v="248"/>
    <n v="216.53"/>
    <n v="53699.44"/>
    <n v="16.72"/>
    <n v="15"/>
    <n v="19"/>
    <n v="1337"/>
    <x v="1"/>
    <x v="3"/>
    <n v="8516.5300000000007"/>
  </r>
  <r>
    <n v="100076"/>
    <d v="2024-04-29T00:00:00"/>
    <d v="2024-05-04T00:00:00"/>
    <d v="2024-05-18T00:00:00"/>
    <s v="C6619"/>
    <x v="1"/>
    <s v="Morocco"/>
    <s v="P96925"/>
    <s v="Bluetooth Speaker"/>
    <s v="Electronics"/>
    <s v="S834"/>
    <s v="Evergreen Partners"/>
    <s v="Europe"/>
    <s v="WH 08"/>
    <s v="Chicago"/>
    <x v="3"/>
    <n v="320"/>
    <n v="409.57"/>
    <n v="131062.39999999999"/>
    <n v="18.47"/>
    <n v="14"/>
    <n v="19"/>
    <n v="56"/>
    <x v="0"/>
    <x v="0"/>
    <n v="26028.6"/>
  </r>
  <r>
    <n v="100077"/>
    <d v="2025-07-01T00:00:00"/>
    <d v="2025-07-05T00:00:00"/>
    <d v="2025-07-26T00:00:00"/>
    <s v="C7852"/>
    <x v="0"/>
    <s v="Bangladesh"/>
    <s v="P97955"/>
    <s v="Bookshelf"/>
    <s v="Furniture"/>
    <s v="S622"/>
    <s v="Atlas Sourcing"/>
    <s v="Middle East"/>
    <s v="WH 06"/>
    <s v="Amsterdam"/>
    <x v="2"/>
    <n v="243"/>
    <n v="295.77999999999997"/>
    <n v="71874.539999999994"/>
    <n v="12.45"/>
    <n v="21"/>
    <n v="25"/>
    <n v="756"/>
    <x v="0"/>
    <x v="0"/>
    <n v="15790.16"/>
  </r>
  <r>
    <n v="100078"/>
    <d v="2024-08-13T00:00:00"/>
    <d v="2024-08-17T00:00:00"/>
    <d v="2024-08-21T00:00:00"/>
    <s v="C2387"/>
    <x v="4"/>
    <s v="Qatar"/>
    <s v="P39975"/>
    <s v="Bookshelf"/>
    <s v="Furniture"/>
    <s v="S692"/>
    <s v="BlueRiver Trading"/>
    <s v="Middle East"/>
    <s v="WH 01"/>
    <s v="Karachi"/>
    <x v="1"/>
    <n v="211"/>
    <n v="215.39"/>
    <n v="45447.29"/>
    <n v="31.25"/>
    <n v="4"/>
    <n v="8"/>
    <n v="2156"/>
    <x v="0"/>
    <x v="0"/>
    <n v="4420.7"/>
  </r>
  <r>
    <n v="100079"/>
    <d v="2025-07-05T00:00:00"/>
    <d v="2025-07-06T00:00:00"/>
    <d v="2025-07-16T00:00:00"/>
    <s v="C6877"/>
    <x v="2"/>
    <s v="United States"/>
    <s v="P27685"/>
    <s v="Bluetooth Speaker"/>
    <s v="Electronics"/>
    <s v="S334"/>
    <s v="Orion Supplies"/>
    <s v="Europe"/>
    <s v="WH 04"/>
    <s v="Istanbul"/>
    <x v="0"/>
    <n v="13"/>
    <n v="111.59"/>
    <n v="1450.67"/>
    <n v="12.84"/>
    <n v="10"/>
    <n v="11"/>
    <n v="78"/>
    <x v="0"/>
    <x v="0"/>
    <n v="106.95"/>
  </r>
  <r>
    <n v="100080"/>
    <d v="2024-02-11T00:00:00"/>
    <d v="2024-02-14T00:00:00"/>
    <d v="2024-02-24T00:00:00"/>
    <s v="C8184"/>
    <x v="1"/>
    <s v="Kenya"/>
    <s v="P32180"/>
    <s v="Toothpaste Box"/>
    <s v="FMCG"/>
    <s v="S252"/>
    <s v="Pioneer Distribution"/>
    <s v="Asia"/>
    <s v="WH 10"/>
    <s v="Cairo"/>
    <x v="0"/>
    <n v="495"/>
    <n v="42.34"/>
    <n v="20958.3"/>
    <n v="26.51"/>
    <n v="10"/>
    <n v="13"/>
    <n v="1922"/>
    <x v="0"/>
    <x v="0"/>
    <n v="1739.83"/>
  </r>
  <r>
    <n v="100081"/>
    <d v="2025-12-31T00:00:00"/>
    <d v="2026-01-01T00:00:00"/>
    <d v="2026-01-22T00:00:00"/>
    <s v="C9646"/>
    <x v="4"/>
    <s v="Qatar"/>
    <s v="P69052"/>
    <s v="Denim Jeans"/>
    <s v="Apparel"/>
    <s v="S500"/>
    <s v="Vertex Manufacturing"/>
    <s v="Africa"/>
    <s v="WH 02"/>
    <s v="Lahore"/>
    <x v="2"/>
    <n v="419"/>
    <n v="54.48"/>
    <n v="22827.119999999999"/>
    <n v="15.66"/>
    <n v="21"/>
    <n v="22"/>
    <n v="851"/>
    <x v="1"/>
    <x v="2"/>
    <n v="3026.21"/>
  </r>
  <r>
    <n v="100082"/>
    <d v="2025-11-23T00:00:00"/>
    <d v="2025-11-26T00:00:00"/>
    <d v="2025-12-08T00:00:00"/>
    <s v="C9340"/>
    <x v="2"/>
    <s v="United States"/>
    <s v="P63002"/>
    <s v="Vitamin Pack"/>
    <s v="Healthcare"/>
    <s v="S395"/>
    <s v="Nova Industrial"/>
    <s v="Africa"/>
    <s v="WH 07"/>
    <s v="Toronto"/>
    <x v="2"/>
    <n v="20"/>
    <n v="37.17"/>
    <n v="743.4"/>
    <n v="8.3800000000000008"/>
    <n v="12"/>
    <n v="15"/>
    <n v="1336"/>
    <x v="0"/>
    <x v="0"/>
    <n v="135.4"/>
  </r>
  <r>
    <n v="100083"/>
    <d v="2025-10-25T00:00:00"/>
    <d v="2025-10-30T00:00:00"/>
    <d v="2025-11-08T00:00:00"/>
    <s v="C6408"/>
    <x v="3"/>
    <s v="Germany"/>
    <s v="P69129"/>
    <s v="First Aid Kit"/>
    <s v="Healthcare"/>
    <s v="S647"/>
    <s v="BlueRiver Trading"/>
    <s v="North America"/>
    <s v="WH 10"/>
    <s v="Cairo"/>
    <x v="3"/>
    <n v="248"/>
    <n v="29.51"/>
    <n v="7318.48"/>
    <n v="16.72"/>
    <n v="9"/>
    <n v="14"/>
    <n v="1962"/>
    <x v="0"/>
    <x v="0"/>
    <n v="1404.39"/>
  </r>
  <r>
    <n v="100084"/>
    <d v="2024-07-19T00:00:00"/>
    <d v="2024-07-20T00:00:00"/>
    <d v="2024-07-25T00:00:00"/>
    <s v="C3343"/>
    <x v="1"/>
    <s v="South Africa"/>
    <s v="P47904"/>
    <s v="Socks Pack"/>
    <s v="Apparel"/>
    <s v="S740"/>
    <s v="Evergreen Partners"/>
    <s v="North America"/>
    <s v="WH 02"/>
    <s v="Lahore"/>
    <x v="0"/>
    <n v="226"/>
    <n v="87.54"/>
    <n v="19784.04"/>
    <n v="18.88"/>
    <n v="5"/>
    <n v="6"/>
    <n v="1789"/>
    <x v="2"/>
    <x v="0"/>
    <n v="5200.55"/>
  </r>
  <r>
    <n v="100085"/>
    <d v="2024-06-20T00:00:00"/>
    <d v="2024-06-22T00:00:00"/>
    <d v="2024-06-30T00:00:00"/>
    <s v="C5090"/>
    <x v="0"/>
    <s v="Vietnam"/>
    <s v="P16960"/>
    <s v="Floor Lamp"/>
    <s v="Furniture"/>
    <s v="S116"/>
    <s v="BlueRiver Trading"/>
    <s v="Middle East"/>
    <s v="WH 06"/>
    <s v="Amsterdam"/>
    <x v="1"/>
    <n v="339"/>
    <n v="254.07"/>
    <n v="86129.73"/>
    <n v="50.48"/>
    <n v="8"/>
    <n v="10"/>
    <n v="1570"/>
    <x v="0"/>
    <x v="0"/>
    <n v="22314.94"/>
  </r>
  <r>
    <n v="100086"/>
    <d v="2025-10-22T00:00:00"/>
    <d v="2025-10-22T00:00:00"/>
    <d v="2025-11-01T00:00:00"/>
    <s v="C8119"/>
    <x v="3"/>
    <s v="Spain"/>
    <s v="P68053"/>
    <s v="Detergent Bag"/>
    <s v="FMCG"/>
    <s v="S299"/>
    <s v="Nova Industrial"/>
    <s v="Africa"/>
    <s v="WH 09"/>
    <s v="Johannesburg"/>
    <x v="3"/>
    <n v="34"/>
    <n v="45.65"/>
    <n v="1552.1"/>
    <n v="11.52"/>
    <n v="10"/>
    <n v="10"/>
    <n v="4026"/>
    <x v="1"/>
    <x v="2"/>
    <n v="118.21"/>
  </r>
  <r>
    <n v="100087"/>
    <d v="2025-02-04T00:00:00"/>
    <d v="2025-02-05T00:00:00"/>
    <d v="2025-02-13T00:00:00"/>
    <s v="C1390"/>
    <x v="4"/>
    <s v="Oman"/>
    <s v="P54813"/>
    <s v="Hand Sanitizer Case"/>
    <s v="Healthcare"/>
    <s v="S434"/>
    <s v="Zenith Procurement"/>
    <s v="Europe"/>
    <s v="WH 02"/>
    <s v="Lahore"/>
    <x v="3"/>
    <n v="126"/>
    <n v="67.94"/>
    <n v="8560.44"/>
    <n v="13.75"/>
    <n v="8"/>
    <n v="9"/>
    <n v="3130"/>
    <x v="0"/>
    <x v="0"/>
    <n v="1636.31"/>
  </r>
  <r>
    <n v="100088"/>
    <d v="2025-01-06T00:00:00"/>
    <d v="2025-01-08T00:00:00"/>
    <d v="2025-01-10T00:00:00"/>
    <s v="C1614"/>
    <x v="4"/>
    <s v="Saudi Arabia"/>
    <s v="P97312"/>
    <s v="Storage Cabinet"/>
    <s v="Furniture"/>
    <s v="S625"/>
    <s v="Vertex Manufacturing"/>
    <s v="Middle East"/>
    <s v="WH 06"/>
    <s v="Amsterdam"/>
    <x v="1"/>
    <n v="168"/>
    <n v="153.06"/>
    <n v="25714.080000000002"/>
    <n v="29.18"/>
    <n v="2"/>
    <n v="4"/>
    <n v="1171"/>
    <x v="2"/>
    <x v="0"/>
    <n v="5238.1499999999996"/>
  </r>
  <r>
    <n v="100089"/>
    <d v="2024-12-29T00:00:00"/>
    <d v="2024-12-29T00:00:00"/>
    <d v="2025-01-03T00:00:00"/>
    <s v="C1920"/>
    <x v="4"/>
    <s v="Qatar"/>
    <s v="P17564"/>
    <s v="Bottled Water Case"/>
    <s v="FMCG"/>
    <s v="S821"/>
    <s v="Atlas Sourcing"/>
    <s v="North America"/>
    <s v="WH 05"/>
    <s v="Frankfurt"/>
    <x v="0"/>
    <n v="170"/>
    <n v="44.87"/>
    <n v="7627.9"/>
    <n v="17.29"/>
    <n v="5"/>
    <n v="5"/>
    <n v="1431"/>
    <x v="1"/>
    <x v="2"/>
    <n v="1038.1500000000001"/>
  </r>
  <r>
    <n v="100090"/>
    <d v="2024-05-20T00:00:00"/>
    <d v="2024-05-21T00:00:00"/>
    <d v="2024-05-31T00:00:00"/>
    <s v="C3032"/>
    <x v="2"/>
    <s v="Mexico"/>
    <s v="P71916"/>
    <s v="Socks Pack"/>
    <s v="Apparel"/>
    <s v="S417"/>
    <s v="Orion Supplies"/>
    <s v="Africa"/>
    <s v="WH 04"/>
    <s v="Istanbul"/>
    <x v="1"/>
    <n v="254"/>
    <n v="62.78"/>
    <n v="15946.12"/>
    <n v="44.97"/>
    <n v="10"/>
    <n v="11"/>
    <n v="421"/>
    <x v="0"/>
    <x v="0"/>
    <n v="3999.84"/>
  </r>
  <r>
    <n v="100091"/>
    <d v="2024-12-24T00:00:00"/>
    <d v="2024-12-27T00:00:00"/>
    <d v="2025-01-02T00:00:00"/>
    <s v="C4760"/>
    <x v="3"/>
    <s v="Poland"/>
    <s v="P12050"/>
    <s v="Floor Lamp"/>
    <s v="Furniture"/>
    <s v="S528"/>
    <s v="Summit Supply Co"/>
    <s v="Europe"/>
    <s v="WH 08"/>
    <s v="Chicago"/>
    <x v="0"/>
    <n v="151"/>
    <n v="132.07"/>
    <n v="19942.57"/>
    <n v="12.41"/>
    <n v="6"/>
    <n v="9"/>
    <n v="2083"/>
    <x v="0"/>
    <x v="0"/>
    <n v="2265.48"/>
  </r>
  <r>
    <n v="100092"/>
    <d v="2025-08-07T00:00:00"/>
    <d v="2025-08-07T00:00:00"/>
    <d v="2025-08-19T00:00:00"/>
    <s v="C2828"/>
    <x v="4"/>
    <s v="United Arab Emirates"/>
    <s v="P55028"/>
    <s v="Wireless Earbuds"/>
    <s v="Electronics"/>
    <s v="S479"/>
    <s v="Atlas Sourcing"/>
    <s v="Middle East"/>
    <s v="WH 04"/>
    <s v="Istanbul"/>
    <x v="3"/>
    <n v="207"/>
    <n v="443.11"/>
    <n v="91723.77"/>
    <n v="11.65"/>
    <n v="12"/>
    <n v="12"/>
    <n v="1392"/>
    <x v="0"/>
    <x v="0"/>
    <n v="15203.27"/>
  </r>
  <r>
    <n v="100093"/>
    <d v="2025-07-17T00:00:00"/>
    <d v="2025-07-20T00:00:00"/>
    <d v="2025-07-23T00:00:00"/>
    <s v="C6429"/>
    <x v="1"/>
    <s v="Nigeria"/>
    <s v="P51844"/>
    <s v="Storage Cabinet"/>
    <s v="Furniture"/>
    <s v="S342"/>
    <s v="Summit Supply Co"/>
    <s v="North America"/>
    <s v="WH 07"/>
    <s v="Toronto"/>
    <x v="1"/>
    <n v="375"/>
    <n v="111.51"/>
    <n v="41816.25"/>
    <n v="52.81"/>
    <n v="3"/>
    <n v="6"/>
    <n v="275"/>
    <x v="1"/>
    <x v="2"/>
    <n v="11369.85"/>
  </r>
  <r>
    <n v="100094"/>
    <d v="2025-05-31T00:00:00"/>
    <d v="2025-06-04T00:00:00"/>
    <d v="2025-06-05T00:00:00"/>
    <s v="C2913"/>
    <x v="2"/>
    <s v="Mexico"/>
    <s v="P40448"/>
    <s v="Bookshelf"/>
    <s v="Furniture"/>
    <s v="S672"/>
    <s v="Nova Industrial"/>
    <s v="North America"/>
    <s v="WH 04"/>
    <s v="Istanbul"/>
    <x v="1"/>
    <n v="388"/>
    <n v="162.84"/>
    <n v="63181.919999999998"/>
    <n v="39.74"/>
    <n v="1"/>
    <n v="5"/>
    <n v="899"/>
    <x v="2"/>
    <x v="0"/>
    <n v="9097.84"/>
  </r>
  <r>
    <n v="100095"/>
    <d v="2024-04-29T00:00:00"/>
    <d v="2024-05-03T00:00:00"/>
    <d v="2024-05-13T00:00:00"/>
    <s v="C2933"/>
    <x v="3"/>
    <s v="Italy"/>
    <s v="P93300"/>
    <s v="Router"/>
    <s v="Electronics"/>
    <s v="S709"/>
    <s v="Crescent Logistics"/>
    <s v="Europe"/>
    <s v="WH 04"/>
    <s v="Istanbul"/>
    <x v="0"/>
    <n v="276"/>
    <n v="402.21"/>
    <n v="111009.96"/>
    <n v="15.04"/>
    <n v="10"/>
    <n v="14"/>
    <n v="1396"/>
    <x v="0"/>
    <x v="0"/>
    <n v="9555.43"/>
  </r>
  <r>
    <n v="100096"/>
    <d v="2024-06-18T00:00:00"/>
    <d v="2024-06-18T00:00:00"/>
    <d v="2024-06-29T00:00:00"/>
    <s v="C1954"/>
    <x v="2"/>
    <s v="Mexico"/>
    <s v="P91121"/>
    <s v="Thermometer"/>
    <s v="Healthcare"/>
    <s v="S223"/>
    <s v="Vertex Manufacturing"/>
    <s v="North America"/>
    <s v="WH 02"/>
    <s v="Lahore"/>
    <x v="3"/>
    <n v="472"/>
    <n v="8.42"/>
    <n v="3974.24"/>
    <n v="16.420000000000002"/>
    <n v="11"/>
    <n v="11"/>
    <n v="4172"/>
    <x v="0"/>
    <x v="0"/>
    <n v="758.86"/>
  </r>
  <r>
    <n v="100097"/>
    <d v="2025-08-15T00:00:00"/>
    <d v="2025-08-16T00:00:00"/>
    <d v="2025-09-02T00:00:00"/>
    <s v="C1317"/>
    <x v="2"/>
    <s v="United States"/>
    <s v="P12396"/>
    <s v="Denim Jeans"/>
    <s v="Apparel"/>
    <s v="S214"/>
    <s v="Nova Industrial"/>
    <s v="Asia"/>
    <s v="WH 09"/>
    <s v="Johannesburg"/>
    <x v="2"/>
    <n v="195"/>
    <n v="72.849999999999994"/>
    <n v="14205.75"/>
    <n v="11.57"/>
    <n v="17"/>
    <n v="18"/>
    <n v="3261"/>
    <x v="0"/>
    <x v="0"/>
    <n v="2167.67"/>
  </r>
  <r>
    <n v="100098"/>
    <d v="2024-05-26T00:00:00"/>
    <d v="2024-05-29T00:00:00"/>
    <d v="2024-06-08T00:00:00"/>
    <s v="C2704"/>
    <x v="2"/>
    <s v="United States"/>
    <s v="P43130"/>
    <s v="Router"/>
    <s v="Electronics"/>
    <s v="S656"/>
    <s v="Nova Industrial"/>
    <s v="Europe"/>
    <s v="WH 08"/>
    <s v="Chicago"/>
    <x v="2"/>
    <n v="354"/>
    <n v="422.74"/>
    <n v="149649.96"/>
    <n v="14.47"/>
    <n v="10"/>
    <n v="13"/>
    <n v="405"/>
    <x v="0"/>
    <x v="0"/>
    <n v="15280.46"/>
  </r>
  <r>
    <n v="100099"/>
    <d v="2024-01-31T00:00:00"/>
    <d v="2024-02-01T00:00:00"/>
    <d v="2024-02-07T00:00:00"/>
    <s v="C4998"/>
    <x v="0"/>
    <s v="Indonesia"/>
    <s v="P28787"/>
    <s v="Sportswear Set"/>
    <s v="Apparel"/>
    <s v="S357"/>
    <s v="Pioneer Distribution"/>
    <s v="Middle East"/>
    <s v="WH 06"/>
    <s v="Amsterdam"/>
    <x v="0"/>
    <n v="215"/>
    <n v="93.23"/>
    <n v="20044.45"/>
    <n v="18.57"/>
    <n v="6"/>
    <n v="7"/>
    <n v="1697"/>
    <x v="1"/>
    <x v="1"/>
    <n v="-245.48"/>
  </r>
  <r>
    <n v="100100"/>
    <d v="2024-01-17T00:00:00"/>
    <d v="2024-01-18T00:00:00"/>
    <d v="2024-02-12T00:00:00"/>
    <s v="C2007"/>
    <x v="0"/>
    <s v="Bangladesh"/>
    <s v="P80981"/>
    <s v="Office Chair"/>
    <s v="Furniture"/>
    <s v="S566"/>
    <s v="BlueRiver Trading"/>
    <s v="Middle East"/>
    <s v="WH 08"/>
    <s v="Chicago"/>
    <x v="2"/>
    <n v="423"/>
    <n v="45.71"/>
    <n v="19335.330000000002"/>
    <n v="15.73"/>
    <n v="25"/>
    <n v="26"/>
    <n v="1306"/>
    <x v="1"/>
    <x v="3"/>
    <n v="3362.14"/>
  </r>
  <r>
    <n v="100101"/>
    <d v="2024-08-09T00:00:00"/>
    <d v="2024-08-13T00:00:00"/>
    <d v="2024-08-20T00:00:00"/>
    <s v="C2887"/>
    <x v="1"/>
    <s v="South Africa"/>
    <s v="P55539"/>
    <s v="Toothpaste Box"/>
    <s v="FMCG"/>
    <s v="S341"/>
    <s v="Vertex Manufacturing"/>
    <s v="North America"/>
    <s v="WH 02"/>
    <s v="Lahore"/>
    <x v="0"/>
    <n v="333"/>
    <n v="18.54"/>
    <n v="6173.82"/>
    <n v="21.91"/>
    <n v="7"/>
    <n v="11"/>
    <n v="1340"/>
    <x v="0"/>
    <x v="0"/>
    <n v="26.74"/>
  </r>
  <r>
    <n v="100102"/>
    <d v="2024-07-28T00:00:00"/>
    <d v="2024-07-29T00:00:00"/>
    <d v="2024-08-21T00:00:00"/>
    <s v="C9476"/>
    <x v="0"/>
    <s v="Indonesia"/>
    <s v="P31195"/>
    <s v="Storage Cabinet"/>
    <s v="Furniture"/>
    <s v="S775"/>
    <s v="Vertex Manufacturing"/>
    <s v="Africa"/>
    <s v="WH 04"/>
    <s v="Istanbul"/>
    <x v="2"/>
    <n v="260"/>
    <n v="80.33"/>
    <n v="20885.8"/>
    <n v="12.76"/>
    <n v="23"/>
    <n v="24"/>
    <n v="1080"/>
    <x v="0"/>
    <x v="0"/>
    <n v="3736.1"/>
  </r>
  <r>
    <n v="100103"/>
    <d v="2025-04-03T00:00:00"/>
    <d v="2025-04-04T00:00:00"/>
    <d v="2025-04-14T00:00:00"/>
    <s v="C4356"/>
    <x v="4"/>
    <s v="Oman"/>
    <s v="P24288"/>
    <s v="Socks Pack"/>
    <s v="Apparel"/>
    <s v="S198"/>
    <s v="Evergreen Partners"/>
    <s v="North America"/>
    <s v="WH 10"/>
    <s v="Cairo"/>
    <x v="3"/>
    <n v="406"/>
    <n v="103.96"/>
    <n v="42207.76"/>
    <n v="20.56"/>
    <n v="10"/>
    <n v="11"/>
    <n v="3492"/>
    <x v="0"/>
    <x v="0"/>
    <n v="6063.85"/>
  </r>
  <r>
    <n v="100104"/>
    <d v="2024-03-24T00:00:00"/>
    <d v="2024-03-29T00:00:00"/>
    <d v="2024-04-02T00:00:00"/>
    <s v="C1988"/>
    <x v="1"/>
    <s v="South Africa"/>
    <s v="P63268"/>
    <s v="Toothpaste Box"/>
    <s v="FMCG"/>
    <s v="S402"/>
    <s v="Nova Industrial"/>
    <s v="Asia"/>
    <s v="WH 03"/>
    <s v="Dubai"/>
    <x v="0"/>
    <n v="473"/>
    <n v="43.58"/>
    <n v="20613.34"/>
    <n v="25.88"/>
    <n v="4"/>
    <n v="9"/>
    <n v="4479"/>
    <x v="0"/>
    <x v="0"/>
    <n v="3641.59"/>
  </r>
  <r>
    <n v="100105"/>
    <d v="2025-06-10T00:00:00"/>
    <d v="2025-06-11T00:00:00"/>
    <d v="2025-07-03T00:00:00"/>
    <s v="C4056"/>
    <x v="3"/>
    <s v="Netherlands"/>
    <s v="P92711"/>
    <s v="Smart Watch"/>
    <s v="Electronics"/>
    <s v="S623"/>
    <s v="Orion Supplies"/>
    <s v="Middle East"/>
    <s v="WH 08"/>
    <s v="Chicago"/>
    <x v="2"/>
    <n v="283"/>
    <n v="397.1"/>
    <n v="112379.3"/>
    <n v="13.18"/>
    <n v="22"/>
    <n v="23"/>
    <n v="257"/>
    <x v="0"/>
    <x v="0"/>
    <n v="12182.02"/>
  </r>
  <r>
    <n v="100106"/>
    <d v="2025-06-03T00:00:00"/>
    <d v="2025-06-05T00:00:00"/>
    <d v="2025-06-10T00:00:00"/>
    <s v="C1959"/>
    <x v="2"/>
    <s v="United States"/>
    <s v="P48827"/>
    <s v="Snack Carton"/>
    <s v="FMCG"/>
    <s v="S792"/>
    <s v="Nova Industrial"/>
    <s v="Middle East"/>
    <s v="WH 02"/>
    <s v="Lahore"/>
    <x v="3"/>
    <n v="33"/>
    <n v="46.44"/>
    <n v="1532.52"/>
    <n v="11.49"/>
    <n v="5"/>
    <n v="7"/>
    <n v="3246"/>
    <x v="2"/>
    <x v="0"/>
    <n v="65.38"/>
  </r>
  <r>
    <n v="100107"/>
    <d v="2024-08-23T00:00:00"/>
    <d v="2024-08-26T00:00:00"/>
    <d v="2024-09-08T00:00:00"/>
    <s v="C8099"/>
    <x v="2"/>
    <s v="Mexico"/>
    <s v="P15109"/>
    <s v="First Aid Kit"/>
    <s v="Healthcare"/>
    <s v="S600"/>
    <s v="Evergreen Partners"/>
    <s v="Asia"/>
    <s v="WH 09"/>
    <s v="Johannesburg"/>
    <x v="2"/>
    <n v="126"/>
    <n v="56.4"/>
    <n v="7106.4"/>
    <n v="10.32"/>
    <n v="13"/>
    <n v="16"/>
    <n v="783"/>
    <x v="0"/>
    <x v="0"/>
    <n v="497.86"/>
  </r>
  <r>
    <n v="100108"/>
    <d v="2024-11-15T00:00:00"/>
    <d v="2024-11-16T00:00:00"/>
    <d v="2024-12-09T00:00:00"/>
    <s v="C9357"/>
    <x v="3"/>
    <s v="Italy"/>
    <s v="P36143"/>
    <s v="Shampoo Pack"/>
    <s v="FMCG"/>
    <s v="S110"/>
    <s v="Orion Supplies"/>
    <s v="Europe"/>
    <s v="WH 05"/>
    <s v="Frankfurt"/>
    <x v="2"/>
    <n v="310"/>
    <n v="39.07"/>
    <n v="12111.7"/>
    <n v="10.119999999999999"/>
    <n v="23"/>
    <n v="24"/>
    <n v="2343"/>
    <x v="1"/>
    <x v="2"/>
    <n v="1352.03"/>
  </r>
  <r>
    <n v="100109"/>
    <d v="2025-02-04T00:00:00"/>
    <d v="2025-02-07T00:00:00"/>
    <d v="2025-02-08T00:00:00"/>
    <s v="C9783"/>
    <x v="4"/>
    <s v="United Arab Emirates"/>
    <s v="P58787"/>
    <s v="Bookshelf"/>
    <s v="Furniture"/>
    <s v="S772"/>
    <s v="Evergreen Partners"/>
    <s v="North America"/>
    <s v="WH 09"/>
    <s v="Johannesburg"/>
    <x v="1"/>
    <n v="211"/>
    <n v="280.5"/>
    <n v="59185.5"/>
    <n v="42.18"/>
    <n v="1"/>
    <n v="4"/>
    <n v="291"/>
    <x v="2"/>
    <x v="0"/>
    <n v="11962.64"/>
  </r>
  <r>
    <n v="100110"/>
    <d v="2025-08-11T00:00:00"/>
    <d v="2025-08-14T00:00:00"/>
    <d v="2025-08-27T00:00:00"/>
    <s v="C8014"/>
    <x v="4"/>
    <s v="United Arab Emirates"/>
    <s v="P60861"/>
    <s v="Vitamin Pack"/>
    <s v="Healthcare"/>
    <s v="S221"/>
    <s v="Evergreen Partners"/>
    <s v="North America"/>
    <s v="WH 10"/>
    <s v="Cairo"/>
    <x v="3"/>
    <n v="152"/>
    <n v="24.41"/>
    <n v="3710.32"/>
    <n v="14.39"/>
    <n v="13"/>
    <n v="16"/>
    <n v="1086"/>
    <x v="0"/>
    <x v="0"/>
    <n v="305.25"/>
  </r>
  <r>
    <n v="100111"/>
    <d v="2024-01-09T00:00:00"/>
    <d v="2024-01-14T00:00:00"/>
    <d v="2024-01-17T00:00:00"/>
    <s v="C9907"/>
    <x v="0"/>
    <s v="Pakistan"/>
    <s v="P36289"/>
    <s v="Detergent Bag"/>
    <s v="FMCG"/>
    <s v="S959"/>
    <s v="Vertex Manufacturing"/>
    <s v="Asia"/>
    <s v="WH 05"/>
    <s v="Frankfurt"/>
    <x v="1"/>
    <n v="327"/>
    <n v="40.25"/>
    <n v="13161.75"/>
    <n v="36.82"/>
    <n v="3"/>
    <n v="8"/>
    <n v="4506"/>
    <x v="1"/>
    <x v="2"/>
    <n v="2152.3200000000002"/>
  </r>
  <r>
    <n v="100112"/>
    <d v="2024-11-09T00:00:00"/>
    <d v="2024-11-14T00:00:00"/>
    <d v="2024-11-23T00:00:00"/>
    <s v="C5109"/>
    <x v="3"/>
    <s v="Spain"/>
    <s v="P25313"/>
    <s v="Face Mask Box"/>
    <s v="Healthcare"/>
    <s v="S111"/>
    <s v="Nova Industrial"/>
    <s v="Europe"/>
    <s v="WH 10"/>
    <s v="Cairo"/>
    <x v="0"/>
    <n v="96"/>
    <n v="61.32"/>
    <n v="5886.72"/>
    <n v="11.26"/>
    <n v="9"/>
    <n v="14"/>
    <n v="1760"/>
    <x v="0"/>
    <x v="0"/>
    <n v="1147.6099999999999"/>
  </r>
  <r>
    <n v="100113"/>
    <d v="2025-09-22T00:00:00"/>
    <d v="2025-09-26T00:00:00"/>
    <d v="2025-10-11T00:00:00"/>
    <s v="C4665"/>
    <x v="4"/>
    <s v="United Arab Emirates"/>
    <s v="P85717"/>
    <s v="Bookshelf"/>
    <s v="Furniture"/>
    <s v="S822"/>
    <s v="Evergreen Partners"/>
    <s v="North America"/>
    <s v="WH 06"/>
    <s v="Amsterdam"/>
    <x v="3"/>
    <n v="159"/>
    <n v="143.02000000000001"/>
    <n v="22740.18"/>
    <n v="14.56"/>
    <n v="15"/>
    <n v="19"/>
    <n v="361"/>
    <x v="1"/>
    <x v="3"/>
    <n v="5080.43"/>
  </r>
  <r>
    <n v="100114"/>
    <d v="2024-02-04T00:00:00"/>
    <d v="2024-02-08T00:00:00"/>
    <d v="2024-02-17T00:00:00"/>
    <s v="C8005"/>
    <x v="3"/>
    <s v="Italy"/>
    <s v="P69321"/>
    <s v="Floor Lamp"/>
    <s v="Furniture"/>
    <s v="S123"/>
    <s v="Nova Industrial"/>
    <s v="Middle East"/>
    <s v="WH 09"/>
    <s v="Johannesburg"/>
    <x v="0"/>
    <n v="413"/>
    <n v="234.92"/>
    <n v="97021.96"/>
    <n v="24.18"/>
    <n v="9"/>
    <n v="13"/>
    <n v="1437"/>
    <x v="0"/>
    <x v="0"/>
    <n v="20052.39"/>
  </r>
  <r>
    <n v="100115"/>
    <d v="2025-09-08T00:00:00"/>
    <d v="2025-09-11T00:00:00"/>
    <d v="2025-09-17T00:00:00"/>
    <s v="C2394"/>
    <x v="4"/>
    <s v="United Arab Emirates"/>
    <s v="P55241"/>
    <s v="Hoodie"/>
    <s v="Apparel"/>
    <s v="S345"/>
    <s v="Zenith Procurement"/>
    <s v="Asia"/>
    <s v="WH 07"/>
    <s v="Toronto"/>
    <x v="0"/>
    <n v="134"/>
    <n v="33.17"/>
    <n v="4444.78"/>
    <n v="16.27"/>
    <n v="6"/>
    <n v="9"/>
    <n v="3458"/>
    <x v="0"/>
    <x v="0"/>
    <n v="637.82000000000005"/>
  </r>
  <r>
    <n v="100116"/>
    <d v="2024-04-09T00:00:00"/>
    <d v="2024-04-14T00:00:00"/>
    <d v="2024-04-22T00:00:00"/>
    <s v="C1525"/>
    <x v="1"/>
    <s v="Egypt"/>
    <s v="P98397"/>
    <s v="Office Chair"/>
    <s v="Furniture"/>
    <s v="S101"/>
    <s v="Atlas Sourcing"/>
    <s v="Africa"/>
    <s v="WH 06"/>
    <s v="Amsterdam"/>
    <x v="0"/>
    <n v="384"/>
    <n v="168.04"/>
    <n v="64527.360000000001"/>
    <n v="17.3"/>
    <n v="8"/>
    <n v="13"/>
    <n v="602"/>
    <x v="0"/>
    <x v="0"/>
    <n v="12323.48"/>
  </r>
  <r>
    <n v="100117"/>
    <d v="2024-03-24T00:00:00"/>
    <d v="2024-03-25T00:00:00"/>
    <d v="2024-04-04T00:00:00"/>
    <s v="C9219"/>
    <x v="4"/>
    <s v="United Arab Emirates"/>
    <s v="P77649"/>
    <s v="Snack Carton"/>
    <s v="FMCG"/>
    <s v="S262"/>
    <s v="Summit Supply Co"/>
    <s v="Europe"/>
    <s v="WH 05"/>
    <s v="Frankfurt"/>
    <x v="3"/>
    <n v="238"/>
    <n v="5.41"/>
    <n v="1287.58"/>
    <n v="16.48"/>
    <n v="10"/>
    <n v="11"/>
    <n v="4855"/>
    <x v="0"/>
    <x v="0"/>
    <n v="123.86"/>
  </r>
  <r>
    <n v="100118"/>
    <d v="2025-12-07T00:00:00"/>
    <d v="2025-12-12T00:00:00"/>
    <d v="2025-12-25T00:00:00"/>
    <s v="C4432"/>
    <x v="4"/>
    <s v="United Arab Emirates"/>
    <s v="P52240"/>
    <s v="Router"/>
    <s v="Electronics"/>
    <s v="S232"/>
    <s v="Atlas Sourcing"/>
    <s v="Europe"/>
    <s v="WH 05"/>
    <s v="Frankfurt"/>
    <x v="3"/>
    <n v="285"/>
    <n v="289.27"/>
    <n v="82441.95"/>
    <n v="17.62"/>
    <n v="13"/>
    <n v="18"/>
    <n v="1021"/>
    <x v="0"/>
    <x v="0"/>
    <n v="5444.45"/>
  </r>
  <r>
    <n v="100119"/>
    <d v="2024-07-22T00:00:00"/>
    <d v="2024-07-26T00:00:00"/>
    <d v="2024-07-28T00:00:00"/>
    <s v="C3203"/>
    <x v="1"/>
    <s v="Egypt"/>
    <s v="P93310"/>
    <s v="Smart Watch"/>
    <s v="Electronics"/>
    <s v="S818"/>
    <s v="BlueRiver Trading"/>
    <s v="Middle East"/>
    <s v="WH 02"/>
    <s v="Lahore"/>
    <x v="0"/>
    <n v="399"/>
    <n v="140.28"/>
    <n v="55971.72"/>
    <n v="23.79"/>
    <n v="2"/>
    <n v="6"/>
    <n v="1006"/>
    <x v="2"/>
    <x v="0"/>
    <n v="5417.55"/>
  </r>
  <r>
    <n v="100120"/>
    <d v="2024-10-08T00:00:00"/>
    <d v="2024-10-12T00:00:00"/>
    <d v="2024-10-22T00:00:00"/>
    <s v="C5293"/>
    <x v="4"/>
    <s v="Qatar"/>
    <s v="P86260"/>
    <s v="Hand Sanitizer Case"/>
    <s v="Healthcare"/>
    <s v="S856"/>
    <s v="Evergreen Partners"/>
    <s v="Middle East"/>
    <s v="WH 08"/>
    <s v="Chicago"/>
    <x v="2"/>
    <n v="68"/>
    <n v="33.92"/>
    <n v="2306.56"/>
    <n v="6.86"/>
    <n v="10"/>
    <n v="14"/>
    <n v="1208"/>
    <x v="0"/>
    <x v="0"/>
    <n v="273.75"/>
  </r>
  <r>
    <n v="100121"/>
    <d v="2024-09-07T00:00:00"/>
    <d v="2024-09-09T00:00:00"/>
    <d v="2024-10-02T00:00:00"/>
    <s v="C8473"/>
    <x v="4"/>
    <s v="Turkey"/>
    <s v="P71212"/>
    <s v="Bottled Water Case"/>
    <s v="FMCG"/>
    <s v="S284"/>
    <s v="Atlas Sourcing"/>
    <s v="Africa"/>
    <s v="WH 09"/>
    <s v="Johannesburg"/>
    <x v="2"/>
    <n v="48"/>
    <n v="25.46"/>
    <n v="1222.08"/>
    <n v="8.89"/>
    <n v="23"/>
    <n v="25"/>
    <n v="3549"/>
    <x v="0"/>
    <x v="0"/>
    <n v="72.19"/>
  </r>
  <r>
    <n v="100122"/>
    <d v="2024-11-03T00:00:00"/>
    <d v="2024-11-04T00:00:00"/>
    <d v="2024-11-23T00:00:00"/>
    <s v="C8175"/>
    <x v="0"/>
    <s v="Bangladesh"/>
    <s v="P20225"/>
    <s v="Bookshelf"/>
    <s v="Furniture"/>
    <s v="S440"/>
    <s v="Summit Supply Co"/>
    <s v="North America"/>
    <s v="WH 01"/>
    <s v="Karachi"/>
    <x v="2"/>
    <n v="138"/>
    <n v="266.56"/>
    <n v="36785.279999999999"/>
    <n v="10.53"/>
    <n v="19"/>
    <n v="20"/>
    <n v="1431"/>
    <x v="0"/>
    <x v="0"/>
    <n v="8480.25"/>
  </r>
  <r>
    <n v="100123"/>
    <d v="2024-08-05T00:00:00"/>
    <d v="2024-08-07T00:00:00"/>
    <d v="2024-08-12T00:00:00"/>
    <s v="C8705"/>
    <x v="2"/>
    <s v="Mexico"/>
    <s v="P46487"/>
    <s v="Face Mask Box"/>
    <s v="Healthcare"/>
    <s v="S402"/>
    <s v="Crescent Logistics"/>
    <s v="Middle East"/>
    <s v="WH 09"/>
    <s v="Johannesburg"/>
    <x v="1"/>
    <n v="241"/>
    <n v="71.02"/>
    <n v="17115.82"/>
    <n v="44.13"/>
    <n v="5"/>
    <n v="7"/>
    <n v="1186"/>
    <x v="2"/>
    <x v="0"/>
    <n v="2659.26"/>
  </r>
  <r>
    <n v="100124"/>
    <d v="2025-10-15T00:00:00"/>
    <d v="2025-10-19T00:00:00"/>
    <d v="2025-10-27T00:00:00"/>
    <s v="C9125"/>
    <x v="2"/>
    <s v="Canada"/>
    <s v="P46059"/>
    <s v="Thermometer"/>
    <s v="Healthcare"/>
    <s v="S803"/>
    <s v="Evergreen Partners"/>
    <s v="Middle East"/>
    <s v="WH 06"/>
    <s v="Amsterdam"/>
    <x v="3"/>
    <n v="463"/>
    <n v="34.090000000000003"/>
    <n v="15783.67"/>
    <n v="21.94"/>
    <n v="8"/>
    <n v="12"/>
    <n v="3432"/>
    <x v="0"/>
    <x v="0"/>
    <n v="2688.28"/>
  </r>
  <r>
    <n v="100125"/>
    <d v="2025-05-03T00:00:00"/>
    <d v="2025-05-05T00:00:00"/>
    <d v="2025-05-18T00:00:00"/>
    <s v="C4173"/>
    <x v="3"/>
    <s v="Netherlands"/>
    <s v="P39165"/>
    <s v="Study Table"/>
    <s v="Furniture"/>
    <s v="S743"/>
    <s v="Evergreen Partners"/>
    <s v="Asia"/>
    <s v="WH 06"/>
    <s v="Amsterdam"/>
    <x v="2"/>
    <n v="111"/>
    <n v="175.83"/>
    <n v="19517.13"/>
    <n v="10.039999999999999"/>
    <n v="13"/>
    <n v="15"/>
    <n v="1050"/>
    <x v="0"/>
    <x v="0"/>
    <n v="3505.14"/>
  </r>
  <r>
    <n v="100126"/>
    <d v="2025-03-30T00:00:00"/>
    <d v="2025-03-30T00:00:00"/>
    <d v="2025-04-07T00:00:00"/>
    <s v="C5806"/>
    <x v="4"/>
    <s v="Oman"/>
    <s v="P19108"/>
    <s v="Bottled Water Case"/>
    <s v="FMCG"/>
    <s v="S927"/>
    <s v="Orion Supplies"/>
    <s v="Europe"/>
    <s v="WH 09"/>
    <s v="Johannesburg"/>
    <x v="3"/>
    <n v="102"/>
    <n v="25.19"/>
    <n v="2569.38"/>
    <n v="13.17"/>
    <n v="8"/>
    <n v="8"/>
    <n v="4700"/>
    <x v="0"/>
    <x v="0"/>
    <n v="120.2"/>
  </r>
  <r>
    <n v="100127"/>
    <d v="2025-09-13T00:00:00"/>
    <d v="2025-09-18T00:00:00"/>
    <d v="2025-09-20T00:00:00"/>
    <s v="C7228"/>
    <x v="0"/>
    <s v="Vietnam"/>
    <s v="P16471"/>
    <s v="Office Chair"/>
    <s v="Furniture"/>
    <s v="S915"/>
    <s v="Summit Supply Co"/>
    <s v="Middle East"/>
    <s v="WH 01"/>
    <s v="Karachi"/>
    <x v="1"/>
    <n v="459"/>
    <n v="188.55"/>
    <n v="86544.45"/>
    <n v="58.26"/>
    <n v="2"/>
    <n v="7"/>
    <n v="1227"/>
    <x v="2"/>
    <x v="0"/>
    <n v="12390.18"/>
  </r>
  <r>
    <n v="100128"/>
    <d v="2024-10-26T00:00:00"/>
    <d v="2024-10-29T00:00:00"/>
    <d v="2024-11-22T00:00:00"/>
    <s v="C6445"/>
    <x v="4"/>
    <s v="Saudi Arabia"/>
    <s v="P91709"/>
    <s v="Power Bank"/>
    <s v="Electronics"/>
    <s v="S597"/>
    <s v="Nova Industrial"/>
    <s v="North America"/>
    <s v="WH 10"/>
    <s v="Cairo"/>
    <x v="2"/>
    <n v="373"/>
    <n v="432.65"/>
    <n v="161378.45000000001"/>
    <n v="14.82"/>
    <n v="24"/>
    <n v="27"/>
    <n v="1054"/>
    <x v="0"/>
    <x v="0"/>
    <n v="33154.910000000003"/>
  </r>
  <r>
    <n v="100129"/>
    <d v="2025-02-02T00:00:00"/>
    <d v="2025-02-02T00:00:00"/>
    <d v="2025-02-09T00:00:00"/>
    <s v="C1140"/>
    <x v="0"/>
    <s v="Vietnam"/>
    <s v="P47650"/>
    <s v="Socks Pack"/>
    <s v="Apparel"/>
    <s v="S901"/>
    <s v="Evergreen Partners"/>
    <s v="North America"/>
    <s v="WH 08"/>
    <s v="Chicago"/>
    <x v="3"/>
    <n v="343"/>
    <n v="63.45"/>
    <n v="21763.35"/>
    <n v="19.03"/>
    <n v="7"/>
    <n v="7"/>
    <n v="3205"/>
    <x v="2"/>
    <x v="0"/>
    <n v="6203.57"/>
  </r>
  <r>
    <n v="100130"/>
    <d v="2025-10-09T00:00:00"/>
    <d v="2025-10-10T00:00:00"/>
    <d v="2025-10-15T00:00:00"/>
    <s v="C7787"/>
    <x v="1"/>
    <s v="South Africa"/>
    <s v="P96365"/>
    <s v="Snack Carton"/>
    <s v="FMCG"/>
    <s v="S558"/>
    <s v="Atlas Sourcing"/>
    <s v="Asia"/>
    <s v="WH 07"/>
    <s v="Toronto"/>
    <x v="0"/>
    <n v="272"/>
    <n v="35.65"/>
    <n v="9696.7999999999993"/>
    <n v="20.190000000000001"/>
    <n v="5"/>
    <n v="6"/>
    <n v="3954"/>
    <x v="2"/>
    <x v="0"/>
    <n v="698.15"/>
  </r>
  <r>
    <n v="100131"/>
    <d v="2024-03-24T00:00:00"/>
    <d v="2024-03-27T00:00:00"/>
    <d v="2024-04-03T00:00:00"/>
    <s v="C6291"/>
    <x v="0"/>
    <s v="Malaysia"/>
    <s v="P81031"/>
    <s v="Snack Carton"/>
    <s v="FMCG"/>
    <s v="S784"/>
    <s v="Orion Supplies"/>
    <s v="Asia"/>
    <s v="WH 06"/>
    <s v="Amsterdam"/>
    <x v="0"/>
    <n v="371"/>
    <n v="10.050000000000001"/>
    <n v="3728.55"/>
    <n v="17.03"/>
    <n v="7"/>
    <n v="10"/>
    <n v="1600"/>
    <x v="0"/>
    <x v="0"/>
    <n v="272.18"/>
  </r>
  <r>
    <n v="100132"/>
    <d v="2025-01-12T00:00:00"/>
    <d v="2025-01-12T00:00:00"/>
    <d v="2025-01-21T00:00:00"/>
    <s v="C2072"/>
    <x v="2"/>
    <s v="Canada"/>
    <s v="P44084"/>
    <s v="Sportswear Set"/>
    <s v="Apparel"/>
    <s v="S679"/>
    <s v="Crescent Logistics"/>
    <s v="Europe"/>
    <s v="WH 09"/>
    <s v="Johannesburg"/>
    <x v="0"/>
    <n v="59"/>
    <n v="90.52"/>
    <n v="5340.68"/>
    <n v="14.15"/>
    <n v="9"/>
    <n v="9"/>
    <n v="3281"/>
    <x v="0"/>
    <x v="0"/>
    <n v="1338.81"/>
  </r>
  <r>
    <n v="100133"/>
    <d v="2025-03-14T00:00:00"/>
    <d v="2025-03-15T00:00:00"/>
    <d v="2025-03-23T00:00:00"/>
    <s v="C1482"/>
    <x v="1"/>
    <s v="Kenya"/>
    <s v="P27633"/>
    <s v="Toothpaste Box"/>
    <s v="FMCG"/>
    <s v="S772"/>
    <s v="BlueRiver Trading"/>
    <s v="Africa"/>
    <s v="WH 07"/>
    <s v="Toronto"/>
    <x v="3"/>
    <n v="128"/>
    <n v="29.09"/>
    <n v="3723.52"/>
    <n v="10.220000000000001"/>
    <n v="8"/>
    <n v="9"/>
    <n v="961"/>
    <x v="1"/>
    <x v="1"/>
    <n v="-141.21"/>
  </r>
  <r>
    <n v="100134"/>
    <d v="2025-10-11T00:00:00"/>
    <d v="2025-10-11T00:00:00"/>
    <d v="2025-11-03T00:00:00"/>
    <s v="C9632"/>
    <x v="4"/>
    <s v="Turkey"/>
    <s v="P17421"/>
    <s v="Toothpaste Box"/>
    <s v="FMCG"/>
    <s v="S869"/>
    <s v="Pioneer Distribution"/>
    <s v="North America"/>
    <s v="WH 08"/>
    <s v="Chicago"/>
    <x v="2"/>
    <n v="329"/>
    <n v="11.14"/>
    <n v="3665.06"/>
    <n v="14.02"/>
    <n v="23"/>
    <n v="23"/>
    <n v="4029"/>
    <x v="0"/>
    <x v="0"/>
    <n v="511.14"/>
  </r>
  <r>
    <n v="100135"/>
    <d v="2024-10-06T00:00:00"/>
    <d v="2024-10-09T00:00:00"/>
    <d v="2024-10-12T00:00:00"/>
    <s v="C2125"/>
    <x v="0"/>
    <s v="Vietnam"/>
    <s v="P86329"/>
    <s v="Bookshelf"/>
    <s v="Furniture"/>
    <s v="S387"/>
    <s v="Summit Supply Co"/>
    <s v="Europe"/>
    <s v="WH 02"/>
    <s v="Lahore"/>
    <x v="1"/>
    <n v="176"/>
    <n v="279.51"/>
    <n v="49193.760000000002"/>
    <n v="39.92"/>
    <n v="3"/>
    <n v="6"/>
    <n v="85"/>
    <x v="2"/>
    <x v="0"/>
    <n v="7373.52"/>
  </r>
  <r>
    <n v="100136"/>
    <d v="2024-03-10T00:00:00"/>
    <d v="2024-03-10T00:00:00"/>
    <d v="2024-03-22T00:00:00"/>
    <s v="C4713"/>
    <x v="2"/>
    <s v="Mexico"/>
    <s v="P80587"/>
    <s v="Sportswear Set"/>
    <s v="Apparel"/>
    <s v="S616"/>
    <s v="Nova Industrial"/>
    <s v="Middle East"/>
    <s v="WH 05"/>
    <s v="Frankfurt"/>
    <x v="3"/>
    <n v="437"/>
    <n v="35.71"/>
    <n v="15605.27"/>
    <n v="21.31"/>
    <n v="12"/>
    <n v="12"/>
    <n v="2346"/>
    <x v="1"/>
    <x v="3"/>
    <n v="3389.42"/>
  </r>
  <r>
    <n v="100137"/>
    <d v="2025-01-15T00:00:00"/>
    <d v="2025-01-16T00:00:00"/>
    <d v="2025-01-28T00:00:00"/>
    <s v="C6249"/>
    <x v="4"/>
    <s v="Oman"/>
    <s v="P29201"/>
    <s v="Smart Watch"/>
    <s v="Electronics"/>
    <s v="S713"/>
    <s v="Evergreen Partners"/>
    <s v="Africa"/>
    <s v="WH 06"/>
    <s v="Amsterdam"/>
    <x v="2"/>
    <n v="218"/>
    <n v="448.24"/>
    <n v="97716.32"/>
    <n v="11.99"/>
    <n v="12"/>
    <n v="13"/>
    <n v="1544"/>
    <x v="1"/>
    <x v="2"/>
    <n v="15497.7"/>
  </r>
  <r>
    <n v="100138"/>
    <d v="2025-04-21T00:00:00"/>
    <d v="2025-04-21T00:00:00"/>
    <d v="2025-04-25T00:00:00"/>
    <s v="C4083"/>
    <x v="2"/>
    <s v="United States"/>
    <s v="P39328"/>
    <s v="Bookshelf"/>
    <s v="Furniture"/>
    <s v="S499"/>
    <s v="Orion Supplies"/>
    <s v="Africa"/>
    <s v="WH 01"/>
    <s v="Karachi"/>
    <x v="1"/>
    <n v="405"/>
    <n v="344.18"/>
    <n v="139392.9"/>
    <n v="54.76"/>
    <n v="4"/>
    <n v="4"/>
    <n v="1729"/>
    <x v="2"/>
    <x v="0"/>
    <n v="32413.84"/>
  </r>
  <r>
    <n v="100139"/>
    <d v="2024-09-04T00:00:00"/>
    <d v="2024-09-07T00:00:00"/>
    <d v="2024-09-11T00:00:00"/>
    <s v="C1148"/>
    <x v="2"/>
    <s v="United States"/>
    <s v="P23395"/>
    <s v="Hand Sanitizer Case"/>
    <s v="Healthcare"/>
    <s v="S505"/>
    <s v="Atlas Sourcing"/>
    <s v="Europe"/>
    <s v="WH 10"/>
    <s v="Cairo"/>
    <x v="3"/>
    <n v="475"/>
    <n v="72.61"/>
    <n v="34489.75"/>
    <n v="22.23"/>
    <n v="4"/>
    <n v="7"/>
    <n v="1212"/>
    <x v="2"/>
    <x v="0"/>
    <n v="2655.14"/>
  </r>
  <r>
    <n v="100140"/>
    <d v="2024-04-23T00:00:00"/>
    <d v="2024-04-27T00:00:00"/>
    <d v="2024-04-29T00:00:00"/>
    <s v="C3817"/>
    <x v="3"/>
    <s v="Poland"/>
    <s v="P40682"/>
    <s v="Bluetooth Speaker"/>
    <s v="Electronics"/>
    <s v="S860"/>
    <s v="Nova Industrial"/>
    <s v="Middle East"/>
    <s v="WH 01"/>
    <s v="Karachi"/>
    <x v="1"/>
    <n v="466"/>
    <n v="258.79000000000002"/>
    <n v="120596.14"/>
    <n v="58.71"/>
    <n v="2"/>
    <n v="6"/>
    <n v="884"/>
    <x v="2"/>
    <x v="0"/>
    <n v="17139.310000000001"/>
  </r>
  <r>
    <n v="100141"/>
    <d v="2024-11-06T00:00:00"/>
    <d v="2024-11-11T00:00:00"/>
    <d v="2024-11-14T00:00:00"/>
    <s v="C5437"/>
    <x v="3"/>
    <s v="Germany"/>
    <s v="P80971"/>
    <s v="Hoodie"/>
    <s v="Apparel"/>
    <s v="S200"/>
    <s v="Evergreen Partners"/>
    <s v="Europe"/>
    <s v="WH 04"/>
    <s v="Istanbul"/>
    <x v="1"/>
    <n v="253"/>
    <n v="32.94"/>
    <n v="8333.82"/>
    <n v="33.26"/>
    <n v="3"/>
    <n v="8"/>
    <n v="3460"/>
    <x v="0"/>
    <x v="0"/>
    <n v="1846.77"/>
  </r>
  <r>
    <n v="100142"/>
    <d v="2025-10-31T00:00:00"/>
    <d v="2025-11-05T00:00:00"/>
    <d v="2025-11-20T00:00:00"/>
    <s v="C8693"/>
    <x v="1"/>
    <s v="Nigeria"/>
    <s v="P83800"/>
    <s v="Thermometer"/>
    <s v="Healthcare"/>
    <s v="S498"/>
    <s v="Nova Industrial"/>
    <s v="Europe"/>
    <s v="WH 05"/>
    <s v="Frankfurt"/>
    <x v="2"/>
    <n v="414"/>
    <n v="9.8800000000000008"/>
    <n v="4090.32"/>
    <n v="15.56"/>
    <n v="15"/>
    <n v="20"/>
    <n v="4425"/>
    <x v="0"/>
    <x v="0"/>
    <n v="575.47"/>
  </r>
  <r>
    <n v="100143"/>
    <d v="2024-09-09T00:00:00"/>
    <d v="2024-09-14T00:00:00"/>
    <d v="2024-09-18T00:00:00"/>
    <s v="C6901"/>
    <x v="2"/>
    <s v="Mexico"/>
    <s v="P41552"/>
    <s v="T Shirt Bundle"/>
    <s v="Apparel"/>
    <s v="S209"/>
    <s v="Pioneer Distribution"/>
    <s v="Asia"/>
    <s v="WH 03"/>
    <s v="Dubai"/>
    <x v="3"/>
    <n v="345"/>
    <n v="94.13"/>
    <n v="32474.85"/>
    <n v="19.079999999999998"/>
    <n v="4"/>
    <n v="9"/>
    <n v="2578"/>
    <x v="0"/>
    <x v="0"/>
    <n v="8588.06"/>
  </r>
  <r>
    <n v="100144"/>
    <d v="2025-04-26T00:00:00"/>
    <d v="2025-04-30T00:00:00"/>
    <d v="2025-05-11T00:00:00"/>
    <s v="C8340"/>
    <x v="4"/>
    <s v="Turkey"/>
    <s v="P99099"/>
    <s v="T Shirt Bundle"/>
    <s v="Apparel"/>
    <s v="S899"/>
    <s v="Evergreen Partners"/>
    <s v="Asia"/>
    <s v="WH 05"/>
    <s v="Frankfurt"/>
    <x v="2"/>
    <n v="137"/>
    <n v="57.57"/>
    <n v="7887.09"/>
    <n v="10.52"/>
    <n v="11"/>
    <n v="15"/>
    <n v="692"/>
    <x v="0"/>
    <x v="0"/>
    <n v="944.87"/>
  </r>
  <r>
    <n v="100145"/>
    <d v="2024-02-12T00:00:00"/>
    <d v="2024-02-17T00:00:00"/>
    <d v="2024-02-20T00:00:00"/>
    <s v="C7610"/>
    <x v="4"/>
    <s v="Qatar"/>
    <s v="P81966"/>
    <s v="Socks Pack"/>
    <s v="Apparel"/>
    <s v="S616"/>
    <s v="Evergreen Partners"/>
    <s v="North America"/>
    <s v="WH 02"/>
    <s v="Lahore"/>
    <x v="0"/>
    <n v="476"/>
    <n v="31.1"/>
    <n v="14803.6"/>
    <n v="25.97"/>
    <n v="3"/>
    <n v="8"/>
    <n v="2542"/>
    <x v="0"/>
    <x v="0"/>
    <n v="1625.46"/>
  </r>
  <r>
    <n v="100146"/>
    <d v="2025-04-01T00:00:00"/>
    <d v="2025-04-03T00:00:00"/>
    <d v="2025-04-21T00:00:00"/>
    <s v="C6448"/>
    <x v="4"/>
    <s v="United Arab Emirates"/>
    <s v="P60331"/>
    <s v="Thermometer"/>
    <s v="Healthcare"/>
    <s v="S289"/>
    <s v="Zenith Procurement"/>
    <s v="Africa"/>
    <s v="WH 04"/>
    <s v="Istanbul"/>
    <x v="2"/>
    <n v="380"/>
    <n v="22.58"/>
    <n v="8580.4"/>
    <n v="14.94"/>
    <n v="18"/>
    <n v="20"/>
    <n v="599"/>
    <x v="0"/>
    <x v="0"/>
    <n v="1697.46"/>
  </r>
  <r>
    <n v="100147"/>
    <d v="2024-12-24T00:00:00"/>
    <d v="2024-12-27T00:00:00"/>
    <d v="2025-01-01T00:00:00"/>
    <s v="C1419"/>
    <x v="4"/>
    <s v="Qatar"/>
    <s v="P22411"/>
    <s v="Office Chair"/>
    <s v="Furniture"/>
    <s v="S521"/>
    <s v="Crescent Logistics"/>
    <s v="Asia"/>
    <s v="WH 01"/>
    <s v="Karachi"/>
    <x v="0"/>
    <n v="240"/>
    <n v="264.54000000000002"/>
    <n v="63489.599999999999"/>
    <n v="19.28"/>
    <n v="5"/>
    <n v="8"/>
    <n v="1558"/>
    <x v="0"/>
    <x v="0"/>
    <n v="9576.51"/>
  </r>
  <r>
    <n v="100148"/>
    <d v="2024-04-01T00:00:00"/>
    <d v="2024-04-06T00:00:00"/>
    <d v="2024-04-11T00:00:00"/>
    <s v="C4716"/>
    <x v="4"/>
    <s v="United Arab Emirates"/>
    <s v="P71949"/>
    <s v="Smart Watch"/>
    <s v="Electronics"/>
    <s v="S282"/>
    <s v="Summit Supply Co"/>
    <s v="Europe"/>
    <s v="WH 07"/>
    <s v="Toronto"/>
    <x v="1"/>
    <n v="395"/>
    <n v="112.18"/>
    <n v="44311.1"/>
    <n v="54.11"/>
    <n v="5"/>
    <n v="10"/>
    <n v="454"/>
    <x v="1"/>
    <x v="1"/>
    <n v="-42.91"/>
  </r>
  <r>
    <n v="100149"/>
    <d v="2025-02-26T00:00:00"/>
    <d v="2025-03-02T00:00:00"/>
    <d v="2025-03-06T00:00:00"/>
    <s v="C9433"/>
    <x v="2"/>
    <s v="Mexico"/>
    <s v="P66532"/>
    <s v="Face Mask Box"/>
    <s v="Healthcare"/>
    <s v="S792"/>
    <s v="Vertex Manufacturing"/>
    <s v="Europe"/>
    <s v="WH 07"/>
    <s v="Toronto"/>
    <x v="3"/>
    <n v="347"/>
    <n v="13.3"/>
    <n v="4615.1000000000004"/>
    <n v="19.12"/>
    <n v="4"/>
    <n v="8"/>
    <n v="871"/>
    <x v="0"/>
    <x v="0"/>
    <n v="632.69000000000005"/>
  </r>
  <r>
    <n v="100150"/>
    <d v="2024-11-03T00:00:00"/>
    <d v="2024-11-07T00:00:00"/>
    <d v="2024-11-12T00:00:00"/>
    <s v="C5719"/>
    <x v="4"/>
    <s v="Turkey"/>
    <s v="P43361"/>
    <s v="Bookshelf"/>
    <s v="Furniture"/>
    <s v="S843"/>
    <s v="Orion Supplies"/>
    <s v="North America"/>
    <s v="WH 04"/>
    <s v="Istanbul"/>
    <x v="0"/>
    <n v="236"/>
    <n v="156.53"/>
    <n v="36941.08"/>
    <n v="19.16"/>
    <n v="5"/>
    <n v="9"/>
    <n v="1509"/>
    <x v="0"/>
    <x v="0"/>
    <n v="10065.59"/>
  </r>
  <r>
    <n v="100151"/>
    <d v="2024-07-10T00:00:00"/>
    <d v="2024-07-10T00:00:00"/>
    <d v="2024-07-21T00:00:00"/>
    <s v="C7272"/>
    <x v="4"/>
    <s v="Saudi Arabia"/>
    <s v="P74641"/>
    <s v="T Shirt Bundle"/>
    <s v="Apparel"/>
    <s v="S671"/>
    <s v="Zenith Procurement"/>
    <s v="Africa"/>
    <s v="WH 06"/>
    <s v="Amsterdam"/>
    <x v="3"/>
    <n v="57"/>
    <n v="38.01"/>
    <n v="2166.5700000000002"/>
    <n v="12.08"/>
    <n v="11"/>
    <n v="11"/>
    <n v="3231"/>
    <x v="0"/>
    <x v="0"/>
    <n v="543.07000000000005"/>
  </r>
  <r>
    <n v="100152"/>
    <d v="2025-12-26T00:00:00"/>
    <d v="2025-12-26T00:00:00"/>
    <d v="2026-01-03T00:00:00"/>
    <s v="C8083"/>
    <x v="4"/>
    <s v="Qatar"/>
    <s v="P73936"/>
    <s v="Shampoo Pack"/>
    <s v="FMCG"/>
    <s v="S186"/>
    <s v="Pioneer Distribution"/>
    <s v="Asia"/>
    <s v="WH 04"/>
    <s v="Istanbul"/>
    <x v="0"/>
    <n v="110"/>
    <n v="7.15"/>
    <n v="786.5"/>
    <n v="15.59"/>
    <n v="8"/>
    <n v="8"/>
    <n v="3571"/>
    <x v="0"/>
    <x v="0"/>
    <n v="31.11"/>
  </r>
  <r>
    <n v="100153"/>
    <d v="2025-10-25T00:00:00"/>
    <d v="2025-10-25T00:00:00"/>
    <d v="2025-10-31T00:00:00"/>
    <s v="C1365"/>
    <x v="0"/>
    <s v="Vietnam"/>
    <s v="P58355"/>
    <s v="Denim Jeans"/>
    <s v="Apparel"/>
    <s v="S750"/>
    <s v="Crescent Logistics"/>
    <s v="Africa"/>
    <s v="WH 04"/>
    <s v="Istanbul"/>
    <x v="0"/>
    <n v="445"/>
    <n v="95.21"/>
    <n v="42368.45"/>
    <n v="25.09"/>
    <n v="6"/>
    <n v="6"/>
    <n v="1564"/>
    <x v="2"/>
    <x v="0"/>
    <n v="7704.02"/>
  </r>
  <r>
    <n v="100154"/>
    <d v="2024-12-17T00:00:00"/>
    <d v="2024-12-18T00:00:00"/>
    <d v="2024-12-30T00:00:00"/>
    <s v="C8504"/>
    <x v="1"/>
    <s v="Kenya"/>
    <s v="P27630"/>
    <s v="First Aid Kit"/>
    <s v="Healthcare"/>
    <s v="S747"/>
    <s v="Atlas Sourcing"/>
    <s v="North America"/>
    <s v="WH 03"/>
    <s v="Dubai"/>
    <x v="0"/>
    <n v="265"/>
    <n v="26.68"/>
    <n v="7070.2"/>
    <n v="19.989999999999998"/>
    <n v="12"/>
    <n v="13"/>
    <n v="2576"/>
    <x v="1"/>
    <x v="3"/>
    <n v="663.98"/>
  </r>
  <r>
    <n v="100155"/>
    <d v="2025-01-16T00:00:00"/>
    <d v="2025-01-19T00:00:00"/>
    <d v="2025-01-29T00:00:00"/>
    <s v="C9569"/>
    <x v="2"/>
    <s v="United States"/>
    <s v="P71558"/>
    <s v="Detergent Bag"/>
    <s v="FMCG"/>
    <s v="S289"/>
    <s v="Nova Industrial"/>
    <s v="Europe"/>
    <s v="WH 02"/>
    <s v="Lahore"/>
    <x v="0"/>
    <n v="264"/>
    <n v="48.58"/>
    <n v="12825.12"/>
    <n v="19.96"/>
    <n v="10"/>
    <n v="13"/>
    <n v="2496"/>
    <x v="0"/>
    <x v="0"/>
    <n v="811.29"/>
  </r>
  <r>
    <n v="100156"/>
    <d v="2024-06-08T00:00:00"/>
    <d v="2024-06-11T00:00:00"/>
    <d v="2024-06-14T00:00:00"/>
    <s v="C8569"/>
    <x v="3"/>
    <s v="Germany"/>
    <s v="P36806"/>
    <s v="Denim Jeans"/>
    <s v="Apparel"/>
    <s v="S764"/>
    <s v="Vertex Manufacturing"/>
    <s v="North America"/>
    <s v="WH 01"/>
    <s v="Karachi"/>
    <x v="0"/>
    <n v="497"/>
    <n v="57.53"/>
    <n v="28592.41"/>
    <n v="26.56"/>
    <n v="3"/>
    <n v="6"/>
    <n v="2321"/>
    <x v="2"/>
    <x v="0"/>
    <n v="4398.3500000000004"/>
  </r>
  <r>
    <n v="100157"/>
    <d v="2024-06-20T00:00:00"/>
    <d v="2024-06-22T00:00:00"/>
    <d v="2024-07-17T00:00:00"/>
    <s v="C6341"/>
    <x v="2"/>
    <s v="United States"/>
    <s v="P58758"/>
    <s v="Bottled Water Case"/>
    <s v="FMCG"/>
    <s v="S138"/>
    <s v="Summit Supply Co"/>
    <s v="Asia"/>
    <s v="WH 02"/>
    <s v="Lahore"/>
    <x v="2"/>
    <n v="277"/>
    <n v="46.35"/>
    <n v="12838.95"/>
    <n v="13.07"/>
    <n v="25"/>
    <n v="27"/>
    <n v="2496"/>
    <x v="1"/>
    <x v="3"/>
    <n v="1397.55"/>
  </r>
  <r>
    <n v="100158"/>
    <d v="2024-12-25T00:00:00"/>
    <d v="2024-12-30T00:00:00"/>
    <d v="2025-01-09T00:00:00"/>
    <s v="C9789"/>
    <x v="4"/>
    <s v="Qatar"/>
    <s v="P68005"/>
    <s v="Thermometer"/>
    <s v="Healthcare"/>
    <s v="S334"/>
    <s v="BlueRiver Trading"/>
    <s v="Middle East"/>
    <s v="WH 09"/>
    <s v="Johannesburg"/>
    <x v="3"/>
    <n v="354"/>
    <n v="84.87"/>
    <n v="30043.98"/>
    <n v="14.29"/>
    <n v="10"/>
    <n v="15"/>
    <n v="4068"/>
    <x v="0"/>
    <x v="0"/>
    <n v="4765.37"/>
  </r>
  <r>
    <n v="100159"/>
    <d v="2025-07-15T00:00:00"/>
    <d v="2025-07-17T00:00:00"/>
    <d v="2025-08-02T00:00:00"/>
    <s v="C9652"/>
    <x v="1"/>
    <s v="South Africa"/>
    <s v="P13754"/>
    <s v="Hand Sanitizer Case"/>
    <s v="Healthcare"/>
    <s v="S520"/>
    <s v="Pioneer Distribution"/>
    <s v="Asia"/>
    <s v="WH 01"/>
    <s v="Karachi"/>
    <x v="2"/>
    <n v="198"/>
    <n v="68.959999999999994"/>
    <n v="13654.08"/>
    <n v="11.63"/>
    <n v="16"/>
    <n v="18"/>
    <n v="714"/>
    <x v="0"/>
    <x v="0"/>
    <n v="2166.9499999999998"/>
  </r>
  <r>
    <n v="100160"/>
    <d v="2025-01-01T00:00:00"/>
    <d v="2025-01-01T00:00:00"/>
    <d v="2025-01-09T00:00:00"/>
    <s v="C9553"/>
    <x v="4"/>
    <s v="Oman"/>
    <s v="P75095"/>
    <s v="Power Bank"/>
    <s v="Electronics"/>
    <s v="S228"/>
    <s v="Pioneer Distribution"/>
    <s v="Asia"/>
    <s v="WH 02"/>
    <s v="Lahore"/>
    <x v="3"/>
    <n v="373"/>
    <n v="343.32"/>
    <n v="128058.36"/>
    <n v="19.760000000000002"/>
    <n v="8"/>
    <n v="8"/>
    <n v="498"/>
    <x v="0"/>
    <x v="0"/>
    <n v="25998.41"/>
  </r>
  <r>
    <n v="100161"/>
    <d v="2025-04-17T00:00:00"/>
    <d v="2025-04-18T00:00:00"/>
    <d v="2025-04-23T00:00:00"/>
    <s v="C3159"/>
    <x v="1"/>
    <s v="Kenya"/>
    <s v="P47900"/>
    <s v="Smart Watch"/>
    <s v="Electronics"/>
    <s v="S492"/>
    <s v="Nova Industrial"/>
    <s v="Africa"/>
    <s v="WH 10"/>
    <s v="Cairo"/>
    <x v="1"/>
    <n v="429"/>
    <n v="62.04"/>
    <n v="26615.16"/>
    <n v="41.71"/>
    <n v="5"/>
    <n v="6"/>
    <n v="651"/>
    <x v="2"/>
    <x v="0"/>
    <n v="2128.61"/>
  </r>
  <r>
    <n v="100162"/>
    <d v="2025-03-12T00:00:00"/>
    <d v="2025-03-12T00:00:00"/>
    <d v="2025-03-16T00:00:00"/>
    <s v="C2778"/>
    <x v="4"/>
    <s v="Turkey"/>
    <s v="P99822"/>
    <s v="Hand Sanitizer Case"/>
    <s v="Healthcare"/>
    <s v="S169"/>
    <s v="Pioneer Distribution"/>
    <s v="Africa"/>
    <s v="WH 10"/>
    <s v="Cairo"/>
    <x v="1"/>
    <n v="321"/>
    <n v="49.17"/>
    <n v="15783.57"/>
    <n v="49.31"/>
    <n v="4"/>
    <n v="4"/>
    <n v="897"/>
    <x v="2"/>
    <x v="0"/>
    <n v="2537.13"/>
  </r>
  <r>
    <n v="100163"/>
    <d v="2024-08-14T00:00:00"/>
    <d v="2024-08-15T00:00:00"/>
    <d v="2024-08-23T00:00:00"/>
    <s v="C3023"/>
    <x v="0"/>
    <s v="Vietnam"/>
    <s v="P69796"/>
    <s v="Router"/>
    <s v="Electronics"/>
    <s v="S301"/>
    <s v="Atlas Sourcing"/>
    <s v="Middle East"/>
    <s v="WH 08"/>
    <s v="Chicago"/>
    <x v="3"/>
    <n v="47"/>
    <n v="125.09"/>
    <n v="5879.23"/>
    <n v="11.83"/>
    <n v="8"/>
    <n v="9"/>
    <n v="237"/>
    <x v="1"/>
    <x v="2"/>
    <n v="942.65"/>
  </r>
  <r>
    <n v="100164"/>
    <d v="2025-06-09T00:00:00"/>
    <d v="2025-06-11T00:00:00"/>
    <d v="2025-07-01T00:00:00"/>
    <s v="C7643"/>
    <x v="4"/>
    <s v="Qatar"/>
    <s v="P46727"/>
    <s v="Floor Lamp"/>
    <s v="Furniture"/>
    <s v="S865"/>
    <s v="Evergreen Partners"/>
    <s v="Asia"/>
    <s v="WH 06"/>
    <s v="Amsterdam"/>
    <x v="2"/>
    <n v="33"/>
    <n v="249.71"/>
    <n v="8240.43"/>
    <n v="8.6199999999999992"/>
    <n v="20"/>
    <n v="22"/>
    <n v="643"/>
    <x v="1"/>
    <x v="3"/>
    <n v="1010.47"/>
  </r>
  <r>
    <n v="100165"/>
    <d v="2024-11-14T00:00:00"/>
    <d v="2024-11-19T00:00:00"/>
    <d v="2024-12-01T00:00:00"/>
    <s v="C1541"/>
    <x v="2"/>
    <s v="Mexico"/>
    <s v="P31817"/>
    <s v="Hoodie"/>
    <s v="Apparel"/>
    <s v="S216"/>
    <s v="Crescent Logistics"/>
    <s v="Middle East"/>
    <s v="WH 02"/>
    <s v="Lahore"/>
    <x v="3"/>
    <n v="424"/>
    <n v="100.76"/>
    <n v="42722.239999999998"/>
    <n v="21"/>
    <n v="12"/>
    <n v="17"/>
    <n v="2216"/>
    <x v="1"/>
    <x v="3"/>
    <n v="5511.12"/>
  </r>
  <r>
    <n v="100166"/>
    <d v="2024-07-01T00:00:00"/>
    <d v="2024-07-01T00:00:00"/>
    <d v="2024-07-04T00:00:00"/>
    <s v="C2136"/>
    <x v="0"/>
    <s v="Pakistan"/>
    <s v="P94730"/>
    <s v="Office Chair"/>
    <s v="Furniture"/>
    <s v="S575"/>
    <s v="Zenith Procurement"/>
    <s v="Europe"/>
    <s v="WH 09"/>
    <s v="Johannesburg"/>
    <x v="0"/>
    <n v="260"/>
    <n v="277.64"/>
    <n v="72186.399999999994"/>
    <n v="19.84"/>
    <n v="3"/>
    <n v="3"/>
    <n v="1069"/>
    <x v="2"/>
    <x v="0"/>
    <n v="16006.16"/>
  </r>
  <r>
    <n v="100167"/>
    <d v="2024-02-16T00:00:00"/>
    <d v="2024-02-18T00:00:00"/>
    <d v="2024-02-25T00:00:00"/>
    <s v="C3171"/>
    <x v="1"/>
    <s v="Morocco"/>
    <s v="P67418"/>
    <s v="Hand Sanitizer Case"/>
    <s v="Healthcare"/>
    <s v="S970"/>
    <s v="BlueRiver Trading"/>
    <s v="Middle East"/>
    <s v="WH 06"/>
    <s v="Amsterdam"/>
    <x v="0"/>
    <n v="146"/>
    <n v="85.93"/>
    <n v="12545.78"/>
    <n v="16.61"/>
    <n v="7"/>
    <n v="9"/>
    <n v="1036"/>
    <x v="0"/>
    <x v="0"/>
    <n v="40.630000000000003"/>
  </r>
  <r>
    <n v="100168"/>
    <d v="2024-09-10T00:00:00"/>
    <d v="2024-09-15T00:00:00"/>
    <d v="2024-09-24T00:00:00"/>
    <s v="C2900"/>
    <x v="0"/>
    <s v="Bangladesh"/>
    <s v="P94530"/>
    <s v="Hand Sanitizer Case"/>
    <s v="Healthcare"/>
    <s v="S856"/>
    <s v="Zenith Procurement"/>
    <s v="Asia"/>
    <s v="WH 10"/>
    <s v="Cairo"/>
    <x v="3"/>
    <n v="412"/>
    <n v="29.26"/>
    <n v="12055.12"/>
    <n v="15.34"/>
    <n v="9"/>
    <n v="14"/>
    <n v="2203"/>
    <x v="0"/>
    <x v="0"/>
    <n v="1585.41"/>
  </r>
  <r>
    <n v="100169"/>
    <d v="2024-09-16T00:00:00"/>
    <d v="2024-09-21T00:00:00"/>
    <d v="2024-10-07T00:00:00"/>
    <s v="C3978"/>
    <x v="3"/>
    <s v="Poland"/>
    <s v="P12839"/>
    <s v="Study Table"/>
    <s v="Furniture"/>
    <s v="S412"/>
    <s v="BlueRiver Trading"/>
    <s v="North America"/>
    <s v="WH 09"/>
    <s v="Johannesburg"/>
    <x v="2"/>
    <n v="109"/>
    <n v="277.31"/>
    <n v="30226.79"/>
    <n v="10.01"/>
    <n v="16"/>
    <n v="21"/>
    <n v="1255"/>
    <x v="0"/>
    <x v="0"/>
    <n v="5546.09"/>
  </r>
  <r>
    <n v="100170"/>
    <d v="2025-07-01T00:00:00"/>
    <d v="2025-07-05T00:00:00"/>
    <d v="2025-07-16T00:00:00"/>
    <s v="C5998"/>
    <x v="0"/>
    <s v="Vietnam"/>
    <s v="P10162"/>
    <s v="Socks Pack"/>
    <s v="Apparel"/>
    <s v="S319"/>
    <s v="Atlas Sourcing"/>
    <s v="Middle East"/>
    <s v="WH 09"/>
    <s v="Johannesburg"/>
    <x v="1"/>
    <n v="279"/>
    <n v="37.450000000000003"/>
    <n v="10448.549999999999"/>
    <n v="46.59"/>
    <n v="11"/>
    <n v="15"/>
    <n v="3403"/>
    <x v="0"/>
    <x v="0"/>
    <n v="1558.6"/>
  </r>
  <r>
    <n v="100171"/>
    <d v="2024-08-15T00:00:00"/>
    <d v="2024-08-17T00:00:00"/>
    <d v="2024-08-22T00:00:00"/>
    <s v="C1874"/>
    <x v="1"/>
    <s v="Nigeria"/>
    <s v="P25892"/>
    <s v="Smart Watch"/>
    <s v="Electronics"/>
    <s v="S295"/>
    <s v="Nova Industrial"/>
    <s v="North America"/>
    <s v="WH 06"/>
    <s v="Amsterdam"/>
    <x v="0"/>
    <n v="187"/>
    <n v="220.33"/>
    <n v="41201.71"/>
    <n v="17.78"/>
    <n v="5"/>
    <n v="7"/>
    <n v="1592"/>
    <x v="2"/>
    <x v="0"/>
    <n v="7503.3"/>
  </r>
  <r>
    <n v="100172"/>
    <d v="2025-04-16T00:00:00"/>
    <d v="2025-04-20T00:00:00"/>
    <d v="2025-04-22T00:00:00"/>
    <s v="C4959"/>
    <x v="0"/>
    <s v="India"/>
    <s v="P32669"/>
    <s v="Detergent Bag"/>
    <s v="FMCG"/>
    <s v="S412"/>
    <s v="Evergreen Partners"/>
    <s v="Asia"/>
    <s v="WH 03"/>
    <s v="Dubai"/>
    <x v="1"/>
    <n v="174"/>
    <n v="49.16"/>
    <n v="8553.84"/>
    <n v="29.47"/>
    <n v="2"/>
    <n v="6"/>
    <n v="3952"/>
    <x v="2"/>
    <x v="0"/>
    <n v="618.51"/>
  </r>
  <r>
    <n v="100173"/>
    <d v="2025-01-05T00:00:00"/>
    <d v="2025-01-05T00:00:00"/>
    <d v="2025-01-11T00:00:00"/>
    <s v="C7588"/>
    <x v="0"/>
    <s v="China"/>
    <s v="P16304"/>
    <s v="First Aid Kit"/>
    <s v="Healthcare"/>
    <s v="S277"/>
    <s v="Evergreen Partners"/>
    <s v="Middle East"/>
    <s v="WH 08"/>
    <s v="Chicago"/>
    <x v="0"/>
    <n v="126"/>
    <n v="26.48"/>
    <n v="3336.48"/>
    <n v="16.05"/>
    <n v="6"/>
    <n v="6"/>
    <n v="797"/>
    <x v="2"/>
    <x v="0"/>
    <n v="267.27999999999997"/>
  </r>
  <r>
    <n v="100174"/>
    <d v="2024-02-12T00:00:00"/>
    <d v="2024-02-12T00:00:00"/>
    <d v="2024-02-13T00:00:00"/>
    <s v="C2517"/>
    <x v="3"/>
    <s v="Italy"/>
    <s v="P88021"/>
    <s v="Hoodie"/>
    <s v="Apparel"/>
    <s v="S709"/>
    <s v="Vertex Manufacturing"/>
    <s v="Africa"/>
    <s v="WH 02"/>
    <s v="Lahore"/>
    <x v="1"/>
    <n v="74"/>
    <n v="57.15"/>
    <n v="4229.1000000000004"/>
    <n v="33.31"/>
    <n v="1"/>
    <n v="1"/>
    <n v="1687"/>
    <x v="2"/>
    <x v="0"/>
    <n v="572.37"/>
  </r>
  <r>
    <n v="100175"/>
    <d v="2024-05-23T00:00:00"/>
    <d v="2024-05-25T00:00:00"/>
    <d v="2024-06-02T00:00:00"/>
    <s v="C9535"/>
    <x v="3"/>
    <s v="France"/>
    <s v="P67326"/>
    <s v="Vitamin Pack"/>
    <s v="Healthcare"/>
    <s v="S393"/>
    <s v="BlueRiver Trading"/>
    <s v="North America"/>
    <s v="WH 08"/>
    <s v="Chicago"/>
    <x v="0"/>
    <n v="453"/>
    <n v="37.19"/>
    <n v="16847.07"/>
    <n v="25.32"/>
    <n v="8"/>
    <n v="10"/>
    <n v="810"/>
    <x v="0"/>
    <x v="0"/>
    <n v="1594.99"/>
  </r>
  <r>
    <n v="100176"/>
    <d v="2025-06-15T00:00:00"/>
    <d v="2025-06-16T00:00:00"/>
    <d v="2025-06-23T00:00:00"/>
    <s v="C6774"/>
    <x v="4"/>
    <s v="Turkey"/>
    <s v="P82055"/>
    <s v="Floor Lamp"/>
    <s v="Furniture"/>
    <s v="S843"/>
    <s v="Nova Industrial"/>
    <s v="Europe"/>
    <s v="WH 09"/>
    <s v="Johannesburg"/>
    <x v="3"/>
    <n v="222"/>
    <n v="244.49"/>
    <n v="54276.78"/>
    <n v="16.09"/>
    <n v="7"/>
    <n v="8"/>
    <n v="831"/>
    <x v="0"/>
    <x v="0"/>
    <n v="15051.05"/>
  </r>
  <r>
    <n v="100177"/>
    <d v="2025-03-22T00:00:00"/>
    <d v="2025-03-23T00:00:00"/>
    <d v="2025-04-06T00:00:00"/>
    <s v="C8264"/>
    <x v="2"/>
    <s v="Canada"/>
    <s v="P60729"/>
    <s v="Wireless Earbuds"/>
    <s v="Electronics"/>
    <s v="S326"/>
    <s v="Vertex Manufacturing"/>
    <s v="Middle East"/>
    <s v="WH 09"/>
    <s v="Johannesburg"/>
    <x v="0"/>
    <n v="271"/>
    <n v="205.05"/>
    <n v="55568.55"/>
    <n v="20.16"/>
    <n v="14"/>
    <n v="15"/>
    <n v="650"/>
    <x v="1"/>
    <x v="3"/>
    <n v="5152"/>
  </r>
  <r>
    <n v="100178"/>
    <d v="2025-05-18T00:00:00"/>
    <d v="2025-05-21T00:00:00"/>
    <d v="2025-05-28T00:00:00"/>
    <s v="C1475"/>
    <x v="0"/>
    <s v="India"/>
    <s v="P31800"/>
    <s v="Storage Cabinet"/>
    <s v="Furniture"/>
    <s v="S263"/>
    <s v="Orion Supplies"/>
    <s v="Asia"/>
    <s v="WH 04"/>
    <s v="Istanbul"/>
    <x v="1"/>
    <n v="494"/>
    <n v="236.72"/>
    <n v="116939.68"/>
    <n v="44.83"/>
    <n v="7"/>
    <n v="10"/>
    <n v="954"/>
    <x v="0"/>
    <x v="0"/>
    <n v="23961.09"/>
  </r>
  <r>
    <n v="100179"/>
    <d v="2025-04-12T00:00:00"/>
    <d v="2025-04-17T00:00:00"/>
    <d v="2025-04-21T00:00:00"/>
    <s v="C5943"/>
    <x v="3"/>
    <s v="Sweden"/>
    <s v="P16530"/>
    <s v="Snack Carton"/>
    <s v="FMCG"/>
    <s v="S976"/>
    <s v="Nova Industrial"/>
    <s v="North America"/>
    <s v="WH 02"/>
    <s v="Lahore"/>
    <x v="1"/>
    <n v="268"/>
    <n v="45.37"/>
    <n v="12159.16"/>
    <n v="45.88"/>
    <n v="4"/>
    <n v="9"/>
    <n v="2198"/>
    <x v="0"/>
    <x v="0"/>
    <n v="881.4"/>
  </r>
  <r>
    <n v="100180"/>
    <d v="2025-09-04T00:00:00"/>
    <d v="2025-09-07T00:00:00"/>
    <d v="2025-09-13T00:00:00"/>
    <s v="C7509"/>
    <x v="4"/>
    <s v="Oman"/>
    <s v="P15906"/>
    <s v="Toothpaste Box"/>
    <s v="FMCG"/>
    <s v="S643"/>
    <s v="Evergreen Partners"/>
    <s v="Africa"/>
    <s v="WH 04"/>
    <s v="Istanbul"/>
    <x v="0"/>
    <n v="146"/>
    <n v="41.16"/>
    <n v="6009.36"/>
    <n v="16.61"/>
    <n v="6"/>
    <n v="9"/>
    <n v="4258"/>
    <x v="0"/>
    <x v="0"/>
    <n v="1052.6600000000001"/>
  </r>
  <r>
    <n v="100181"/>
    <d v="2024-09-25T00:00:00"/>
    <d v="2024-09-26T00:00:00"/>
    <d v="2024-09-30T00:00:00"/>
    <s v="C2529"/>
    <x v="0"/>
    <s v="Malaysia"/>
    <s v="P36170"/>
    <s v="Power Bank"/>
    <s v="Electronics"/>
    <s v="S346"/>
    <s v="Orion Supplies"/>
    <s v="Middle East"/>
    <s v="WH 02"/>
    <s v="Lahore"/>
    <x v="1"/>
    <n v="137"/>
    <n v="64.92"/>
    <n v="8894.0400000000009"/>
    <n v="37.39"/>
    <n v="4"/>
    <n v="5"/>
    <n v="1610"/>
    <x v="1"/>
    <x v="2"/>
    <n v="1698.85"/>
  </r>
  <r>
    <n v="100182"/>
    <d v="2025-10-06T00:00:00"/>
    <d v="2025-10-08T00:00:00"/>
    <d v="2025-10-13T00:00:00"/>
    <s v="C1264"/>
    <x v="1"/>
    <s v="Egypt"/>
    <s v="P19587"/>
    <s v="Face Mask Box"/>
    <s v="Healthcare"/>
    <s v="S585"/>
    <s v="Evergreen Partners"/>
    <s v="North America"/>
    <s v="WH 02"/>
    <s v="Lahore"/>
    <x v="1"/>
    <n v="443"/>
    <n v="17.079999999999998"/>
    <n v="7566.44"/>
    <n v="57.22"/>
    <n v="5"/>
    <n v="7"/>
    <n v="3190"/>
    <x v="2"/>
    <x v="0"/>
    <n v="722.59"/>
  </r>
  <r>
    <n v="100183"/>
    <d v="2025-08-10T00:00:00"/>
    <d v="2025-08-13T00:00:00"/>
    <d v="2025-08-26T00:00:00"/>
    <s v="C7299"/>
    <x v="0"/>
    <s v="Bangladesh"/>
    <s v="P95751"/>
    <s v="Detergent Bag"/>
    <s v="FMCG"/>
    <s v="S317"/>
    <s v="Pioneer Distribution"/>
    <s v="North America"/>
    <s v="WH 02"/>
    <s v="Lahore"/>
    <x v="3"/>
    <n v="199"/>
    <n v="37.36"/>
    <n v="7434.64"/>
    <n v="15.53"/>
    <n v="13"/>
    <n v="16"/>
    <n v="1998"/>
    <x v="0"/>
    <x v="0"/>
    <n v="791.47"/>
  </r>
  <r>
    <n v="100184"/>
    <d v="2024-10-05T00:00:00"/>
    <d v="2024-10-10T00:00:00"/>
    <d v="2024-10-14T00:00:00"/>
    <s v="C2674"/>
    <x v="0"/>
    <s v="India"/>
    <s v="P86637"/>
    <s v="Storage Cabinet"/>
    <s v="Furniture"/>
    <s v="S882"/>
    <s v="Evergreen Partners"/>
    <s v="Africa"/>
    <s v="WH 02"/>
    <s v="Lahore"/>
    <x v="3"/>
    <n v="356"/>
    <n v="236.58"/>
    <n v="84222.48"/>
    <n v="19.34"/>
    <n v="4"/>
    <n v="9"/>
    <n v="773"/>
    <x v="0"/>
    <x v="0"/>
    <n v="10521.27"/>
  </r>
  <r>
    <n v="100185"/>
    <d v="2025-03-29T00:00:00"/>
    <d v="2025-03-29T00:00:00"/>
    <d v="2025-04-05T00:00:00"/>
    <s v="C6063"/>
    <x v="2"/>
    <s v="Mexico"/>
    <s v="P46598"/>
    <s v="Denim Jeans"/>
    <s v="Apparel"/>
    <s v="S954"/>
    <s v="Zenith Procurement"/>
    <s v="Europe"/>
    <s v="WH 02"/>
    <s v="Lahore"/>
    <x v="3"/>
    <n v="137"/>
    <n v="80.72"/>
    <n v="11058.64"/>
    <n v="14.02"/>
    <n v="7"/>
    <n v="7"/>
    <n v="2713"/>
    <x v="2"/>
    <x v="0"/>
    <n v="1483"/>
  </r>
  <r>
    <n v="100186"/>
    <d v="2024-10-28T00:00:00"/>
    <d v="2024-10-31T00:00:00"/>
    <d v="2024-11-05T00:00:00"/>
    <s v="C5646"/>
    <x v="1"/>
    <s v="Morocco"/>
    <s v="P60939"/>
    <s v="Snack Carton"/>
    <s v="FMCG"/>
    <s v="S944"/>
    <s v="Zenith Procurement"/>
    <s v="Europe"/>
    <s v="WH 04"/>
    <s v="Istanbul"/>
    <x v="0"/>
    <n v="216"/>
    <n v="16.71"/>
    <n v="3609.36"/>
    <n v="18.600000000000001"/>
    <n v="5"/>
    <n v="8"/>
    <n v="4108"/>
    <x v="1"/>
    <x v="2"/>
    <n v="241.2"/>
  </r>
  <r>
    <n v="100187"/>
    <d v="2025-07-11T00:00:00"/>
    <d v="2025-07-16T00:00:00"/>
    <d v="2025-07-21T00:00:00"/>
    <s v="C6661"/>
    <x v="3"/>
    <s v="Italy"/>
    <s v="P81678"/>
    <s v="Toothpaste Box"/>
    <s v="FMCG"/>
    <s v="S945"/>
    <s v="Vertex Manufacturing"/>
    <s v="Europe"/>
    <s v="WH 02"/>
    <s v="Lahore"/>
    <x v="0"/>
    <n v="93"/>
    <n v="5.81"/>
    <n v="540.33000000000004"/>
    <n v="11.19"/>
    <n v="5"/>
    <n v="10"/>
    <n v="723"/>
    <x v="0"/>
    <x v="0"/>
    <n v="35.5"/>
  </r>
  <r>
    <n v="100188"/>
    <d v="2024-03-23T00:00:00"/>
    <d v="2024-03-28T00:00:00"/>
    <d v="2024-04-09T00:00:00"/>
    <s v="C6394"/>
    <x v="4"/>
    <s v="Oman"/>
    <s v="P34264"/>
    <s v="Thermometer"/>
    <s v="Healthcare"/>
    <s v="S383"/>
    <s v="Pioneer Distribution"/>
    <s v="Africa"/>
    <s v="WH 10"/>
    <s v="Cairo"/>
    <x v="2"/>
    <n v="477"/>
    <n v="88.51"/>
    <n v="42219.27"/>
    <n v="16.71"/>
    <n v="12"/>
    <n v="17"/>
    <n v="3989"/>
    <x v="0"/>
    <x v="0"/>
    <n v="7490.78"/>
  </r>
  <r>
    <n v="100189"/>
    <d v="2025-02-01T00:00:00"/>
    <d v="2025-02-06T00:00:00"/>
    <d v="2025-02-11T00:00:00"/>
    <s v="C1285"/>
    <x v="2"/>
    <s v="United States"/>
    <s v="P59416"/>
    <s v="Office Chair"/>
    <s v="Furniture"/>
    <s v="S419"/>
    <s v="Pioneer Distribution"/>
    <s v="Middle East"/>
    <s v="WH 05"/>
    <s v="Frankfurt"/>
    <x v="1"/>
    <n v="170"/>
    <n v="185.32"/>
    <n v="31504.400000000001"/>
    <n v="39.53"/>
    <n v="5"/>
    <n v="10"/>
    <n v="2186"/>
    <x v="1"/>
    <x v="2"/>
    <n v="4881.97"/>
  </r>
  <r>
    <n v="100190"/>
    <d v="2024-02-10T00:00:00"/>
    <d v="2024-02-13T00:00:00"/>
    <d v="2024-02-16T00:00:00"/>
    <s v="C8804"/>
    <x v="1"/>
    <s v="South Africa"/>
    <s v="P99709"/>
    <s v="Socks Pack"/>
    <s v="Apparel"/>
    <s v="S697"/>
    <s v="BlueRiver Trading"/>
    <s v="North America"/>
    <s v="WH 08"/>
    <s v="Chicago"/>
    <x v="1"/>
    <n v="434"/>
    <n v="118.79"/>
    <n v="51554.86"/>
    <n v="56.64"/>
    <n v="3"/>
    <n v="6"/>
    <n v="1428"/>
    <x v="2"/>
    <x v="0"/>
    <n v="10205.74"/>
  </r>
  <r>
    <n v="100191"/>
    <d v="2025-07-29T00:00:00"/>
    <d v="2025-08-03T00:00:00"/>
    <d v="2025-08-08T00:00:00"/>
    <s v="C1660"/>
    <x v="0"/>
    <s v="Pakistan"/>
    <s v="P60500"/>
    <s v="Hoodie"/>
    <s v="Apparel"/>
    <s v="S403"/>
    <s v="BlueRiver Trading"/>
    <s v="Asia"/>
    <s v="WH 10"/>
    <s v="Cairo"/>
    <x v="3"/>
    <n v="285"/>
    <n v="34.22"/>
    <n v="9752.7000000000007"/>
    <n v="13.05"/>
    <n v="5"/>
    <n v="10"/>
    <n v="3210"/>
    <x v="0"/>
    <x v="0"/>
    <n v="2267.52"/>
  </r>
  <r>
    <n v="100192"/>
    <d v="2025-12-28T00:00:00"/>
    <d v="2025-12-28T00:00:00"/>
    <d v="2026-01-08T00:00:00"/>
    <s v="C2447"/>
    <x v="4"/>
    <s v="Turkey"/>
    <s v="P16581"/>
    <s v="Vitamin Pack"/>
    <s v="Healthcare"/>
    <s v="S687"/>
    <s v="Pioneer Distribution"/>
    <s v="Africa"/>
    <s v="WH 04"/>
    <s v="Istanbul"/>
    <x v="3"/>
    <n v="183"/>
    <n v="71.459999999999994"/>
    <n v="13077.18"/>
    <n v="15.14"/>
    <n v="11"/>
    <n v="11"/>
    <n v="2096"/>
    <x v="0"/>
    <x v="0"/>
    <n v="1190.26"/>
  </r>
  <r>
    <n v="100193"/>
    <d v="2025-07-03T00:00:00"/>
    <d v="2025-07-06T00:00:00"/>
    <d v="2025-07-07T00:00:00"/>
    <s v="C2846"/>
    <x v="1"/>
    <s v="Egypt"/>
    <s v="P27862"/>
    <s v="First Aid Kit"/>
    <s v="Healthcare"/>
    <s v="S447"/>
    <s v="Orion Supplies"/>
    <s v="Middle East"/>
    <s v="WH 02"/>
    <s v="Lahore"/>
    <x v="1"/>
    <n v="37"/>
    <n v="27.2"/>
    <n v="1006.4"/>
    <n v="30.91"/>
    <n v="1"/>
    <n v="4"/>
    <n v="778"/>
    <x v="2"/>
    <x v="0"/>
    <n v="163.9"/>
  </r>
  <r>
    <n v="100194"/>
    <d v="2024-12-26T00:00:00"/>
    <d v="2024-12-26T00:00:00"/>
    <d v="2025-01-02T00:00:00"/>
    <s v="C5875"/>
    <x v="0"/>
    <s v="Indonesia"/>
    <s v="P38933"/>
    <s v="Shampoo Pack"/>
    <s v="FMCG"/>
    <s v="S829"/>
    <s v="Atlas Sourcing"/>
    <s v="Middle East"/>
    <s v="WH 08"/>
    <s v="Chicago"/>
    <x v="1"/>
    <n v="292"/>
    <n v="11.3"/>
    <n v="3299.6"/>
    <n v="47.43"/>
    <n v="7"/>
    <n v="7"/>
    <n v="3751"/>
    <x v="2"/>
    <x v="0"/>
    <n v="320.43"/>
  </r>
  <r>
    <n v="100195"/>
    <d v="2024-05-21T00:00:00"/>
    <d v="2024-05-23T00:00:00"/>
    <d v="2024-06-17T00:00:00"/>
    <s v="C6808"/>
    <x v="2"/>
    <s v="Canada"/>
    <s v="P16796"/>
    <s v="Sportswear Set"/>
    <s v="Apparel"/>
    <s v="S800"/>
    <s v="Evergreen Partners"/>
    <s v="North America"/>
    <s v="WH 10"/>
    <s v="Cairo"/>
    <x v="2"/>
    <n v="495"/>
    <n v="103.95"/>
    <n v="51455.25"/>
    <n v="12.62"/>
    <n v="25"/>
    <n v="27"/>
    <n v="1030"/>
    <x v="1"/>
    <x v="2"/>
    <n v="6244.6"/>
  </r>
  <r>
    <n v="100196"/>
    <d v="2024-12-06T00:00:00"/>
    <d v="2024-12-10T00:00:00"/>
    <d v="2024-12-12T00:00:00"/>
    <s v="C6482"/>
    <x v="2"/>
    <s v="United States"/>
    <s v="P75333"/>
    <s v="T Shirt Bundle"/>
    <s v="Apparel"/>
    <s v="S481"/>
    <s v="Summit Supply Co"/>
    <s v="Middle East"/>
    <s v="WH 05"/>
    <s v="Frankfurt"/>
    <x v="0"/>
    <n v="242"/>
    <n v="53.67"/>
    <n v="12988.14"/>
    <n v="19.329999999999998"/>
    <n v="2"/>
    <n v="6"/>
    <n v="1722"/>
    <x v="2"/>
    <x v="0"/>
    <n v="2660.38"/>
  </r>
  <r>
    <n v="100197"/>
    <d v="2024-07-01T00:00:00"/>
    <d v="2024-07-01T00:00:00"/>
    <d v="2024-07-06T00:00:00"/>
    <s v="C2517"/>
    <x v="1"/>
    <s v="Kenya"/>
    <s v="P91554"/>
    <s v="T Shirt Bundle"/>
    <s v="Apparel"/>
    <s v="S432"/>
    <s v="Vertex Manufacturing"/>
    <s v="Europe"/>
    <s v="WH 06"/>
    <s v="Amsterdam"/>
    <x v="1"/>
    <n v="136"/>
    <n v="40.22"/>
    <n v="5469.92"/>
    <n v="37.32"/>
    <n v="5"/>
    <n v="5"/>
    <n v="150"/>
    <x v="2"/>
    <x v="0"/>
    <n v="1474.85"/>
  </r>
  <r>
    <n v="100198"/>
    <d v="2024-04-18T00:00:00"/>
    <d v="2024-04-21T00:00:00"/>
    <d v="2024-04-26T00:00:00"/>
    <s v="C7246"/>
    <x v="4"/>
    <s v="Saudi Arabia"/>
    <s v="P13321"/>
    <s v="Vitamin Pack"/>
    <s v="Healthcare"/>
    <s v="S552"/>
    <s v="Nova Industrial"/>
    <s v="Africa"/>
    <s v="WH 07"/>
    <s v="Toronto"/>
    <x v="1"/>
    <n v="17"/>
    <n v="78.760000000000005"/>
    <n v="1338.92"/>
    <n v="29.61"/>
    <n v="5"/>
    <n v="8"/>
    <n v="373"/>
    <x v="0"/>
    <x v="0"/>
    <n v="74.48"/>
  </r>
  <r>
    <n v="100199"/>
    <d v="2025-10-19T00:00:00"/>
    <d v="2025-10-20T00:00:00"/>
    <d v="2025-10-24T00:00:00"/>
    <s v="C9611"/>
    <x v="3"/>
    <s v="Poland"/>
    <s v="P26977"/>
    <s v="Vitamin Pack"/>
    <s v="Healthcare"/>
    <s v="S584"/>
    <s v="Evergreen Partners"/>
    <s v="Africa"/>
    <s v="WH 06"/>
    <s v="Amsterdam"/>
    <x v="1"/>
    <n v="156"/>
    <n v="56.9"/>
    <n v="8876.4"/>
    <n v="38.619999999999997"/>
    <n v="4"/>
    <n v="5"/>
    <n v="1135"/>
    <x v="1"/>
    <x v="2"/>
    <n v="675.25"/>
  </r>
  <r>
    <n v="100200"/>
    <d v="2024-04-14T00:00:00"/>
    <d v="2024-04-15T00:00:00"/>
    <d v="2024-04-18T00:00:00"/>
    <s v="C5658"/>
    <x v="2"/>
    <s v="Canada"/>
    <s v="P86917"/>
    <s v="Toothpaste Box"/>
    <s v="FMCG"/>
    <s v="S812"/>
    <s v="Zenith Procurement"/>
    <s v="Middle East"/>
    <s v="WH 04"/>
    <s v="Istanbul"/>
    <x v="0"/>
    <n v="386"/>
    <n v="11.94"/>
    <n v="4608.84"/>
    <n v="23.42"/>
    <n v="3"/>
    <n v="4"/>
    <n v="1070"/>
    <x v="2"/>
    <x v="0"/>
    <n v="468.27"/>
  </r>
  <r>
    <n v="100201"/>
    <d v="2024-10-22T00:00:00"/>
    <d v="2024-10-23T00:00:00"/>
    <d v="2024-11-02T00:00:00"/>
    <s v="C3466"/>
    <x v="3"/>
    <s v="France"/>
    <s v="P12282"/>
    <s v="Wireless Earbuds"/>
    <s v="Electronics"/>
    <s v="S932"/>
    <s v="BlueRiver Trading"/>
    <s v="Africa"/>
    <s v="WH 09"/>
    <s v="Johannesburg"/>
    <x v="2"/>
    <n v="320"/>
    <n v="285.11"/>
    <n v="91235.199999999997"/>
    <n v="13.85"/>
    <n v="10"/>
    <n v="11"/>
    <n v="1035"/>
    <x v="0"/>
    <x v="0"/>
    <n v="10044.57"/>
  </r>
  <r>
    <n v="100202"/>
    <d v="2025-02-11T00:00:00"/>
    <d v="2025-02-11T00:00:00"/>
    <d v="2025-02-18T00:00:00"/>
    <s v="C2130"/>
    <x v="2"/>
    <s v="Mexico"/>
    <s v="P46268"/>
    <s v="Detergent Bag"/>
    <s v="FMCG"/>
    <s v="S474"/>
    <s v="Evergreen Partners"/>
    <s v="Europe"/>
    <s v="WH 03"/>
    <s v="Dubai"/>
    <x v="0"/>
    <n v="82"/>
    <n v="18.78"/>
    <n v="1539.96"/>
    <n v="14.8"/>
    <n v="7"/>
    <n v="7"/>
    <n v="4005"/>
    <x v="2"/>
    <x v="0"/>
    <n v="139.12"/>
  </r>
  <r>
    <n v="100203"/>
    <d v="2024-06-20T00:00:00"/>
    <d v="2024-06-20T00:00:00"/>
    <d v="2024-07-15T00:00:00"/>
    <s v="C2141"/>
    <x v="1"/>
    <s v="Kenya"/>
    <s v="P93555"/>
    <s v="Office Chair"/>
    <s v="Furniture"/>
    <s v="S479"/>
    <s v="Evergreen Partners"/>
    <s v="North America"/>
    <s v="WH 04"/>
    <s v="Istanbul"/>
    <x v="2"/>
    <n v="426"/>
    <n v="203"/>
    <n v="86478"/>
    <n v="15.78"/>
    <n v="25"/>
    <n v="25"/>
    <n v="56"/>
    <x v="1"/>
    <x v="3"/>
    <n v="22677.39"/>
  </r>
  <r>
    <n v="100204"/>
    <d v="2024-05-27T00:00:00"/>
    <d v="2024-05-29T00:00:00"/>
    <d v="2024-06-11T00:00:00"/>
    <s v="C3011"/>
    <x v="1"/>
    <s v="Nigeria"/>
    <s v="P54014"/>
    <s v="Study Table"/>
    <s v="Furniture"/>
    <s v="S578"/>
    <s v="Summit Supply Co"/>
    <s v="Europe"/>
    <s v="WH 05"/>
    <s v="Frankfurt"/>
    <x v="3"/>
    <n v="484"/>
    <n v="166.98"/>
    <n v="80818.320000000007"/>
    <n v="22.45"/>
    <n v="13"/>
    <n v="15"/>
    <n v="866"/>
    <x v="0"/>
    <x v="0"/>
    <n v="16543.18"/>
  </r>
  <r>
    <n v="100205"/>
    <d v="2025-03-15T00:00:00"/>
    <d v="2025-03-18T00:00:00"/>
    <d v="2025-03-27T00:00:00"/>
    <s v="C6744"/>
    <x v="3"/>
    <s v="Italy"/>
    <s v="P93820"/>
    <s v="Face Mask Box"/>
    <s v="Healthcare"/>
    <s v="S533"/>
    <s v="Pioneer Distribution"/>
    <s v="North America"/>
    <s v="WH 07"/>
    <s v="Toronto"/>
    <x v="3"/>
    <n v="334"/>
    <n v="26.74"/>
    <n v="8931.16"/>
    <n v="18.809999999999999"/>
    <n v="9"/>
    <n v="12"/>
    <n v="3615"/>
    <x v="0"/>
    <x v="0"/>
    <n v="80.08"/>
  </r>
  <r>
    <n v="100206"/>
    <d v="2025-03-23T00:00:00"/>
    <d v="2025-03-25T00:00:00"/>
    <d v="2025-04-07T00:00:00"/>
    <s v="C3309"/>
    <x v="3"/>
    <s v="Sweden"/>
    <s v="P89674"/>
    <s v="Detergent Bag"/>
    <s v="FMCG"/>
    <s v="S224"/>
    <s v="Crescent Logistics"/>
    <s v="North America"/>
    <s v="WH 01"/>
    <s v="Karachi"/>
    <x v="3"/>
    <n v="408"/>
    <n v="26.95"/>
    <n v="10995.6"/>
    <n v="20.61"/>
    <n v="13"/>
    <n v="15"/>
    <n v="4309"/>
    <x v="0"/>
    <x v="0"/>
    <n v="1895.59"/>
  </r>
  <r>
    <n v="100207"/>
    <d v="2024-03-27T00:00:00"/>
    <d v="2024-04-01T00:00:00"/>
    <d v="2024-04-08T00:00:00"/>
    <s v="C7344"/>
    <x v="2"/>
    <s v="Mexico"/>
    <s v="P28800"/>
    <s v="Router"/>
    <s v="Electronics"/>
    <s v="S896"/>
    <s v="BlueRiver Trading"/>
    <s v="North America"/>
    <s v="WH 02"/>
    <s v="Lahore"/>
    <x v="3"/>
    <n v="86"/>
    <n v="296.68"/>
    <n v="25514.48"/>
    <n v="9.4700000000000006"/>
    <n v="7"/>
    <n v="12"/>
    <n v="687"/>
    <x v="0"/>
    <x v="0"/>
    <n v="3247.56"/>
  </r>
  <r>
    <n v="100208"/>
    <d v="2024-06-13T00:00:00"/>
    <d v="2024-06-13T00:00:00"/>
    <d v="2024-06-23T00:00:00"/>
    <s v="C9556"/>
    <x v="2"/>
    <s v="Canada"/>
    <s v="P96836"/>
    <s v="First Aid Kit"/>
    <s v="Healthcare"/>
    <s v="S478"/>
    <s v="Evergreen Partners"/>
    <s v="Asia"/>
    <s v="WH 04"/>
    <s v="Istanbul"/>
    <x v="2"/>
    <n v="352"/>
    <n v="44.12"/>
    <n v="15530.24"/>
    <n v="14.43"/>
    <n v="10"/>
    <n v="10"/>
    <n v="1577"/>
    <x v="0"/>
    <x v="0"/>
    <n v="1189.07"/>
  </r>
  <r>
    <n v="100209"/>
    <d v="2025-06-16T00:00:00"/>
    <d v="2025-06-19T00:00:00"/>
    <d v="2025-07-03T00:00:00"/>
    <s v="C4456"/>
    <x v="2"/>
    <s v="United States"/>
    <s v="P40654"/>
    <s v="Office Chair"/>
    <s v="Furniture"/>
    <s v="S379"/>
    <s v="Evergreen Partners"/>
    <s v="Africa"/>
    <s v="WH 06"/>
    <s v="Amsterdam"/>
    <x v="3"/>
    <n v="134"/>
    <n v="177.65"/>
    <n v="23805.1"/>
    <n v="13.95"/>
    <n v="14"/>
    <n v="17"/>
    <n v="1184"/>
    <x v="0"/>
    <x v="0"/>
    <n v="5822.64"/>
  </r>
  <r>
    <n v="100210"/>
    <d v="2024-04-13T00:00:00"/>
    <d v="2024-04-18T00:00:00"/>
    <d v="2024-05-06T00:00:00"/>
    <s v="C3834"/>
    <x v="4"/>
    <s v="United Arab Emirates"/>
    <s v="P87988"/>
    <s v="Denim Jeans"/>
    <s v="Apparel"/>
    <s v="S952"/>
    <s v="Orion Supplies"/>
    <s v="North America"/>
    <s v="WH 02"/>
    <s v="Lahore"/>
    <x v="2"/>
    <n v="17"/>
    <n v="14.34"/>
    <n v="243.78"/>
    <n v="8.33"/>
    <n v="18"/>
    <n v="23"/>
    <n v="806"/>
    <x v="0"/>
    <x v="0"/>
    <n v="22.5"/>
  </r>
  <r>
    <n v="100211"/>
    <d v="2024-09-23T00:00:00"/>
    <d v="2024-09-28T00:00:00"/>
    <d v="2024-10-03T00:00:00"/>
    <s v="C7538"/>
    <x v="3"/>
    <s v="France"/>
    <s v="P36086"/>
    <s v="Wireless Earbuds"/>
    <s v="Electronics"/>
    <s v="S575"/>
    <s v="Pioneer Distribution"/>
    <s v="Europe"/>
    <s v="WH 08"/>
    <s v="Chicago"/>
    <x v="1"/>
    <n v="14"/>
    <n v="369.74"/>
    <n v="5176.3599999999997"/>
    <n v="21.79"/>
    <n v="5"/>
    <n v="10"/>
    <n v="1093"/>
    <x v="1"/>
    <x v="2"/>
    <n v="1094.98"/>
  </r>
  <r>
    <n v="100212"/>
    <d v="2025-10-27T00:00:00"/>
    <d v="2025-10-30T00:00:00"/>
    <d v="2025-11-06T00:00:00"/>
    <s v="C8166"/>
    <x v="1"/>
    <s v="South Africa"/>
    <s v="P88518"/>
    <s v="Bluetooth Speaker"/>
    <s v="Electronics"/>
    <s v="S861"/>
    <s v="Nova Industrial"/>
    <s v="Europe"/>
    <s v="WH 03"/>
    <s v="Dubai"/>
    <x v="3"/>
    <n v="237"/>
    <n v="171.46"/>
    <n v="40636.019999999997"/>
    <n v="16.45"/>
    <n v="7"/>
    <n v="10"/>
    <n v="1490"/>
    <x v="0"/>
    <x v="0"/>
    <n v="6680.6"/>
  </r>
  <r>
    <n v="100213"/>
    <d v="2025-05-13T00:00:00"/>
    <d v="2025-05-14T00:00:00"/>
    <d v="2025-05-18T00:00:00"/>
    <s v="C4802"/>
    <x v="0"/>
    <s v="Vietnam"/>
    <s v="P31083"/>
    <s v="Denim Jeans"/>
    <s v="Apparel"/>
    <s v="S786"/>
    <s v="Nova Industrial"/>
    <s v="Asia"/>
    <s v="WH 01"/>
    <s v="Karachi"/>
    <x v="3"/>
    <n v="248"/>
    <n v="73.09"/>
    <n v="18126.32"/>
    <n v="12.38"/>
    <n v="4"/>
    <n v="5"/>
    <n v="514"/>
    <x v="2"/>
    <x v="0"/>
    <n v="1161.6600000000001"/>
  </r>
  <r>
    <n v="100214"/>
    <d v="2024-05-26T00:00:00"/>
    <d v="2024-05-31T00:00:00"/>
    <d v="2024-06-12T00:00:00"/>
    <s v="C8661"/>
    <x v="4"/>
    <s v="Turkey"/>
    <s v="P60876"/>
    <s v="Office Chair"/>
    <s v="Furniture"/>
    <s v="S386"/>
    <s v="BlueRiver Trading"/>
    <s v="Middle East"/>
    <s v="WH 10"/>
    <s v="Cairo"/>
    <x v="2"/>
    <n v="217"/>
    <n v="276.39999999999998"/>
    <n v="59978.8"/>
    <n v="8.8699999999999992"/>
    <n v="12"/>
    <n v="17"/>
    <n v="71"/>
    <x v="0"/>
    <x v="0"/>
    <n v="13834.55"/>
  </r>
  <r>
    <n v="100215"/>
    <d v="2024-05-05T00:00:00"/>
    <d v="2024-05-09T00:00:00"/>
    <d v="2024-05-12T00:00:00"/>
    <s v="C1695"/>
    <x v="1"/>
    <s v="Morocco"/>
    <s v="P68653"/>
    <s v="Toothpaste Box"/>
    <s v="FMCG"/>
    <s v="S156"/>
    <s v="Nova Industrial"/>
    <s v="Middle East"/>
    <s v="WH 01"/>
    <s v="Karachi"/>
    <x v="0"/>
    <n v="231"/>
    <n v="5.4"/>
    <n v="1247.4000000000001"/>
    <n v="19.02"/>
    <n v="3"/>
    <n v="7"/>
    <n v="4414"/>
    <x v="2"/>
    <x v="0"/>
    <n v="-69.260000000000005"/>
  </r>
  <r>
    <n v="100216"/>
    <d v="2024-10-18T00:00:00"/>
    <d v="2024-10-18T00:00:00"/>
    <d v="2024-10-23T00:00:00"/>
    <s v="C6668"/>
    <x v="3"/>
    <s v="Netherlands"/>
    <s v="P96156"/>
    <s v="Study Table"/>
    <s v="Furniture"/>
    <s v="S843"/>
    <s v="BlueRiver Trading"/>
    <s v="Africa"/>
    <s v="WH 06"/>
    <s v="Amsterdam"/>
    <x v="1"/>
    <n v="145"/>
    <n v="278.37"/>
    <n v="40363.65"/>
    <n v="37.909999999999997"/>
    <n v="5"/>
    <n v="5"/>
    <n v="250"/>
    <x v="2"/>
    <x v="0"/>
    <n v="8768.5"/>
  </r>
  <r>
    <n v="100217"/>
    <d v="2024-09-21T00:00:00"/>
    <d v="2024-09-22T00:00:00"/>
    <d v="2024-09-27T00:00:00"/>
    <s v="C2381"/>
    <x v="1"/>
    <s v="Morocco"/>
    <s v="P76634"/>
    <s v="Thermometer"/>
    <s v="Healthcare"/>
    <s v="S454"/>
    <s v="Summit Supply Co"/>
    <s v="Asia"/>
    <s v="WH 07"/>
    <s v="Toronto"/>
    <x v="0"/>
    <n v="81"/>
    <n v="17.100000000000001"/>
    <n v="1385.1"/>
    <n v="14.77"/>
    <n v="5"/>
    <n v="6"/>
    <n v="387"/>
    <x v="2"/>
    <x v="0"/>
    <n v="83.28"/>
  </r>
  <r>
    <n v="100218"/>
    <d v="2024-12-23T00:00:00"/>
    <d v="2024-12-24T00:00:00"/>
    <d v="2025-01-07T00:00:00"/>
    <s v="C8913"/>
    <x v="0"/>
    <s v="China"/>
    <s v="P66699"/>
    <s v="Bookshelf"/>
    <s v="Furniture"/>
    <s v="S755"/>
    <s v="Nova Industrial"/>
    <s v="Asia"/>
    <s v="WH 06"/>
    <s v="Amsterdam"/>
    <x v="3"/>
    <n v="367"/>
    <n v="55.57"/>
    <n v="20394.189999999999"/>
    <n v="14.53"/>
    <n v="14"/>
    <n v="15"/>
    <n v="499"/>
    <x v="1"/>
    <x v="3"/>
    <n v="4608.7700000000004"/>
  </r>
  <r>
    <n v="100219"/>
    <d v="2024-10-16T00:00:00"/>
    <d v="2024-10-18T00:00:00"/>
    <d v="2024-10-27T00:00:00"/>
    <s v="C5727"/>
    <x v="2"/>
    <s v="United States"/>
    <s v="P63117"/>
    <s v="Router"/>
    <s v="Electronics"/>
    <s v="S666"/>
    <s v="Zenith Procurement"/>
    <s v="Europe"/>
    <s v="WH 01"/>
    <s v="Karachi"/>
    <x v="0"/>
    <n v="36"/>
    <n v="68.59"/>
    <n v="2469.2399999999998"/>
    <n v="13.49"/>
    <n v="9"/>
    <n v="11"/>
    <n v="1304"/>
    <x v="0"/>
    <x v="0"/>
    <n v="405.46"/>
  </r>
  <r>
    <n v="100220"/>
    <d v="2025-06-16T00:00:00"/>
    <d v="2025-06-18T00:00:00"/>
    <d v="2025-06-23T00:00:00"/>
    <s v="C1182"/>
    <x v="1"/>
    <s v="Nigeria"/>
    <s v="P17190"/>
    <s v="Bottled Water Case"/>
    <s v="FMCG"/>
    <s v="S643"/>
    <s v="Pioneer Distribution"/>
    <s v="Europe"/>
    <s v="WH 03"/>
    <s v="Dubai"/>
    <x v="1"/>
    <n v="455"/>
    <n v="25.43"/>
    <n v="11570.65"/>
    <n v="58"/>
    <n v="5"/>
    <n v="7"/>
    <n v="1889"/>
    <x v="2"/>
    <x v="0"/>
    <n v="884.44"/>
  </r>
  <r>
    <n v="100221"/>
    <d v="2024-02-22T00:00:00"/>
    <d v="2024-02-27T00:00:00"/>
    <d v="2024-03-03T00:00:00"/>
    <s v="C6590"/>
    <x v="4"/>
    <s v="United Arab Emirates"/>
    <s v="P66071"/>
    <s v="Denim Jeans"/>
    <s v="Apparel"/>
    <s v="S565"/>
    <s v="Orion Supplies"/>
    <s v="Europe"/>
    <s v="WH 01"/>
    <s v="Karachi"/>
    <x v="0"/>
    <n v="21"/>
    <n v="64.64"/>
    <n v="1357.44"/>
    <n v="13.07"/>
    <n v="5"/>
    <n v="10"/>
    <n v="999"/>
    <x v="0"/>
    <x v="0"/>
    <n v="196.4"/>
  </r>
  <r>
    <n v="100222"/>
    <d v="2025-03-16T00:00:00"/>
    <d v="2025-03-16T00:00:00"/>
    <d v="2025-03-18T00:00:00"/>
    <s v="C2809"/>
    <x v="2"/>
    <s v="Mexico"/>
    <s v="P78703"/>
    <s v="Storage Cabinet"/>
    <s v="Furniture"/>
    <s v="S825"/>
    <s v="Pioneer Distribution"/>
    <s v="North America"/>
    <s v="WH 01"/>
    <s v="Karachi"/>
    <x v="1"/>
    <n v="303"/>
    <n v="317.68"/>
    <n v="96257.04"/>
    <n v="35.659999999999997"/>
    <n v="2"/>
    <n v="2"/>
    <n v="1161"/>
    <x v="2"/>
    <x v="0"/>
    <n v="11574.02"/>
  </r>
  <r>
    <n v="100223"/>
    <d v="2024-06-05T00:00:00"/>
    <d v="2024-06-08T00:00:00"/>
    <d v="2024-06-28T00:00:00"/>
    <s v="C6738"/>
    <x v="2"/>
    <s v="Canada"/>
    <s v="P42402"/>
    <s v="Wireless Earbuds"/>
    <s v="Electronics"/>
    <s v="S236"/>
    <s v="Nova Industrial"/>
    <s v="Asia"/>
    <s v="WH 06"/>
    <s v="Amsterdam"/>
    <x v="2"/>
    <n v="420"/>
    <n v="397.95"/>
    <n v="167139"/>
    <n v="15.67"/>
    <n v="20"/>
    <n v="23"/>
    <n v="1525"/>
    <x v="0"/>
    <x v="0"/>
    <n v="23506.54"/>
  </r>
  <r>
    <n v="100224"/>
    <d v="2025-09-15T00:00:00"/>
    <d v="2025-09-18T00:00:00"/>
    <d v="2025-09-27T00:00:00"/>
    <s v="C9662"/>
    <x v="4"/>
    <s v="Oman"/>
    <s v="P49129"/>
    <s v="Bookshelf"/>
    <s v="Furniture"/>
    <s v="S927"/>
    <s v="Crescent Logistics"/>
    <s v="Middle East"/>
    <s v="WH 08"/>
    <s v="Chicago"/>
    <x v="3"/>
    <n v="484"/>
    <n v="301.72000000000003"/>
    <n v="146032.48000000001"/>
    <n v="16.63"/>
    <n v="9"/>
    <n v="12"/>
    <n v="955"/>
    <x v="0"/>
    <x v="0"/>
    <n v="37963.760000000002"/>
  </r>
  <r>
    <n v="100225"/>
    <d v="2025-06-19T00:00:00"/>
    <d v="2025-06-22T00:00:00"/>
    <d v="2025-06-25T00:00:00"/>
    <s v="C5888"/>
    <x v="1"/>
    <s v="Nigeria"/>
    <s v="P85357"/>
    <s v="Power Bank"/>
    <s v="Electronics"/>
    <s v="S812"/>
    <s v="BlueRiver Trading"/>
    <s v="Middle East"/>
    <s v="WH 10"/>
    <s v="Cairo"/>
    <x v="1"/>
    <n v="30"/>
    <n v="245.41"/>
    <n v="7362.3"/>
    <n v="30.46"/>
    <n v="3"/>
    <n v="6"/>
    <n v="1796"/>
    <x v="1"/>
    <x v="2"/>
    <n v="929.64"/>
  </r>
  <r>
    <n v="100226"/>
    <d v="2025-06-23T00:00:00"/>
    <d v="2025-06-23T00:00:00"/>
    <d v="2025-07-05T00:00:00"/>
    <s v="C6777"/>
    <x v="1"/>
    <s v="Nigeria"/>
    <s v="P15355"/>
    <s v="T Shirt Bundle"/>
    <s v="Apparel"/>
    <s v="S972"/>
    <s v="BlueRiver Trading"/>
    <s v="North America"/>
    <s v="WH 05"/>
    <s v="Frankfurt"/>
    <x v="2"/>
    <n v="389"/>
    <n v="104.49"/>
    <n v="40646.61"/>
    <n v="15.11"/>
    <n v="12"/>
    <n v="12"/>
    <n v="1186"/>
    <x v="0"/>
    <x v="0"/>
    <n v="10962.3"/>
  </r>
  <r>
    <n v="100227"/>
    <d v="2024-11-24T00:00:00"/>
    <d v="2024-11-29T00:00:00"/>
    <d v="2024-12-02T00:00:00"/>
    <s v="C3005"/>
    <x v="4"/>
    <s v="Turkey"/>
    <s v="P61168"/>
    <s v="Study Table"/>
    <s v="Furniture"/>
    <s v="S199"/>
    <s v="Pioneer Distribution"/>
    <s v="North America"/>
    <s v="WH 08"/>
    <s v="Chicago"/>
    <x v="1"/>
    <n v="118"/>
    <n v="273.75"/>
    <n v="32302.5"/>
    <n v="36.159999999999997"/>
    <n v="3"/>
    <n v="8"/>
    <n v="1822"/>
    <x v="0"/>
    <x v="0"/>
    <n v="7208.07"/>
  </r>
  <r>
    <n v="100228"/>
    <d v="2024-01-28T00:00:00"/>
    <d v="2024-02-02T00:00:00"/>
    <d v="2024-02-08T00:00:00"/>
    <s v="C2461"/>
    <x v="2"/>
    <s v="Mexico"/>
    <s v="P64336"/>
    <s v="Bookshelf"/>
    <s v="Furniture"/>
    <s v="S455"/>
    <s v="Orion Supplies"/>
    <s v="Asia"/>
    <s v="WH 07"/>
    <s v="Toronto"/>
    <x v="0"/>
    <n v="30"/>
    <n v="129.1"/>
    <n v="3873"/>
    <n v="13.32"/>
    <n v="6"/>
    <n v="11"/>
    <n v="1598"/>
    <x v="0"/>
    <x v="0"/>
    <n v="771.11"/>
  </r>
  <r>
    <n v="100229"/>
    <d v="2024-02-22T00:00:00"/>
    <d v="2024-02-23T00:00:00"/>
    <d v="2024-02-28T00:00:00"/>
    <s v="C2815"/>
    <x v="1"/>
    <s v="Kenya"/>
    <s v="P46609"/>
    <s v="Smart Watch"/>
    <s v="Electronics"/>
    <s v="S948"/>
    <s v="Vertex Manufacturing"/>
    <s v="Middle East"/>
    <s v="WH 01"/>
    <s v="Karachi"/>
    <x v="1"/>
    <n v="365"/>
    <n v="430.05"/>
    <n v="156968.25"/>
    <n v="52.16"/>
    <n v="5"/>
    <n v="6"/>
    <n v="724"/>
    <x v="2"/>
    <x v="0"/>
    <n v="24172.95"/>
  </r>
  <r>
    <n v="100230"/>
    <d v="2025-06-19T00:00:00"/>
    <d v="2025-06-23T00:00:00"/>
    <d v="2025-07-13T00:00:00"/>
    <s v="C2401"/>
    <x v="0"/>
    <s v="India"/>
    <s v="P95179"/>
    <s v="Hoodie"/>
    <s v="Apparel"/>
    <s v="S957"/>
    <s v="Evergreen Partners"/>
    <s v="Africa"/>
    <s v="WH 01"/>
    <s v="Karachi"/>
    <x v="2"/>
    <n v="239"/>
    <n v="93.85"/>
    <n v="22430.15"/>
    <n v="12.37"/>
    <n v="20"/>
    <n v="24"/>
    <n v="268"/>
    <x v="0"/>
    <x v="0"/>
    <n v="4569.1899999999996"/>
  </r>
  <r>
    <n v="100231"/>
    <d v="2025-05-16T00:00:00"/>
    <d v="2025-05-20T00:00:00"/>
    <d v="2025-06-08T00:00:00"/>
    <s v="C3792"/>
    <x v="4"/>
    <s v="Qatar"/>
    <s v="P40116"/>
    <s v="Sportswear Set"/>
    <s v="Apparel"/>
    <s v="S233"/>
    <s v="BlueRiver Trading"/>
    <s v="Africa"/>
    <s v="WH 03"/>
    <s v="Dubai"/>
    <x v="2"/>
    <n v="400"/>
    <n v="11.93"/>
    <n v="4772"/>
    <n v="15.31"/>
    <n v="19"/>
    <n v="23"/>
    <n v="1674"/>
    <x v="0"/>
    <x v="0"/>
    <n v="674.97"/>
  </r>
  <r>
    <n v="100232"/>
    <d v="2024-01-12T00:00:00"/>
    <d v="2024-01-14T00:00:00"/>
    <d v="2024-01-19T00:00:00"/>
    <s v="C4718"/>
    <x v="4"/>
    <s v="Qatar"/>
    <s v="P66547"/>
    <s v="Denim Jeans"/>
    <s v="Apparel"/>
    <s v="S722"/>
    <s v="BlueRiver Trading"/>
    <s v="Asia"/>
    <s v="WH 03"/>
    <s v="Dubai"/>
    <x v="1"/>
    <n v="316"/>
    <n v="12.6"/>
    <n v="3981.6"/>
    <n v="48.99"/>
    <n v="5"/>
    <n v="7"/>
    <n v="480"/>
    <x v="2"/>
    <x v="0"/>
    <n v="581.01"/>
  </r>
  <r>
    <n v="100233"/>
    <d v="2024-02-28T00:00:00"/>
    <d v="2024-03-02T00:00:00"/>
    <d v="2024-03-15T00:00:00"/>
    <s v="C3204"/>
    <x v="1"/>
    <s v="Egypt"/>
    <s v="P97265"/>
    <s v="Vitamin Pack"/>
    <s v="Healthcare"/>
    <s v="S511"/>
    <s v="Nova Industrial"/>
    <s v="North America"/>
    <s v="WH 08"/>
    <s v="Chicago"/>
    <x v="3"/>
    <n v="214"/>
    <n v="69.290000000000006"/>
    <n v="14828.06"/>
    <n v="15.89"/>
    <n v="13"/>
    <n v="16"/>
    <n v="1441"/>
    <x v="1"/>
    <x v="3"/>
    <n v="2930.85"/>
  </r>
  <r>
    <n v="100234"/>
    <d v="2025-08-30T00:00:00"/>
    <d v="2025-09-02T00:00:00"/>
    <d v="2025-09-13T00:00:00"/>
    <s v="C7683"/>
    <x v="1"/>
    <s v="Nigeria"/>
    <s v="P59429"/>
    <s v="Study Table"/>
    <s v="Furniture"/>
    <s v="S332"/>
    <s v="BlueRiver Trading"/>
    <s v="Europe"/>
    <s v="WH 02"/>
    <s v="Lahore"/>
    <x v="2"/>
    <n v="26"/>
    <n v="109.87"/>
    <n v="2856.62"/>
    <n v="8.49"/>
    <n v="11"/>
    <n v="14"/>
    <n v="75"/>
    <x v="0"/>
    <x v="0"/>
    <n v="460.56"/>
  </r>
  <r>
    <n v="100235"/>
    <d v="2025-03-31T00:00:00"/>
    <d v="2025-04-03T00:00:00"/>
    <d v="2025-04-17T00:00:00"/>
    <s v="C2072"/>
    <x v="3"/>
    <s v="Poland"/>
    <s v="P42430"/>
    <s v="Office Chair"/>
    <s v="Furniture"/>
    <s v="S663"/>
    <s v="Zenith Procurement"/>
    <s v="North America"/>
    <s v="WH 02"/>
    <s v="Lahore"/>
    <x v="3"/>
    <n v="111"/>
    <n v="130.06"/>
    <n v="14436.66"/>
    <n v="13.39"/>
    <n v="14"/>
    <n v="17"/>
    <n v="1773"/>
    <x v="1"/>
    <x v="2"/>
    <n v="3312.82"/>
  </r>
  <r>
    <n v="100236"/>
    <d v="2024-01-05T00:00:00"/>
    <d v="2024-01-08T00:00:00"/>
    <d v="2024-01-12T00:00:00"/>
    <s v="C3295"/>
    <x v="2"/>
    <s v="United States"/>
    <s v="P86721"/>
    <s v="Snack Carton"/>
    <s v="FMCG"/>
    <s v="S521"/>
    <s v="Summit Supply Co"/>
    <s v="Europe"/>
    <s v="WH 02"/>
    <s v="Lahore"/>
    <x v="1"/>
    <n v="420"/>
    <n v="39.25"/>
    <n v="16485"/>
    <n v="55.73"/>
    <n v="4"/>
    <n v="7"/>
    <n v="3083"/>
    <x v="2"/>
    <x v="0"/>
    <n v="931.9"/>
  </r>
  <r>
    <n v="100237"/>
    <d v="2025-08-20T00:00:00"/>
    <d v="2025-08-25T00:00:00"/>
    <d v="2025-09-05T00:00:00"/>
    <s v="C2932"/>
    <x v="3"/>
    <s v="France"/>
    <s v="P54254"/>
    <s v="Office Chair"/>
    <s v="Furniture"/>
    <s v="S833"/>
    <s v="Zenith Procurement"/>
    <s v="Africa"/>
    <s v="WH 10"/>
    <s v="Cairo"/>
    <x v="2"/>
    <n v="12"/>
    <n v="91.38"/>
    <n v="1096.56"/>
    <n v="8.24"/>
    <n v="11"/>
    <n v="16"/>
    <n v="1166"/>
    <x v="0"/>
    <x v="0"/>
    <n v="241.66"/>
  </r>
  <r>
    <n v="100238"/>
    <d v="2024-11-26T00:00:00"/>
    <d v="2024-11-30T00:00:00"/>
    <d v="2024-12-02T00:00:00"/>
    <s v="C3743"/>
    <x v="4"/>
    <s v="Turkey"/>
    <s v="P83402"/>
    <s v="Detergent Bag"/>
    <s v="FMCG"/>
    <s v="S189"/>
    <s v="BlueRiver Trading"/>
    <s v="Asia"/>
    <s v="WH 05"/>
    <s v="Frankfurt"/>
    <x v="1"/>
    <n v="455"/>
    <n v="30.63"/>
    <n v="13936.65"/>
    <n v="58"/>
    <n v="2"/>
    <n v="6"/>
    <n v="656"/>
    <x v="2"/>
    <x v="0"/>
    <n v="1714.23"/>
  </r>
  <r>
    <n v="100239"/>
    <d v="2024-06-02T00:00:00"/>
    <d v="2024-06-07T00:00:00"/>
    <d v="2024-06-14T00:00:00"/>
    <s v="C9988"/>
    <x v="4"/>
    <s v="Turkey"/>
    <s v="P13642"/>
    <s v="Floor Lamp"/>
    <s v="Furniture"/>
    <s v="S224"/>
    <s v="Vertex Manufacturing"/>
    <s v="Asia"/>
    <s v="WH 03"/>
    <s v="Dubai"/>
    <x v="3"/>
    <n v="363"/>
    <n v="256.48"/>
    <n v="93102.24"/>
    <n v="19.510000000000002"/>
    <n v="7"/>
    <n v="12"/>
    <n v="1884"/>
    <x v="0"/>
    <x v="0"/>
    <n v="22433.919999999998"/>
  </r>
  <r>
    <n v="100240"/>
    <d v="2024-01-08T00:00:00"/>
    <d v="2024-01-13T00:00:00"/>
    <d v="2024-01-17T00:00:00"/>
    <s v="C7976"/>
    <x v="0"/>
    <s v="Malaysia"/>
    <s v="P66746"/>
    <s v="Storage Cabinet"/>
    <s v="Furniture"/>
    <s v="S138"/>
    <s v="Zenith Procurement"/>
    <s v="Europe"/>
    <s v="WH 09"/>
    <s v="Johannesburg"/>
    <x v="1"/>
    <n v="90"/>
    <n v="90.44"/>
    <n v="8139.6"/>
    <n v="34.340000000000003"/>
    <n v="4"/>
    <n v="9"/>
    <n v="1927"/>
    <x v="0"/>
    <x v="0"/>
    <n v="2030.39"/>
  </r>
  <r>
    <n v="100241"/>
    <d v="2025-05-26T00:00:00"/>
    <d v="2025-05-29T00:00:00"/>
    <d v="2025-06-17T00:00:00"/>
    <s v="C9148"/>
    <x v="3"/>
    <s v="Spain"/>
    <s v="P28601"/>
    <s v="Vitamin Pack"/>
    <s v="Healthcare"/>
    <s v="S863"/>
    <s v="BlueRiver Trading"/>
    <s v="Africa"/>
    <s v="WH 03"/>
    <s v="Dubai"/>
    <x v="2"/>
    <n v="369"/>
    <n v="77.540000000000006"/>
    <n v="28612.26"/>
    <n v="14.74"/>
    <n v="19"/>
    <n v="22"/>
    <n v="2703"/>
    <x v="0"/>
    <x v="0"/>
    <n v="2902.42"/>
  </r>
  <r>
    <n v="100242"/>
    <d v="2025-10-14T00:00:00"/>
    <d v="2025-10-18T00:00:00"/>
    <d v="2025-10-20T00:00:00"/>
    <s v="C8927"/>
    <x v="3"/>
    <s v="France"/>
    <s v="P29702"/>
    <s v="Denim Jeans"/>
    <s v="Apparel"/>
    <s v="S766"/>
    <s v="Zenith Procurement"/>
    <s v="Africa"/>
    <s v="WH 05"/>
    <s v="Frankfurt"/>
    <x v="1"/>
    <n v="43"/>
    <n v="119.26"/>
    <n v="5128.18"/>
    <n v="31.3"/>
    <n v="2"/>
    <n v="6"/>
    <n v="750"/>
    <x v="2"/>
    <x v="0"/>
    <n v="862.77"/>
  </r>
  <r>
    <n v="100243"/>
    <d v="2025-09-20T00:00:00"/>
    <d v="2025-09-25T00:00:00"/>
    <d v="2025-10-03T00:00:00"/>
    <s v="C4929"/>
    <x v="2"/>
    <s v="United States"/>
    <s v="P29149"/>
    <s v="Hand Sanitizer Case"/>
    <s v="Healthcare"/>
    <s v="S116"/>
    <s v="Crescent Logistics"/>
    <s v="North America"/>
    <s v="WH 10"/>
    <s v="Cairo"/>
    <x v="0"/>
    <n v="283"/>
    <n v="89.38"/>
    <n v="25294.54"/>
    <n v="15.18"/>
    <n v="8"/>
    <n v="13"/>
    <n v="2203"/>
    <x v="0"/>
    <x v="0"/>
    <n v="4541.51"/>
  </r>
  <r>
    <n v="100244"/>
    <d v="2024-06-02T00:00:00"/>
    <d v="2024-06-06T00:00:00"/>
    <d v="2024-06-14T00:00:00"/>
    <s v="C4786"/>
    <x v="1"/>
    <s v="Kenya"/>
    <s v="P19256"/>
    <s v="Thermometer"/>
    <s v="Healthcare"/>
    <s v="S204"/>
    <s v="Crescent Logistics"/>
    <s v="Europe"/>
    <s v="WH 10"/>
    <s v="Cairo"/>
    <x v="0"/>
    <n v="398"/>
    <n v="10.95"/>
    <n v="4358.1000000000004"/>
    <n v="23.76"/>
    <n v="8"/>
    <n v="12"/>
    <n v="2601"/>
    <x v="0"/>
    <x v="0"/>
    <n v="525.71"/>
  </r>
  <r>
    <n v="100245"/>
    <d v="2025-10-22T00:00:00"/>
    <d v="2025-10-24T00:00:00"/>
    <d v="2025-10-28T00:00:00"/>
    <s v="C2132"/>
    <x v="1"/>
    <s v="South Africa"/>
    <s v="P90070"/>
    <s v="Bluetooth Speaker"/>
    <s v="Electronics"/>
    <s v="S402"/>
    <s v="Orion Supplies"/>
    <s v="Africa"/>
    <s v="WH 05"/>
    <s v="Frankfurt"/>
    <x v="1"/>
    <n v="336"/>
    <n v="389.88"/>
    <n v="130999.67999999999"/>
    <n v="37.25"/>
    <n v="4"/>
    <n v="6"/>
    <n v="1718"/>
    <x v="2"/>
    <x v="0"/>
    <n v="19178.7"/>
  </r>
  <r>
    <n v="100246"/>
    <d v="2025-09-19T00:00:00"/>
    <d v="2025-09-23T00:00:00"/>
    <d v="2025-10-15T00:00:00"/>
    <s v="C1614"/>
    <x v="1"/>
    <s v="Egypt"/>
    <s v="P23869"/>
    <s v="Vitamin Pack"/>
    <s v="Healthcare"/>
    <s v="S593"/>
    <s v="Pioneer Distribution"/>
    <s v="Africa"/>
    <s v="WH 05"/>
    <s v="Frankfurt"/>
    <x v="2"/>
    <n v="484"/>
    <n v="13.66"/>
    <n v="6611.44"/>
    <n v="12.47"/>
    <n v="22"/>
    <n v="26"/>
    <n v="470"/>
    <x v="0"/>
    <x v="0"/>
    <n v="532.03"/>
  </r>
  <r>
    <n v="100247"/>
    <d v="2024-07-07T00:00:00"/>
    <d v="2024-07-10T00:00:00"/>
    <d v="2024-07-12T00:00:00"/>
    <s v="C4075"/>
    <x v="4"/>
    <s v="Saudi Arabia"/>
    <s v="P71250"/>
    <s v="Bookshelf"/>
    <s v="Furniture"/>
    <s v="S389"/>
    <s v="Pioneer Distribution"/>
    <s v="Asia"/>
    <s v="WH 01"/>
    <s v="Karachi"/>
    <x v="1"/>
    <n v="450"/>
    <n v="183.62"/>
    <n v="82629"/>
    <n v="57.67"/>
    <n v="2"/>
    <n v="5"/>
    <n v="328"/>
    <x v="2"/>
    <x v="0"/>
    <n v="15037.97"/>
  </r>
  <r>
    <n v="100248"/>
    <d v="2025-11-11T00:00:00"/>
    <d v="2025-11-11T00:00:00"/>
    <d v="2025-12-03T00:00:00"/>
    <s v="C6445"/>
    <x v="4"/>
    <s v="Oman"/>
    <s v="P44148"/>
    <s v="Floor Lamp"/>
    <s v="Furniture"/>
    <s v="S924"/>
    <s v="Atlas Sourcing"/>
    <s v="North America"/>
    <s v="WH 10"/>
    <s v="Cairo"/>
    <x v="2"/>
    <n v="147"/>
    <n v="102.17"/>
    <n v="15018.99"/>
    <n v="10.7"/>
    <n v="22"/>
    <n v="22"/>
    <n v="1688"/>
    <x v="0"/>
    <x v="0"/>
    <n v="1748.29"/>
  </r>
  <r>
    <n v="100249"/>
    <d v="2024-02-07T00:00:00"/>
    <d v="2024-02-09T00:00:00"/>
    <d v="2024-03-04T00:00:00"/>
    <s v="C4240"/>
    <x v="2"/>
    <s v="Mexico"/>
    <s v="P36564"/>
    <s v="Hoodie"/>
    <s v="Apparel"/>
    <s v="S442"/>
    <s v="Evergreen Partners"/>
    <s v="Europe"/>
    <s v="WH 06"/>
    <s v="Amsterdam"/>
    <x v="2"/>
    <n v="323"/>
    <n v="43.32"/>
    <n v="13992.36"/>
    <n v="13.91"/>
    <n v="24"/>
    <n v="26"/>
    <n v="2899"/>
    <x v="0"/>
    <x v="0"/>
    <n v="2144.94"/>
  </r>
  <r>
    <n v="100250"/>
    <d v="2025-05-10T00:00:00"/>
    <d v="2025-05-12T00:00:00"/>
    <d v="2025-05-19T00:00:00"/>
    <s v="C6141"/>
    <x v="2"/>
    <s v="United States"/>
    <s v="P38884"/>
    <s v="Office Chair"/>
    <s v="Furniture"/>
    <s v="S409"/>
    <s v="Nova Industrial"/>
    <s v="Middle East"/>
    <s v="WH 04"/>
    <s v="Istanbul"/>
    <x v="0"/>
    <n v="158"/>
    <n v="86.38"/>
    <n v="13648.04"/>
    <n v="16.95"/>
    <n v="7"/>
    <n v="9"/>
    <n v="321"/>
    <x v="0"/>
    <x v="0"/>
    <n v="3169.75"/>
  </r>
  <r>
    <n v="100251"/>
    <d v="2024-09-10T00:00:00"/>
    <d v="2024-09-10T00:00:00"/>
    <d v="2024-09-20T00:00:00"/>
    <s v="C3832"/>
    <x v="0"/>
    <s v="Pakistan"/>
    <s v="P97599"/>
    <s v="Sportswear Set"/>
    <s v="Apparel"/>
    <s v="S535"/>
    <s v="Vertex Manufacturing"/>
    <s v="Middle East"/>
    <s v="WH 04"/>
    <s v="Istanbul"/>
    <x v="2"/>
    <n v="120"/>
    <n v="88.59"/>
    <n v="10630.8"/>
    <n v="10.210000000000001"/>
    <n v="10"/>
    <n v="10"/>
    <n v="3114"/>
    <x v="0"/>
    <x v="0"/>
    <n v="2559.23"/>
  </r>
  <r>
    <n v="100252"/>
    <d v="2024-03-21T00:00:00"/>
    <d v="2024-03-21T00:00:00"/>
    <d v="2024-04-14T00:00:00"/>
    <s v="C5199"/>
    <x v="2"/>
    <s v="Mexico"/>
    <s v="P95774"/>
    <s v="Denim Jeans"/>
    <s v="Apparel"/>
    <s v="S195"/>
    <s v="Crescent Logistics"/>
    <s v="Middle East"/>
    <s v="WH 09"/>
    <s v="Johannesburg"/>
    <x v="2"/>
    <n v="432"/>
    <n v="60.79"/>
    <n v="26261.279999999999"/>
    <n v="15.89"/>
    <n v="24"/>
    <n v="24"/>
    <n v="3222"/>
    <x v="0"/>
    <x v="0"/>
    <n v="7077.13"/>
  </r>
  <r>
    <n v="100253"/>
    <d v="2025-02-21T00:00:00"/>
    <d v="2025-02-23T00:00:00"/>
    <d v="2025-03-07T00:00:00"/>
    <s v="C6260"/>
    <x v="4"/>
    <s v="Qatar"/>
    <s v="P72021"/>
    <s v="Office Chair"/>
    <s v="Furniture"/>
    <s v="S361"/>
    <s v="BlueRiver Trading"/>
    <s v="Middle East"/>
    <s v="WH 09"/>
    <s v="Johannesburg"/>
    <x v="3"/>
    <n v="349"/>
    <n v="343.34"/>
    <n v="119825.66"/>
    <n v="14.2"/>
    <n v="12"/>
    <n v="14"/>
    <n v="1588"/>
    <x v="0"/>
    <x v="0"/>
    <n v="27230.42"/>
  </r>
  <r>
    <n v="100254"/>
    <d v="2024-07-10T00:00:00"/>
    <d v="2024-07-10T00:00:00"/>
    <d v="2024-07-14T00:00:00"/>
    <s v="C4171"/>
    <x v="3"/>
    <s v="France"/>
    <s v="P60719"/>
    <s v="Hand Sanitizer Case"/>
    <s v="Healthcare"/>
    <s v="S963"/>
    <s v="Orion Supplies"/>
    <s v="Asia"/>
    <s v="WH 05"/>
    <s v="Frankfurt"/>
    <x v="3"/>
    <n v="137"/>
    <n v="82.34"/>
    <n v="11280.58"/>
    <n v="14.02"/>
    <n v="4"/>
    <n v="4"/>
    <n v="568"/>
    <x v="1"/>
    <x v="1"/>
    <n v="-242.86"/>
  </r>
  <r>
    <n v="100255"/>
    <d v="2025-12-01T00:00:00"/>
    <d v="2025-12-04T00:00:00"/>
    <d v="2025-12-15T00:00:00"/>
    <s v="C4922"/>
    <x v="1"/>
    <s v="Egypt"/>
    <s v="P80533"/>
    <s v="Socks Pack"/>
    <s v="Apparel"/>
    <s v="S988"/>
    <s v="Orion Supplies"/>
    <s v="Asia"/>
    <s v="WH 07"/>
    <s v="Toronto"/>
    <x v="3"/>
    <n v="490"/>
    <n v="116.37"/>
    <n v="57021.3"/>
    <n v="22.6"/>
    <n v="11"/>
    <n v="14"/>
    <n v="2536"/>
    <x v="0"/>
    <x v="0"/>
    <n v="11179.4"/>
  </r>
  <r>
    <n v="100256"/>
    <d v="2024-08-27T00:00:00"/>
    <d v="2024-09-01T00:00:00"/>
    <d v="2024-09-13T00:00:00"/>
    <s v="C4663"/>
    <x v="2"/>
    <s v="Mexico"/>
    <s v="P14986"/>
    <s v="Sportswear Set"/>
    <s v="Apparel"/>
    <s v="S654"/>
    <s v="Zenith Procurement"/>
    <s v="Asia"/>
    <s v="WH 07"/>
    <s v="Toronto"/>
    <x v="2"/>
    <n v="467"/>
    <n v="98.97"/>
    <n v="46218.99"/>
    <n v="16.53"/>
    <n v="12"/>
    <n v="17"/>
    <n v="3316"/>
    <x v="0"/>
    <x v="0"/>
    <n v="12660.54"/>
  </r>
  <r>
    <n v="100257"/>
    <d v="2025-06-02T00:00:00"/>
    <d v="2025-06-07T00:00:00"/>
    <d v="2025-06-16T00:00:00"/>
    <s v="C8951"/>
    <x v="1"/>
    <s v="Morocco"/>
    <s v="P21254"/>
    <s v="Snack Carton"/>
    <s v="FMCG"/>
    <s v="S694"/>
    <s v="Summit Supply Co"/>
    <s v="North America"/>
    <s v="WH 02"/>
    <s v="Lahore"/>
    <x v="0"/>
    <n v="188"/>
    <n v="5.55"/>
    <n v="1043.4000000000001"/>
    <n v="17.8"/>
    <n v="9"/>
    <n v="14"/>
    <n v="4859"/>
    <x v="0"/>
    <x v="0"/>
    <n v="37.06"/>
  </r>
  <r>
    <n v="100258"/>
    <d v="2024-10-09T00:00:00"/>
    <d v="2024-10-12T00:00:00"/>
    <d v="2024-10-16T00:00:00"/>
    <s v="C9708"/>
    <x v="1"/>
    <s v="Egypt"/>
    <s v="P20808"/>
    <s v="Hand Sanitizer Case"/>
    <s v="Healthcare"/>
    <s v="S945"/>
    <s v="Vertex Manufacturing"/>
    <s v="Africa"/>
    <s v="WH 02"/>
    <s v="Lahore"/>
    <x v="3"/>
    <n v="78"/>
    <n v="13.6"/>
    <n v="1060.8"/>
    <n v="9.32"/>
    <n v="4"/>
    <n v="7"/>
    <n v="3304"/>
    <x v="2"/>
    <x v="0"/>
    <n v="159.46"/>
  </r>
  <r>
    <n v="100259"/>
    <d v="2025-03-25T00:00:00"/>
    <d v="2025-03-30T00:00:00"/>
    <d v="2025-04-23T00:00:00"/>
    <s v="C7432"/>
    <x v="0"/>
    <s v="Malaysia"/>
    <s v="P56220"/>
    <s v="Hoodie"/>
    <s v="Apparel"/>
    <s v="S183"/>
    <s v="Summit Supply Co"/>
    <s v="North America"/>
    <s v="WH 03"/>
    <s v="Dubai"/>
    <x v="2"/>
    <n v="191"/>
    <n v="90.68"/>
    <n v="17319.88"/>
    <n v="11.5"/>
    <n v="24"/>
    <n v="29"/>
    <n v="364"/>
    <x v="0"/>
    <x v="0"/>
    <n v="4321.7299999999996"/>
  </r>
  <r>
    <n v="100260"/>
    <d v="2024-01-29T00:00:00"/>
    <d v="2024-01-30T00:00:00"/>
    <d v="2024-02-23T00:00:00"/>
    <s v="C7361"/>
    <x v="1"/>
    <s v="Morocco"/>
    <s v="P64845"/>
    <s v="Storage Cabinet"/>
    <s v="Furniture"/>
    <s v="S768"/>
    <s v="Orion Supplies"/>
    <s v="Asia"/>
    <s v="WH 01"/>
    <s v="Karachi"/>
    <x v="2"/>
    <n v="211"/>
    <n v="95.6"/>
    <n v="20171.599999999999"/>
    <n v="11.86"/>
    <n v="24"/>
    <n v="25"/>
    <n v="567"/>
    <x v="0"/>
    <x v="0"/>
    <n v="4201.57"/>
  </r>
  <r>
    <n v="100261"/>
    <d v="2025-04-12T00:00:00"/>
    <d v="2025-04-12T00:00:00"/>
    <d v="2025-04-22T00:00:00"/>
    <s v="C8162"/>
    <x v="2"/>
    <s v="Canada"/>
    <s v="P69778"/>
    <s v="Face Mask Box"/>
    <s v="Healthcare"/>
    <s v="S877"/>
    <s v="Crescent Logistics"/>
    <s v="Africa"/>
    <s v="WH 09"/>
    <s v="Johannesburg"/>
    <x v="2"/>
    <n v="107"/>
    <n v="47.61"/>
    <n v="5094.2700000000004"/>
    <n v="9.9700000000000006"/>
    <n v="10"/>
    <n v="10"/>
    <n v="407"/>
    <x v="0"/>
    <x v="0"/>
    <n v="803.44"/>
  </r>
  <r>
    <n v="100262"/>
    <d v="2025-03-14T00:00:00"/>
    <d v="2025-03-16T00:00:00"/>
    <d v="2025-04-07T00:00:00"/>
    <s v="C7163"/>
    <x v="2"/>
    <s v="Mexico"/>
    <s v="P91882"/>
    <s v="Denim Jeans"/>
    <s v="Apparel"/>
    <s v="S652"/>
    <s v="Evergreen Partners"/>
    <s v="Africa"/>
    <s v="WH 05"/>
    <s v="Frankfurt"/>
    <x v="2"/>
    <n v="447"/>
    <n v="86.54"/>
    <n v="38683.379999999997"/>
    <n v="16.170000000000002"/>
    <n v="22"/>
    <n v="24"/>
    <n v="552"/>
    <x v="0"/>
    <x v="0"/>
    <n v="5334.27"/>
  </r>
  <r>
    <n v="100263"/>
    <d v="2025-12-19T00:00:00"/>
    <d v="2025-12-21T00:00:00"/>
    <d v="2025-12-23T00:00:00"/>
    <s v="C8519"/>
    <x v="1"/>
    <s v="Morocco"/>
    <s v="P55800"/>
    <s v="Face Mask Box"/>
    <s v="Healthcare"/>
    <s v="S542"/>
    <s v="Vertex Manufacturing"/>
    <s v="North America"/>
    <s v="WH 08"/>
    <s v="Chicago"/>
    <x v="1"/>
    <n v="109"/>
    <n v="28.46"/>
    <n v="3102.14"/>
    <n v="35.58"/>
    <n v="2"/>
    <n v="4"/>
    <n v="2505"/>
    <x v="2"/>
    <x v="0"/>
    <n v="563.37"/>
  </r>
  <r>
    <n v="100264"/>
    <d v="2024-09-22T00:00:00"/>
    <d v="2024-09-26T00:00:00"/>
    <d v="2024-10-03T00:00:00"/>
    <s v="C2271"/>
    <x v="2"/>
    <s v="Canada"/>
    <s v="P11813"/>
    <s v="Power Bank"/>
    <s v="Electronics"/>
    <s v="S967"/>
    <s v="Vertex Manufacturing"/>
    <s v="North America"/>
    <s v="WH 01"/>
    <s v="Karachi"/>
    <x v="0"/>
    <n v="107"/>
    <n v="205.69"/>
    <n v="22008.83"/>
    <n v="11.49"/>
    <n v="7"/>
    <n v="11"/>
    <n v="333"/>
    <x v="0"/>
    <x v="0"/>
    <n v="4634.08"/>
  </r>
  <r>
    <n v="100265"/>
    <d v="2024-03-23T00:00:00"/>
    <d v="2024-03-23T00:00:00"/>
    <d v="2024-04-05T00:00:00"/>
    <s v="C3093"/>
    <x v="2"/>
    <s v="Mexico"/>
    <s v="P22905"/>
    <s v="Thermometer"/>
    <s v="Healthcare"/>
    <s v="S899"/>
    <s v="Atlas Sourcing"/>
    <s v="Asia"/>
    <s v="WH 10"/>
    <s v="Cairo"/>
    <x v="3"/>
    <n v="271"/>
    <n v="88.11"/>
    <n v="23877.81"/>
    <n v="17.28"/>
    <n v="13"/>
    <n v="13"/>
    <n v="2904"/>
    <x v="0"/>
    <x v="0"/>
    <n v="2669.35"/>
  </r>
  <r>
    <n v="100266"/>
    <d v="2024-12-06T00:00:00"/>
    <d v="2024-12-06T00:00:00"/>
    <d v="2024-12-13T00:00:00"/>
    <s v="C9264"/>
    <x v="3"/>
    <s v="Netherlands"/>
    <s v="P78498"/>
    <s v="Face Mask Box"/>
    <s v="Healthcare"/>
    <s v="S347"/>
    <s v="Crescent Logistics"/>
    <s v="Europe"/>
    <s v="WH 01"/>
    <s v="Karachi"/>
    <x v="3"/>
    <n v="357"/>
    <n v="58.29"/>
    <n v="20809.53"/>
    <n v="14.35"/>
    <n v="7"/>
    <n v="7"/>
    <n v="2624"/>
    <x v="2"/>
    <x v="0"/>
    <n v="1994.25"/>
  </r>
  <r>
    <n v="100267"/>
    <d v="2024-05-30T00:00:00"/>
    <d v="2024-06-02T00:00:00"/>
    <d v="2024-06-04T00:00:00"/>
    <s v="C5164"/>
    <x v="3"/>
    <s v="Germany"/>
    <s v="P15039"/>
    <s v="Bookshelf"/>
    <s v="Furniture"/>
    <s v="S901"/>
    <s v="Evergreen Partners"/>
    <s v="Europe"/>
    <s v="WH 07"/>
    <s v="Toronto"/>
    <x v="0"/>
    <n v="305"/>
    <n v="150.01"/>
    <n v="45753.05"/>
    <n v="15.64"/>
    <n v="2"/>
    <n v="5"/>
    <n v="995"/>
    <x v="2"/>
    <x v="0"/>
    <n v="10400.469999999999"/>
  </r>
  <r>
    <n v="100268"/>
    <d v="2024-10-30T00:00:00"/>
    <d v="2024-10-31T00:00:00"/>
    <d v="2024-11-11T00:00:00"/>
    <s v="C5370"/>
    <x v="4"/>
    <s v="Turkey"/>
    <s v="P15283"/>
    <s v="Face Mask Box"/>
    <s v="Healthcare"/>
    <s v="S542"/>
    <s v="Orion Supplies"/>
    <s v="Europe"/>
    <s v="WH 09"/>
    <s v="Johannesburg"/>
    <x v="2"/>
    <n v="328"/>
    <n v="52.63"/>
    <n v="17262.64"/>
    <n v="14"/>
    <n v="11"/>
    <n v="12"/>
    <n v="3957"/>
    <x v="0"/>
    <x v="0"/>
    <n v="1762.95"/>
  </r>
  <r>
    <n v="100269"/>
    <d v="2025-11-21T00:00:00"/>
    <d v="2025-11-26T00:00:00"/>
    <d v="2025-12-15T00:00:00"/>
    <s v="C8786"/>
    <x v="1"/>
    <s v="Nigeria"/>
    <s v="P18024"/>
    <s v="Storage Cabinet"/>
    <s v="Furniture"/>
    <s v="S394"/>
    <s v="Evergreen Partners"/>
    <s v="North America"/>
    <s v="WH 03"/>
    <s v="Dubai"/>
    <x v="2"/>
    <n v="378"/>
    <n v="308.20999999999998"/>
    <n v="116503.38"/>
    <n v="14.91"/>
    <n v="19"/>
    <n v="24"/>
    <n v="1767"/>
    <x v="1"/>
    <x v="2"/>
    <n v="28642.560000000001"/>
  </r>
  <r>
    <n v="100270"/>
    <d v="2025-07-23T00:00:00"/>
    <d v="2025-07-25T00:00:00"/>
    <d v="2025-08-08T00:00:00"/>
    <s v="C3041"/>
    <x v="1"/>
    <s v="Nigeria"/>
    <s v="P59831"/>
    <s v="Hand Sanitizer Case"/>
    <s v="Healthcare"/>
    <s v="S519"/>
    <s v="Nova Industrial"/>
    <s v="Africa"/>
    <s v="WH 08"/>
    <s v="Chicago"/>
    <x v="3"/>
    <n v="123"/>
    <n v="61.24"/>
    <n v="7532.52"/>
    <n v="10.130000000000001"/>
    <n v="14"/>
    <n v="16"/>
    <n v="1558"/>
    <x v="0"/>
    <x v="0"/>
    <n v="803.46"/>
  </r>
  <r>
    <n v="100271"/>
    <d v="2024-07-03T00:00:00"/>
    <d v="2024-07-07T00:00:00"/>
    <d v="2024-07-20T00:00:00"/>
    <s v="C9326"/>
    <x v="3"/>
    <s v="Italy"/>
    <s v="P64122"/>
    <s v="Hand Sanitizer Case"/>
    <s v="Healthcare"/>
    <s v="S921"/>
    <s v="Atlas Sourcing"/>
    <s v="North America"/>
    <s v="WH 05"/>
    <s v="Frankfurt"/>
    <x v="2"/>
    <n v="97"/>
    <n v="84.02"/>
    <n v="8149.94"/>
    <n v="9.7899999999999991"/>
    <n v="13"/>
    <n v="17"/>
    <n v="3478"/>
    <x v="0"/>
    <x v="0"/>
    <n v="572.88"/>
  </r>
  <r>
    <n v="100272"/>
    <d v="2025-09-05T00:00:00"/>
    <d v="2025-09-10T00:00:00"/>
    <d v="2025-09-24T00:00:00"/>
    <s v="C1644"/>
    <x v="4"/>
    <s v="Qatar"/>
    <s v="P45529"/>
    <s v="Bookshelf"/>
    <s v="Furniture"/>
    <s v="S959"/>
    <s v="Summit Supply Co"/>
    <s v="North America"/>
    <s v="WH 05"/>
    <s v="Frankfurt"/>
    <x v="2"/>
    <n v="30"/>
    <n v="271.5"/>
    <n v="8145"/>
    <n v="8.57"/>
    <n v="14"/>
    <n v="19"/>
    <n v="1669"/>
    <x v="0"/>
    <x v="0"/>
    <n v="979.21"/>
  </r>
  <r>
    <n v="100273"/>
    <d v="2024-10-09T00:00:00"/>
    <d v="2024-10-10T00:00:00"/>
    <d v="2024-10-18T00:00:00"/>
    <s v="C1060"/>
    <x v="1"/>
    <s v="Morocco"/>
    <s v="P36489"/>
    <s v="Floor Lamp"/>
    <s v="Furniture"/>
    <s v="S151"/>
    <s v="Zenith Procurement"/>
    <s v="Europe"/>
    <s v="WH 05"/>
    <s v="Frankfurt"/>
    <x v="0"/>
    <n v="353"/>
    <n v="284.68"/>
    <n v="100492.04"/>
    <n v="22.48"/>
    <n v="8"/>
    <n v="9"/>
    <n v="1384"/>
    <x v="0"/>
    <x v="0"/>
    <n v="24680.2"/>
  </r>
  <r>
    <n v="100274"/>
    <d v="2024-06-25T00:00:00"/>
    <d v="2024-06-26T00:00:00"/>
    <d v="2024-07-04T00:00:00"/>
    <s v="C8024"/>
    <x v="2"/>
    <s v="Mexico"/>
    <s v="P10136"/>
    <s v="Wireless Earbuds"/>
    <s v="Electronics"/>
    <s v="S105"/>
    <s v="Pioneer Distribution"/>
    <s v="North America"/>
    <s v="WH 08"/>
    <s v="Chicago"/>
    <x v="0"/>
    <n v="118"/>
    <n v="256.22000000000003"/>
    <n v="30233.96"/>
    <n v="11.72"/>
    <n v="8"/>
    <n v="9"/>
    <n v="711"/>
    <x v="0"/>
    <x v="0"/>
    <n v="6150.35"/>
  </r>
  <r>
    <n v="100275"/>
    <d v="2025-02-17T00:00:00"/>
    <d v="2025-02-17T00:00:00"/>
    <d v="2025-03-13T00:00:00"/>
    <s v="C2700"/>
    <x v="3"/>
    <s v="Sweden"/>
    <s v="P33199"/>
    <s v="Hand Sanitizer Case"/>
    <s v="Healthcare"/>
    <s v="S657"/>
    <s v="Summit Supply Co"/>
    <s v="North America"/>
    <s v="WH 03"/>
    <s v="Dubai"/>
    <x v="2"/>
    <n v="381"/>
    <n v="26.83"/>
    <n v="10222.23"/>
    <n v="14.96"/>
    <n v="24"/>
    <n v="24"/>
    <n v="3518"/>
    <x v="1"/>
    <x v="1"/>
    <n v="-133.58000000000001"/>
  </r>
  <r>
    <n v="100276"/>
    <d v="2025-10-23T00:00:00"/>
    <d v="2025-10-28T00:00:00"/>
    <d v="2025-10-30T00:00:00"/>
    <s v="C5733"/>
    <x v="1"/>
    <s v="Morocco"/>
    <s v="P40954"/>
    <s v="Toothpaste Box"/>
    <s v="FMCG"/>
    <s v="S515"/>
    <s v="Orion Supplies"/>
    <s v="Africa"/>
    <s v="WH 04"/>
    <s v="Istanbul"/>
    <x v="0"/>
    <n v="435"/>
    <n v="44.67"/>
    <n v="19431.45"/>
    <n v="18.38"/>
    <n v="2"/>
    <n v="7"/>
    <n v="1973"/>
    <x v="2"/>
    <x v="0"/>
    <n v="1252.32"/>
  </r>
  <r>
    <n v="100277"/>
    <d v="2024-01-11T00:00:00"/>
    <d v="2024-01-16T00:00:00"/>
    <d v="2024-02-08T00:00:00"/>
    <s v="C1146"/>
    <x v="0"/>
    <s v="Pakistan"/>
    <s v="P57221"/>
    <s v="Bookshelf"/>
    <s v="Furniture"/>
    <s v="S481"/>
    <s v="Pioneer Distribution"/>
    <s v="Asia"/>
    <s v="WH 03"/>
    <s v="Dubai"/>
    <x v="2"/>
    <n v="421"/>
    <n v="217.29"/>
    <n v="91479.09"/>
    <n v="11.62"/>
    <n v="23"/>
    <n v="28"/>
    <n v="1582"/>
    <x v="1"/>
    <x v="3"/>
    <n v="21999.93"/>
  </r>
  <r>
    <n v="100278"/>
    <d v="2024-07-13T00:00:00"/>
    <d v="2024-07-14T00:00:00"/>
    <d v="2024-07-23T00:00:00"/>
    <s v="C9640"/>
    <x v="1"/>
    <s v="Kenya"/>
    <s v="P40049"/>
    <s v="Floor Lamp"/>
    <s v="Furniture"/>
    <s v="S598"/>
    <s v="Pioneer Distribution"/>
    <s v="Europe"/>
    <s v="WH 05"/>
    <s v="Frankfurt"/>
    <x v="0"/>
    <n v="150"/>
    <n v="309.86"/>
    <n v="46479"/>
    <n v="16.73"/>
    <n v="9"/>
    <n v="10"/>
    <n v="142"/>
    <x v="0"/>
    <x v="0"/>
    <n v="10064.66"/>
  </r>
  <r>
    <n v="100279"/>
    <d v="2024-10-21T00:00:00"/>
    <d v="2024-10-22T00:00:00"/>
    <d v="2024-10-23T00:00:00"/>
    <s v="C6126"/>
    <x v="2"/>
    <s v="Mexico"/>
    <s v="P40009"/>
    <s v="Bluetooth Speaker"/>
    <s v="Electronics"/>
    <s v="S916"/>
    <s v="Vertex Manufacturing"/>
    <s v="Europe"/>
    <s v="WH 09"/>
    <s v="Johannesburg"/>
    <x v="1"/>
    <n v="112"/>
    <n v="223.52"/>
    <n v="25034.240000000002"/>
    <n v="35.770000000000003"/>
    <n v="1"/>
    <n v="2"/>
    <n v="1647"/>
    <x v="2"/>
    <x v="0"/>
    <n v="2208.96"/>
  </r>
  <r>
    <n v="100280"/>
    <d v="2024-07-25T00:00:00"/>
    <d v="2024-07-29T00:00:00"/>
    <d v="2024-08-04T00:00:00"/>
    <s v="C4893"/>
    <x v="3"/>
    <s v="Spain"/>
    <s v="P52056"/>
    <s v="Shampoo Pack"/>
    <s v="FMCG"/>
    <s v="S731"/>
    <s v="Evergreen Partners"/>
    <s v="Middle East"/>
    <s v="WH 03"/>
    <s v="Dubai"/>
    <x v="0"/>
    <n v="321"/>
    <n v="42.63"/>
    <n v="13684.23"/>
    <n v="21.57"/>
    <n v="6"/>
    <n v="10"/>
    <n v="804"/>
    <x v="0"/>
    <x v="0"/>
    <n v="889.26"/>
  </r>
  <r>
    <n v="100281"/>
    <d v="2024-07-17T00:00:00"/>
    <d v="2024-07-22T00:00:00"/>
    <d v="2024-07-27T00:00:00"/>
    <s v="C6057"/>
    <x v="0"/>
    <s v="Pakistan"/>
    <s v="P14994"/>
    <s v="Socks Pack"/>
    <s v="Apparel"/>
    <s v="S238"/>
    <s v="Vertex Manufacturing"/>
    <s v="Asia"/>
    <s v="WH 06"/>
    <s v="Amsterdam"/>
    <x v="1"/>
    <n v="190"/>
    <n v="55.07"/>
    <n v="10463.299999999999"/>
    <n v="30.24"/>
    <n v="5"/>
    <n v="10"/>
    <n v="2254"/>
    <x v="0"/>
    <x v="0"/>
    <n v="1190.79"/>
  </r>
  <r>
    <n v="100282"/>
    <d v="2025-12-16T00:00:00"/>
    <d v="2025-12-16T00:00:00"/>
    <d v="2025-12-20T00:00:00"/>
    <s v="C5780"/>
    <x v="4"/>
    <s v="Turkey"/>
    <s v="P46945"/>
    <s v="Face Mask Box"/>
    <s v="Healthcare"/>
    <s v="S933"/>
    <s v="Crescent Logistics"/>
    <s v="Africa"/>
    <s v="WH 08"/>
    <s v="Chicago"/>
    <x v="1"/>
    <n v="342"/>
    <n v="73.91"/>
    <n v="25277.22"/>
    <n v="50.67"/>
    <n v="4"/>
    <n v="4"/>
    <n v="2582"/>
    <x v="2"/>
    <x v="0"/>
    <n v="1859.5"/>
  </r>
  <r>
    <n v="100283"/>
    <d v="2024-01-03T00:00:00"/>
    <d v="2024-01-08T00:00:00"/>
    <d v="2024-01-11T00:00:00"/>
    <s v="C6626"/>
    <x v="3"/>
    <s v="Sweden"/>
    <s v="P34123"/>
    <s v="Wireless Earbuds"/>
    <s v="Electronics"/>
    <s v="S983"/>
    <s v="Crescent Logistics"/>
    <s v="Middle East"/>
    <s v="WH 05"/>
    <s v="Frankfurt"/>
    <x v="1"/>
    <n v="340"/>
    <n v="316.12"/>
    <n v="107480.8"/>
    <n v="50.54"/>
    <n v="3"/>
    <n v="8"/>
    <n v="668"/>
    <x v="0"/>
    <x v="0"/>
    <n v="21057.77"/>
  </r>
  <r>
    <n v="100284"/>
    <d v="2024-12-13T00:00:00"/>
    <d v="2024-12-16T00:00:00"/>
    <d v="2024-12-27T00:00:00"/>
    <s v="C6167"/>
    <x v="0"/>
    <s v="China"/>
    <s v="P31639"/>
    <s v="Hoodie"/>
    <s v="Apparel"/>
    <s v="S300"/>
    <s v="Vertex Manufacturing"/>
    <s v="Europe"/>
    <s v="WH 03"/>
    <s v="Dubai"/>
    <x v="2"/>
    <n v="259"/>
    <n v="70.28"/>
    <n v="18202.52"/>
    <n v="12.74"/>
    <n v="11"/>
    <n v="14"/>
    <n v="2003"/>
    <x v="0"/>
    <x v="0"/>
    <n v="2318.36"/>
  </r>
  <r>
    <n v="100285"/>
    <d v="2025-12-04T00:00:00"/>
    <d v="2025-12-07T00:00:00"/>
    <d v="2025-12-21T00:00:00"/>
    <s v="C3942"/>
    <x v="4"/>
    <s v="Turkey"/>
    <s v="P44693"/>
    <s v="T Shirt Bundle"/>
    <s v="Apparel"/>
    <s v="S541"/>
    <s v="Evergreen Partners"/>
    <s v="Asia"/>
    <s v="WH 03"/>
    <s v="Dubai"/>
    <x v="3"/>
    <n v="410"/>
    <n v="38.409999999999997"/>
    <n v="15748.1"/>
    <n v="20.66"/>
    <n v="14"/>
    <n v="17"/>
    <n v="1140"/>
    <x v="0"/>
    <x v="0"/>
    <n v="4354.57"/>
  </r>
  <r>
    <n v="100286"/>
    <d v="2025-04-14T00:00:00"/>
    <d v="2025-04-19T00:00:00"/>
    <d v="2025-05-08T00:00:00"/>
    <s v="C4516"/>
    <x v="4"/>
    <s v="Qatar"/>
    <s v="P49178"/>
    <s v="Shampoo Pack"/>
    <s v="FMCG"/>
    <s v="S153"/>
    <s v="Nova Industrial"/>
    <s v="Middle East"/>
    <s v="WH 04"/>
    <s v="Istanbul"/>
    <x v="2"/>
    <n v="25"/>
    <n v="14.1"/>
    <n v="352.5"/>
    <n v="6.28"/>
    <n v="19"/>
    <n v="24"/>
    <n v="1254"/>
    <x v="0"/>
    <x v="0"/>
    <n v="44.54"/>
  </r>
  <r>
    <n v="100287"/>
    <d v="2024-12-01T00:00:00"/>
    <d v="2024-12-01T00:00:00"/>
    <d v="2024-12-14T00:00:00"/>
    <s v="C7539"/>
    <x v="2"/>
    <s v="Canada"/>
    <s v="P59522"/>
    <s v="Socks Pack"/>
    <s v="Apparel"/>
    <s v="S957"/>
    <s v="Vertex Manufacturing"/>
    <s v="Asia"/>
    <s v="WH 05"/>
    <s v="Frankfurt"/>
    <x v="3"/>
    <n v="288"/>
    <n v="82.55"/>
    <n v="23774.400000000001"/>
    <n v="17.690000000000001"/>
    <n v="13"/>
    <n v="13"/>
    <n v="2933"/>
    <x v="0"/>
    <x v="0"/>
    <n v="4895.3"/>
  </r>
  <r>
    <n v="100288"/>
    <d v="2024-08-09T00:00:00"/>
    <d v="2024-08-13T00:00:00"/>
    <d v="2024-08-14T00:00:00"/>
    <s v="C7111"/>
    <x v="3"/>
    <s v="Germany"/>
    <s v="P47019"/>
    <s v="Power Bank"/>
    <s v="Electronics"/>
    <s v="S477"/>
    <s v="Nova Industrial"/>
    <s v="Europe"/>
    <s v="WH 07"/>
    <s v="Toronto"/>
    <x v="1"/>
    <n v="119"/>
    <n v="145.30000000000001"/>
    <n v="17290.7"/>
    <n v="26.83"/>
    <n v="1"/>
    <n v="5"/>
    <n v="917"/>
    <x v="2"/>
    <x v="0"/>
    <n v="1509.27"/>
  </r>
  <r>
    <n v="100289"/>
    <d v="2024-07-25T00:00:00"/>
    <d v="2024-07-28T00:00:00"/>
    <d v="2024-08-01T00:00:00"/>
    <s v="C7483"/>
    <x v="0"/>
    <s v="China"/>
    <s v="P10203"/>
    <s v="Hoodie"/>
    <s v="Apparel"/>
    <s v="S260"/>
    <s v="Vertex Manufacturing"/>
    <s v="Europe"/>
    <s v="WH 04"/>
    <s v="Istanbul"/>
    <x v="1"/>
    <n v="37"/>
    <n v="33.9"/>
    <n v="1254.3"/>
    <n v="30.91"/>
    <n v="4"/>
    <n v="7"/>
    <n v="2772"/>
    <x v="2"/>
    <x v="0"/>
    <n v="317.39999999999998"/>
  </r>
  <r>
    <n v="100290"/>
    <d v="2024-04-29T00:00:00"/>
    <d v="2024-05-04T00:00:00"/>
    <d v="2024-05-15T00:00:00"/>
    <s v="C3103"/>
    <x v="4"/>
    <s v="Saudi Arabia"/>
    <s v="P75901"/>
    <s v="Storage Cabinet"/>
    <s v="Furniture"/>
    <s v="S798"/>
    <s v="Zenith Procurement"/>
    <s v="Middle East"/>
    <s v="WH 09"/>
    <s v="Johannesburg"/>
    <x v="2"/>
    <n v="241"/>
    <n v="268.23"/>
    <n v="64643.43"/>
    <n v="9.19"/>
    <n v="11"/>
    <n v="16"/>
    <n v="504"/>
    <x v="0"/>
    <x v="0"/>
    <n v="16486.48"/>
  </r>
  <r>
    <n v="100291"/>
    <d v="2024-06-30T00:00:00"/>
    <d v="2024-07-04T00:00:00"/>
    <d v="2024-07-18T00:00:00"/>
    <s v="C9490"/>
    <x v="1"/>
    <s v="Kenya"/>
    <s v="P43724"/>
    <s v="Detergent Bag"/>
    <s v="FMCG"/>
    <s v="S898"/>
    <s v="BlueRiver Trading"/>
    <s v="Africa"/>
    <s v="WH 08"/>
    <s v="Chicago"/>
    <x v="3"/>
    <n v="100"/>
    <n v="41.3"/>
    <n v="4130"/>
    <n v="9.7200000000000006"/>
    <n v="14"/>
    <n v="18"/>
    <n v="2805"/>
    <x v="1"/>
    <x v="1"/>
    <n v="-82.97"/>
  </r>
  <r>
    <n v="100292"/>
    <d v="2025-04-03T00:00:00"/>
    <d v="2025-04-05T00:00:00"/>
    <d v="2025-04-10T00:00:00"/>
    <s v="C7644"/>
    <x v="0"/>
    <s v="Indonesia"/>
    <s v="P42933"/>
    <s v="Bluetooth Speaker"/>
    <s v="Electronics"/>
    <s v="S514"/>
    <s v="Summit Supply Co"/>
    <s v="Africa"/>
    <s v="WH 04"/>
    <s v="Istanbul"/>
    <x v="1"/>
    <n v="471"/>
    <n v="417.48"/>
    <n v="196633.08"/>
    <n v="59.03"/>
    <n v="5"/>
    <n v="7"/>
    <n v="1506"/>
    <x v="1"/>
    <x v="2"/>
    <n v="38716.370000000003"/>
  </r>
  <r>
    <n v="100293"/>
    <d v="2024-12-20T00:00:00"/>
    <d v="2024-12-22T00:00:00"/>
    <d v="2025-01-16T00:00:00"/>
    <s v="C1067"/>
    <x v="3"/>
    <s v="Italy"/>
    <s v="P85324"/>
    <s v="Face Mask Box"/>
    <s v="Healthcare"/>
    <s v="S640"/>
    <s v="BlueRiver Trading"/>
    <s v="Europe"/>
    <s v="WH 10"/>
    <s v="Cairo"/>
    <x v="2"/>
    <n v="392"/>
    <n v="68.11"/>
    <n v="26699.119999999999"/>
    <n v="11.23"/>
    <n v="25"/>
    <n v="27"/>
    <n v="3721"/>
    <x v="0"/>
    <x v="0"/>
    <n v="2652.11"/>
  </r>
  <r>
    <n v="100294"/>
    <d v="2025-10-12T00:00:00"/>
    <d v="2025-10-17T00:00:00"/>
    <d v="2025-10-22T00:00:00"/>
    <s v="C8876"/>
    <x v="0"/>
    <s v="Indonesia"/>
    <s v="P78798"/>
    <s v="Office Chair"/>
    <s v="Furniture"/>
    <s v="S414"/>
    <s v="Pioneer Distribution"/>
    <s v="Europe"/>
    <s v="WH 09"/>
    <s v="Johannesburg"/>
    <x v="3"/>
    <n v="398"/>
    <n v="348.65"/>
    <n v="138762.70000000001"/>
    <n v="20.36"/>
    <n v="5"/>
    <n v="10"/>
    <n v="1635"/>
    <x v="0"/>
    <x v="0"/>
    <n v="32507.84"/>
  </r>
  <r>
    <n v="100295"/>
    <d v="2025-12-15T00:00:00"/>
    <d v="2025-12-17T00:00:00"/>
    <d v="2025-12-22T00:00:00"/>
    <s v="C7837"/>
    <x v="4"/>
    <s v="Turkey"/>
    <s v="P73185"/>
    <s v="Router"/>
    <s v="Electronics"/>
    <s v="S987"/>
    <s v="Pioneer Distribution"/>
    <s v="North America"/>
    <s v="WH 01"/>
    <s v="Karachi"/>
    <x v="3"/>
    <n v="480"/>
    <n v="420.77"/>
    <n v="201969.6"/>
    <n v="22.36"/>
    <n v="5"/>
    <n v="7"/>
    <n v="989"/>
    <x v="2"/>
    <x v="0"/>
    <n v="35847.24"/>
  </r>
  <r>
    <n v="100296"/>
    <d v="2025-04-02T00:00:00"/>
    <d v="2025-04-07T00:00:00"/>
    <d v="2025-04-13T00:00:00"/>
    <s v="C7982"/>
    <x v="2"/>
    <s v="United States"/>
    <s v="P49104"/>
    <s v="Detergent Bag"/>
    <s v="FMCG"/>
    <s v="S754"/>
    <s v="BlueRiver Trading"/>
    <s v="Asia"/>
    <s v="WH 07"/>
    <s v="Toronto"/>
    <x v="3"/>
    <n v="113"/>
    <n v="36.729999999999997"/>
    <n v="4150.49"/>
    <n v="13.44"/>
    <n v="6"/>
    <n v="11"/>
    <n v="2049"/>
    <x v="0"/>
    <x v="0"/>
    <n v="519.4"/>
  </r>
  <r>
    <n v="100297"/>
    <d v="2025-01-09T00:00:00"/>
    <d v="2025-01-11T00:00:00"/>
    <d v="2025-01-14T00:00:00"/>
    <s v="C2319"/>
    <x v="0"/>
    <s v="Indonesia"/>
    <s v="P76677"/>
    <s v="Bluetooth Speaker"/>
    <s v="Electronics"/>
    <s v="S631"/>
    <s v="Pioneer Distribution"/>
    <s v="Asia"/>
    <s v="WH 05"/>
    <s v="Frankfurt"/>
    <x v="1"/>
    <n v="231"/>
    <n v="414.98"/>
    <n v="95860.38"/>
    <n v="32.21"/>
    <n v="3"/>
    <n v="5"/>
    <n v="1229"/>
    <x v="2"/>
    <x v="0"/>
    <n v="9699.2199999999993"/>
  </r>
  <r>
    <n v="100298"/>
    <d v="2025-03-13T00:00:00"/>
    <d v="2025-03-14T00:00:00"/>
    <d v="2025-03-28T00:00:00"/>
    <s v="C7055"/>
    <x v="3"/>
    <s v="Sweden"/>
    <s v="P86949"/>
    <s v="Bottled Water Case"/>
    <s v="FMCG"/>
    <s v="S759"/>
    <s v="Zenith Procurement"/>
    <s v="Middle East"/>
    <s v="WH 08"/>
    <s v="Chicago"/>
    <x v="3"/>
    <n v="17"/>
    <n v="7.99"/>
    <n v="135.83000000000001"/>
    <n v="11.11"/>
    <n v="14"/>
    <n v="15"/>
    <n v="2687"/>
    <x v="0"/>
    <x v="0"/>
    <n v="7.32"/>
  </r>
  <r>
    <n v="100299"/>
    <d v="2024-02-14T00:00:00"/>
    <d v="2024-02-16T00:00:00"/>
    <d v="2024-02-27T00:00:00"/>
    <s v="C8382"/>
    <x v="4"/>
    <s v="United Arab Emirates"/>
    <s v="P98151"/>
    <s v="First Aid Kit"/>
    <s v="Healthcare"/>
    <s v="S355"/>
    <s v="Zenith Procurement"/>
    <s v="Asia"/>
    <s v="WH 03"/>
    <s v="Dubai"/>
    <x v="3"/>
    <n v="82"/>
    <n v="89.77"/>
    <n v="7361.14"/>
    <n v="12.68"/>
    <n v="11"/>
    <n v="13"/>
    <n v="2459"/>
    <x v="0"/>
    <x v="0"/>
    <n v="1079.68"/>
  </r>
  <r>
    <n v="100300"/>
    <d v="2024-07-25T00:00:00"/>
    <d v="2024-07-29T00:00:00"/>
    <d v="2024-08-05T00:00:00"/>
    <s v="C6750"/>
    <x v="1"/>
    <s v="Kenya"/>
    <s v="P88768"/>
    <s v="Shampoo Pack"/>
    <s v="FMCG"/>
    <s v="S884"/>
    <s v="Orion Supplies"/>
    <s v="North America"/>
    <s v="WH 08"/>
    <s v="Chicago"/>
    <x v="3"/>
    <n v="73"/>
    <n v="45.14"/>
    <n v="3295.22"/>
    <n v="12.47"/>
    <n v="7"/>
    <n v="11"/>
    <n v="1224"/>
    <x v="0"/>
    <x v="0"/>
    <n v="182.72"/>
  </r>
  <r>
    <n v="100301"/>
    <d v="2024-10-02T00:00:00"/>
    <d v="2024-10-03T00:00:00"/>
    <d v="2024-10-12T00:00:00"/>
    <s v="C7628"/>
    <x v="1"/>
    <s v="Egypt"/>
    <s v="P29539"/>
    <s v="Toothpaste Box"/>
    <s v="FMCG"/>
    <s v="S998"/>
    <s v="Pioneer Distribution"/>
    <s v="North America"/>
    <s v="WH 03"/>
    <s v="Dubai"/>
    <x v="3"/>
    <n v="302"/>
    <n v="39.17"/>
    <n v="11829.34"/>
    <n v="18.03"/>
    <n v="9"/>
    <n v="10"/>
    <n v="883"/>
    <x v="0"/>
    <x v="0"/>
    <n v="1801.06"/>
  </r>
  <r>
    <n v="100302"/>
    <d v="2024-04-02T00:00:00"/>
    <d v="2024-04-07T00:00:00"/>
    <d v="2024-04-11T00:00:00"/>
    <s v="C8587"/>
    <x v="3"/>
    <s v="Poland"/>
    <s v="P67980"/>
    <s v="Bluetooth Speaker"/>
    <s v="Electronics"/>
    <s v="S112"/>
    <s v="Evergreen Partners"/>
    <s v="Africa"/>
    <s v="WH 01"/>
    <s v="Karachi"/>
    <x v="1"/>
    <n v="489"/>
    <n v="440.4"/>
    <n v="215355.6"/>
    <n v="60.2"/>
    <n v="4"/>
    <n v="9"/>
    <n v="1159"/>
    <x v="0"/>
    <x v="0"/>
    <n v="19474.099999999999"/>
  </r>
  <r>
    <n v="100303"/>
    <d v="2025-01-10T00:00:00"/>
    <d v="2025-01-15T00:00:00"/>
    <d v="2025-01-26T00:00:00"/>
    <s v="C3011"/>
    <x v="3"/>
    <s v="Germany"/>
    <s v="P13373"/>
    <s v="Router"/>
    <s v="Electronics"/>
    <s v="S195"/>
    <s v="Orion Supplies"/>
    <s v="Middle East"/>
    <s v="WH 10"/>
    <s v="Cairo"/>
    <x v="2"/>
    <n v="199"/>
    <n v="113.49"/>
    <n v="22584.51"/>
    <n v="11.65"/>
    <n v="11"/>
    <n v="16"/>
    <n v="535"/>
    <x v="0"/>
    <x v="0"/>
    <n v="640.9"/>
  </r>
  <r>
    <n v="100304"/>
    <d v="2024-12-08T00:00:00"/>
    <d v="2024-12-08T00:00:00"/>
    <d v="2024-12-10T00:00:00"/>
    <s v="C8657"/>
    <x v="3"/>
    <s v="Poland"/>
    <s v="P40134"/>
    <s v="Power Bank"/>
    <s v="Electronics"/>
    <s v="S205"/>
    <s v="Pioneer Distribution"/>
    <s v="Europe"/>
    <s v="WH 09"/>
    <s v="Johannesburg"/>
    <x v="0"/>
    <n v="190"/>
    <n v="223.26"/>
    <n v="42419.4"/>
    <n v="13.23"/>
    <n v="2"/>
    <n v="2"/>
    <n v="826"/>
    <x v="2"/>
    <x v="0"/>
    <n v="6630.21"/>
  </r>
  <r>
    <n v="100305"/>
    <d v="2025-02-02T00:00:00"/>
    <d v="2025-02-03T00:00:00"/>
    <d v="2025-02-28T00:00:00"/>
    <s v="C4103"/>
    <x v="0"/>
    <s v="India"/>
    <s v="P96055"/>
    <s v="Hand Sanitizer Case"/>
    <s v="Healthcare"/>
    <s v="S759"/>
    <s v="Atlas Sourcing"/>
    <s v="Africa"/>
    <s v="WH 06"/>
    <s v="Amsterdam"/>
    <x v="2"/>
    <n v="227"/>
    <n v="24"/>
    <n v="5448"/>
    <n v="12.16"/>
    <n v="25"/>
    <n v="26"/>
    <n v="1044"/>
    <x v="1"/>
    <x v="3"/>
    <n v="718.06"/>
  </r>
  <r>
    <n v="100306"/>
    <d v="2024-07-29T00:00:00"/>
    <d v="2024-08-01T00:00:00"/>
    <d v="2024-08-02T00:00:00"/>
    <s v="C8185"/>
    <x v="3"/>
    <s v="Italy"/>
    <s v="P21151"/>
    <s v="Detergent Bag"/>
    <s v="FMCG"/>
    <s v="S538"/>
    <s v="Atlas Sourcing"/>
    <s v="Middle East"/>
    <s v="WH 05"/>
    <s v="Frankfurt"/>
    <x v="1"/>
    <n v="304"/>
    <n v="25.43"/>
    <n v="7730.72"/>
    <n v="48.21"/>
    <n v="1"/>
    <n v="4"/>
    <n v="3177"/>
    <x v="2"/>
    <x v="0"/>
    <n v="1232.6500000000001"/>
  </r>
  <r>
    <n v="100307"/>
    <d v="2025-01-24T00:00:00"/>
    <d v="2025-01-26T00:00:00"/>
    <d v="2025-01-31T00:00:00"/>
    <s v="C2881"/>
    <x v="0"/>
    <s v="Indonesia"/>
    <s v="P43037"/>
    <s v="First Aid Kit"/>
    <s v="Healthcare"/>
    <s v="S706"/>
    <s v="Evergreen Partners"/>
    <s v="Africa"/>
    <s v="WH 08"/>
    <s v="Chicago"/>
    <x v="1"/>
    <n v="319"/>
    <n v="26.85"/>
    <n v="8565.15"/>
    <n v="49.18"/>
    <n v="5"/>
    <n v="7"/>
    <n v="1774"/>
    <x v="2"/>
    <x v="0"/>
    <n v="861.5"/>
  </r>
  <r>
    <n v="100308"/>
    <d v="2024-04-29T00:00:00"/>
    <d v="2024-05-02T00:00:00"/>
    <d v="2024-05-08T00:00:00"/>
    <s v="C8579"/>
    <x v="2"/>
    <s v="Mexico"/>
    <s v="P60818"/>
    <s v="Storage Cabinet"/>
    <s v="Furniture"/>
    <s v="S336"/>
    <s v="Zenith Procurement"/>
    <s v="Middle East"/>
    <s v="WH 07"/>
    <s v="Toronto"/>
    <x v="0"/>
    <n v="255"/>
    <n v="295.97000000000003"/>
    <n v="75472.350000000006"/>
    <n v="19.7"/>
    <n v="6"/>
    <n v="9"/>
    <n v="455"/>
    <x v="0"/>
    <x v="0"/>
    <n v="15784.4"/>
  </r>
  <r>
    <n v="100309"/>
    <d v="2024-01-06T00:00:00"/>
    <d v="2024-01-11T00:00:00"/>
    <d v="2024-02-05T00:00:00"/>
    <s v="C5482"/>
    <x v="2"/>
    <s v="Canada"/>
    <s v="P24079"/>
    <s v="Detergent Bag"/>
    <s v="FMCG"/>
    <s v="S798"/>
    <s v="Pioneer Distribution"/>
    <s v="Europe"/>
    <s v="WH 04"/>
    <s v="Istanbul"/>
    <x v="2"/>
    <n v="85"/>
    <n v="30.06"/>
    <n v="2555.1"/>
    <n v="9.57"/>
    <n v="25"/>
    <n v="30"/>
    <n v="648"/>
    <x v="0"/>
    <x v="0"/>
    <n v="341.65"/>
  </r>
  <r>
    <n v="100310"/>
    <d v="2025-12-25T00:00:00"/>
    <d v="2025-12-26T00:00:00"/>
    <d v="2025-12-30T00:00:00"/>
    <s v="C7531"/>
    <x v="3"/>
    <s v="Sweden"/>
    <s v="P63772"/>
    <s v="Office Chair"/>
    <s v="Furniture"/>
    <s v="S656"/>
    <s v="Summit Supply Co"/>
    <s v="Middle East"/>
    <s v="WH 07"/>
    <s v="Toronto"/>
    <x v="1"/>
    <n v="136"/>
    <n v="226.09"/>
    <n v="30748.240000000002"/>
    <n v="37.32"/>
    <n v="4"/>
    <n v="5"/>
    <n v="325"/>
    <x v="2"/>
    <x v="0"/>
    <n v="4958.0200000000004"/>
  </r>
  <r>
    <n v="100311"/>
    <d v="2024-09-29T00:00:00"/>
    <d v="2024-09-30T00:00:00"/>
    <d v="2024-10-17T00:00:00"/>
    <s v="C5204"/>
    <x v="4"/>
    <s v="Saudi Arabia"/>
    <s v="P87485"/>
    <s v="Denim Jeans"/>
    <s v="Apparel"/>
    <s v="S427"/>
    <s v="Zenith Procurement"/>
    <s v="Asia"/>
    <s v="WH 08"/>
    <s v="Chicago"/>
    <x v="2"/>
    <n v="273"/>
    <n v="111.7"/>
    <n v="30494.1"/>
    <n v="12.99"/>
    <n v="17"/>
    <n v="18"/>
    <n v="1284"/>
    <x v="0"/>
    <x v="0"/>
    <n v="5880.3"/>
  </r>
  <r>
    <n v="100312"/>
    <d v="2024-09-28T00:00:00"/>
    <d v="2024-09-29T00:00:00"/>
    <d v="2024-10-01T00:00:00"/>
    <s v="C4357"/>
    <x v="0"/>
    <s v="Indonesia"/>
    <s v="P76406"/>
    <s v="Shampoo Pack"/>
    <s v="FMCG"/>
    <s v="S112"/>
    <s v="Nova Industrial"/>
    <s v="Middle East"/>
    <s v="WH 10"/>
    <s v="Cairo"/>
    <x v="1"/>
    <n v="105"/>
    <n v="21.91"/>
    <n v="2300.5500000000002"/>
    <n v="35.32"/>
    <n v="2"/>
    <n v="3"/>
    <n v="1417"/>
    <x v="2"/>
    <x v="0"/>
    <n v="281.39999999999998"/>
  </r>
  <r>
    <n v="100313"/>
    <d v="2025-09-15T00:00:00"/>
    <d v="2025-09-15T00:00:00"/>
    <d v="2025-09-24T00:00:00"/>
    <s v="C1142"/>
    <x v="0"/>
    <s v="India"/>
    <s v="P41923"/>
    <s v="Thermometer"/>
    <s v="Healthcare"/>
    <s v="S813"/>
    <s v="Atlas Sourcing"/>
    <s v="Middle East"/>
    <s v="WH 04"/>
    <s v="Istanbul"/>
    <x v="0"/>
    <n v="373"/>
    <n v="49.1"/>
    <n v="18314.3"/>
    <n v="23.05"/>
    <n v="9"/>
    <n v="9"/>
    <n v="2631"/>
    <x v="0"/>
    <x v="0"/>
    <n v="2302.19"/>
  </r>
  <r>
    <n v="100314"/>
    <d v="2024-01-01T00:00:00"/>
    <d v="2024-01-04T00:00:00"/>
    <d v="2024-01-07T00:00:00"/>
    <s v="C4791"/>
    <x v="2"/>
    <s v="United States"/>
    <s v="P46639"/>
    <s v="Toothpaste Box"/>
    <s v="FMCG"/>
    <s v="S882"/>
    <s v="BlueRiver Trading"/>
    <s v="Middle East"/>
    <s v="WH 04"/>
    <s v="Istanbul"/>
    <x v="1"/>
    <n v="149"/>
    <n v="37.61"/>
    <n v="5603.89"/>
    <n v="38.17"/>
    <n v="3"/>
    <n v="6"/>
    <n v="3251"/>
    <x v="2"/>
    <x v="0"/>
    <n v="518.67999999999995"/>
  </r>
  <r>
    <n v="100315"/>
    <d v="2025-12-02T00:00:00"/>
    <d v="2025-12-04T00:00:00"/>
    <d v="2025-12-24T00:00:00"/>
    <s v="C7416"/>
    <x v="4"/>
    <s v="Saudi Arabia"/>
    <s v="P85476"/>
    <s v="Hand Sanitizer Case"/>
    <s v="Healthcare"/>
    <s v="S952"/>
    <s v="Nova Industrial"/>
    <s v="Middle East"/>
    <s v="WH 08"/>
    <s v="Chicago"/>
    <x v="2"/>
    <n v="433"/>
    <n v="84.19"/>
    <n v="36454.269999999997"/>
    <n v="11.79"/>
    <n v="20"/>
    <n v="22"/>
    <n v="692"/>
    <x v="0"/>
    <x v="0"/>
    <n v="6213.93"/>
  </r>
  <r>
    <n v="100316"/>
    <d v="2024-05-18T00:00:00"/>
    <d v="2024-05-18T00:00:00"/>
    <d v="2024-05-23T00:00:00"/>
    <s v="C2874"/>
    <x v="2"/>
    <s v="Canada"/>
    <s v="P51830"/>
    <s v="Socks Pack"/>
    <s v="Apparel"/>
    <s v="S767"/>
    <s v="Pioneer Distribution"/>
    <s v="Middle East"/>
    <s v="WH 02"/>
    <s v="Lahore"/>
    <x v="1"/>
    <n v="282"/>
    <n v="81.87"/>
    <n v="23087.34"/>
    <n v="46.79"/>
    <n v="5"/>
    <n v="5"/>
    <n v="2381"/>
    <x v="2"/>
    <x v="0"/>
    <n v="6635.43"/>
  </r>
  <r>
    <n v="100317"/>
    <d v="2025-08-02T00:00:00"/>
    <d v="2025-08-07T00:00:00"/>
    <d v="2025-08-20T00:00:00"/>
    <s v="C3105"/>
    <x v="2"/>
    <s v="United States"/>
    <s v="P10307"/>
    <s v="Hoodie"/>
    <s v="Apparel"/>
    <s v="S669"/>
    <s v="Evergreen Partners"/>
    <s v="Asia"/>
    <s v="WH 10"/>
    <s v="Cairo"/>
    <x v="3"/>
    <n v="297"/>
    <n v="69.73"/>
    <n v="20709.810000000001"/>
    <n v="17.91"/>
    <n v="13"/>
    <n v="18"/>
    <n v="1401"/>
    <x v="0"/>
    <x v="0"/>
    <n v="3344.86"/>
  </r>
  <r>
    <n v="100318"/>
    <d v="2025-11-26T00:00:00"/>
    <d v="2025-11-28T00:00:00"/>
    <d v="2025-12-19T00:00:00"/>
    <s v="C3863"/>
    <x v="3"/>
    <s v="Germany"/>
    <s v="P42551"/>
    <s v="Socks Pack"/>
    <s v="Apparel"/>
    <s v="S708"/>
    <s v="Vertex Manufacturing"/>
    <s v="Africa"/>
    <s v="WH 07"/>
    <s v="Toronto"/>
    <x v="2"/>
    <n v="456"/>
    <n v="118.33"/>
    <n v="53958.48"/>
    <n v="16.329999999999998"/>
    <n v="21"/>
    <n v="23"/>
    <n v="621"/>
    <x v="0"/>
    <x v="0"/>
    <n v="6046.54"/>
  </r>
  <r>
    <n v="100319"/>
    <d v="2024-07-02T00:00:00"/>
    <d v="2024-07-05T00:00:00"/>
    <d v="2024-07-10T00:00:00"/>
    <s v="C6698"/>
    <x v="3"/>
    <s v="France"/>
    <s v="P76809"/>
    <s v="Denim Jeans"/>
    <s v="Apparel"/>
    <s v="S609"/>
    <s v="Evergreen Partners"/>
    <s v="Africa"/>
    <s v="WH 04"/>
    <s v="Istanbul"/>
    <x v="1"/>
    <n v="127"/>
    <n v="82.81"/>
    <n v="10516.87"/>
    <n v="36.74"/>
    <n v="5"/>
    <n v="8"/>
    <n v="1455"/>
    <x v="0"/>
    <x v="0"/>
    <n v="1387.65"/>
  </r>
  <r>
    <n v="100320"/>
    <d v="2024-07-13T00:00:00"/>
    <d v="2024-07-14T00:00:00"/>
    <d v="2024-08-01T00:00:00"/>
    <s v="C7305"/>
    <x v="1"/>
    <s v="Nigeria"/>
    <s v="P28782"/>
    <s v="Sportswear Set"/>
    <s v="Apparel"/>
    <s v="S533"/>
    <s v="Pioneer Distribution"/>
    <s v="Middle East"/>
    <s v="WH 03"/>
    <s v="Dubai"/>
    <x v="3"/>
    <n v="349"/>
    <n v="93.32"/>
    <n v="32568.68"/>
    <n v="19.170000000000002"/>
    <n v="18"/>
    <n v="19"/>
    <n v="3353"/>
    <x v="1"/>
    <x v="3"/>
    <n v="7739.05"/>
  </r>
  <r>
    <n v="100321"/>
    <d v="2025-08-23T00:00:00"/>
    <d v="2025-08-24T00:00:00"/>
    <d v="2025-08-27T00:00:00"/>
    <s v="C6552"/>
    <x v="3"/>
    <s v="France"/>
    <s v="P76163"/>
    <s v="Face Mask Box"/>
    <s v="Healthcare"/>
    <s v="S825"/>
    <s v="Crescent Logistics"/>
    <s v="Africa"/>
    <s v="WH 01"/>
    <s v="Karachi"/>
    <x v="1"/>
    <n v="478"/>
    <n v="68.260000000000005"/>
    <n v="32628.28"/>
    <n v="59.49"/>
    <n v="3"/>
    <n v="4"/>
    <n v="3752"/>
    <x v="2"/>
    <x v="0"/>
    <n v="6253.66"/>
  </r>
  <r>
    <n v="100322"/>
    <d v="2024-10-28T00:00:00"/>
    <d v="2024-10-28T00:00:00"/>
    <d v="2024-11-03T00:00:00"/>
    <s v="C3672"/>
    <x v="0"/>
    <s v="Vietnam"/>
    <s v="P66683"/>
    <s v="Bluetooth Speaker"/>
    <s v="Electronics"/>
    <s v="S402"/>
    <s v="Evergreen Partners"/>
    <s v="Europe"/>
    <s v="WH 04"/>
    <s v="Istanbul"/>
    <x v="0"/>
    <n v="480"/>
    <n v="316.88"/>
    <n v="152102.39999999999"/>
    <n v="26.08"/>
    <n v="6"/>
    <n v="6"/>
    <n v="579"/>
    <x v="2"/>
    <x v="0"/>
    <n v="23282.1"/>
  </r>
  <r>
    <n v="100323"/>
    <d v="2025-07-05T00:00:00"/>
    <d v="2025-07-06T00:00:00"/>
    <d v="2025-07-16T00:00:00"/>
    <s v="C4783"/>
    <x v="3"/>
    <s v="Germany"/>
    <s v="P65798"/>
    <s v="Detergent Bag"/>
    <s v="FMCG"/>
    <s v="S302"/>
    <s v="Pioneer Distribution"/>
    <s v="North America"/>
    <s v="WH 01"/>
    <s v="Karachi"/>
    <x v="0"/>
    <n v="70"/>
    <n v="40.1"/>
    <n v="2807"/>
    <n v="14.46"/>
    <n v="10"/>
    <n v="11"/>
    <n v="3608"/>
    <x v="0"/>
    <x v="0"/>
    <n v="159.52000000000001"/>
  </r>
  <r>
    <n v="100324"/>
    <d v="2024-07-15T00:00:00"/>
    <d v="2024-07-15T00:00:00"/>
    <d v="2024-07-29T00:00:00"/>
    <s v="C8616"/>
    <x v="4"/>
    <s v="United Arab Emirates"/>
    <s v="P24011"/>
    <s v="Router"/>
    <s v="Electronics"/>
    <s v="S918"/>
    <s v="Summit Supply Co"/>
    <s v="Middle East"/>
    <s v="WH 01"/>
    <s v="Karachi"/>
    <x v="3"/>
    <n v="39"/>
    <n v="396.75"/>
    <n v="15473.25"/>
    <n v="8.6199999999999992"/>
    <n v="14"/>
    <n v="14"/>
    <n v="157"/>
    <x v="0"/>
    <x v="0"/>
    <n v="2459.62"/>
  </r>
  <r>
    <n v="100325"/>
    <d v="2025-03-20T00:00:00"/>
    <d v="2025-03-24T00:00:00"/>
    <d v="2025-03-31T00:00:00"/>
    <s v="C3504"/>
    <x v="1"/>
    <s v="Nigeria"/>
    <s v="P51574"/>
    <s v="Hand Sanitizer Case"/>
    <s v="Healthcare"/>
    <s v="S834"/>
    <s v="Orion Supplies"/>
    <s v="Africa"/>
    <s v="WH 07"/>
    <s v="Toronto"/>
    <x v="0"/>
    <n v="195"/>
    <n v="43.36"/>
    <n v="8455.2000000000007"/>
    <n v="13.34"/>
    <n v="7"/>
    <n v="11"/>
    <n v="1787"/>
    <x v="1"/>
    <x v="1"/>
    <n v="-247.46"/>
  </r>
  <r>
    <n v="100326"/>
    <d v="2025-01-19T00:00:00"/>
    <d v="2025-01-19T00:00:00"/>
    <d v="2025-02-06T00:00:00"/>
    <s v="C7837"/>
    <x v="0"/>
    <s v="Pakistan"/>
    <s v="P44217"/>
    <s v="First Aid Kit"/>
    <s v="Healthcare"/>
    <s v="S504"/>
    <s v="Atlas Sourcing"/>
    <s v="Europe"/>
    <s v="WH 10"/>
    <s v="Cairo"/>
    <x v="2"/>
    <n v="344"/>
    <n v="75.3"/>
    <n v="25903.200000000001"/>
    <n v="14.29"/>
    <n v="18"/>
    <n v="18"/>
    <n v="877"/>
    <x v="0"/>
    <x v="0"/>
    <n v="924"/>
  </r>
  <r>
    <n v="100327"/>
    <d v="2025-10-14T00:00:00"/>
    <d v="2025-10-14T00:00:00"/>
    <d v="2025-10-15T00:00:00"/>
    <s v="C5524"/>
    <x v="2"/>
    <s v="Canada"/>
    <s v="P71602"/>
    <s v="Office Chair"/>
    <s v="Furniture"/>
    <s v="S465"/>
    <s v="Zenith Procurement"/>
    <s v="Middle East"/>
    <s v="WH 08"/>
    <s v="Chicago"/>
    <x v="1"/>
    <n v="23"/>
    <n v="158.11000000000001"/>
    <n v="3636.53"/>
    <n v="30"/>
    <n v="1"/>
    <n v="1"/>
    <n v="704"/>
    <x v="2"/>
    <x v="0"/>
    <n v="630.16999999999996"/>
  </r>
  <r>
    <n v="100328"/>
    <d v="2024-09-01T00:00:00"/>
    <d v="2024-09-03T00:00:00"/>
    <d v="2024-09-28T00:00:00"/>
    <s v="C8984"/>
    <x v="3"/>
    <s v="Italy"/>
    <s v="P75942"/>
    <s v="Bluetooth Speaker"/>
    <s v="Electronics"/>
    <s v="S316"/>
    <s v="BlueRiver Trading"/>
    <s v="Middle East"/>
    <s v="WH 07"/>
    <s v="Toronto"/>
    <x v="2"/>
    <n v="427"/>
    <n v="72.739999999999995"/>
    <n v="31059.98"/>
    <n v="15.8"/>
    <n v="25"/>
    <n v="27"/>
    <n v="1078"/>
    <x v="1"/>
    <x v="3"/>
    <n v="3555.11"/>
  </r>
  <r>
    <n v="100329"/>
    <d v="2024-05-25T00:00:00"/>
    <d v="2024-05-28T00:00:00"/>
    <d v="2024-06-01T00:00:00"/>
    <s v="C8566"/>
    <x v="1"/>
    <s v="Egypt"/>
    <s v="P22306"/>
    <s v="Bluetooth Speaker"/>
    <s v="Electronics"/>
    <s v="S674"/>
    <s v="Crescent Logistics"/>
    <s v="Asia"/>
    <s v="WH 08"/>
    <s v="Chicago"/>
    <x v="3"/>
    <n v="500"/>
    <n v="77.180000000000007"/>
    <n v="38590"/>
    <n v="22.84"/>
    <n v="4"/>
    <n v="7"/>
    <n v="468"/>
    <x v="2"/>
    <x v="0"/>
    <n v="6039.37"/>
  </r>
  <r>
    <n v="100330"/>
    <d v="2025-03-07T00:00:00"/>
    <d v="2025-03-10T00:00:00"/>
    <d v="2025-03-21T00:00:00"/>
    <s v="C7524"/>
    <x v="2"/>
    <s v="Mexico"/>
    <s v="P71584"/>
    <s v="Router"/>
    <s v="Electronics"/>
    <s v="S426"/>
    <s v="Orion Supplies"/>
    <s v="Europe"/>
    <s v="WH 04"/>
    <s v="Istanbul"/>
    <x v="3"/>
    <n v="372"/>
    <n v="435.28"/>
    <n v="161924.16"/>
    <n v="19.73"/>
    <n v="11"/>
    <n v="14"/>
    <n v="404"/>
    <x v="0"/>
    <x v="0"/>
    <n v="28254.69"/>
  </r>
  <r>
    <n v="100331"/>
    <d v="2025-04-07T00:00:00"/>
    <d v="2025-04-12T00:00:00"/>
    <d v="2025-04-19T00:00:00"/>
    <s v="C5827"/>
    <x v="2"/>
    <s v="United States"/>
    <s v="P72653"/>
    <s v="Wireless Earbuds"/>
    <s v="Electronics"/>
    <s v="S487"/>
    <s v="Summit Supply Co"/>
    <s v="Africa"/>
    <s v="WH 01"/>
    <s v="Karachi"/>
    <x v="3"/>
    <n v="438"/>
    <n v="145.83000000000001"/>
    <n v="63873.54"/>
    <n v="21.34"/>
    <n v="7"/>
    <n v="12"/>
    <n v="286"/>
    <x v="1"/>
    <x v="2"/>
    <n v="7929.46"/>
  </r>
  <r>
    <n v="100332"/>
    <d v="2024-06-07T00:00:00"/>
    <d v="2024-06-07T00:00:00"/>
    <d v="2024-06-23T00:00:00"/>
    <s v="C4847"/>
    <x v="2"/>
    <s v="United States"/>
    <s v="P65878"/>
    <s v="Detergent Bag"/>
    <s v="FMCG"/>
    <s v="S603"/>
    <s v="Crescent Logistics"/>
    <s v="Middle East"/>
    <s v="WH 02"/>
    <s v="Lahore"/>
    <x v="2"/>
    <n v="373"/>
    <n v="46.24"/>
    <n v="17247.52"/>
    <n v="14.82"/>
    <n v="16"/>
    <n v="16"/>
    <n v="1301"/>
    <x v="0"/>
    <x v="0"/>
    <n v="1052.43"/>
  </r>
  <r>
    <n v="100333"/>
    <d v="2024-07-15T00:00:00"/>
    <d v="2024-07-19T00:00:00"/>
    <d v="2024-07-24T00:00:00"/>
    <s v="C5266"/>
    <x v="3"/>
    <s v="Netherlands"/>
    <s v="P50317"/>
    <s v="Detergent Bag"/>
    <s v="FMCG"/>
    <s v="S272"/>
    <s v="Evergreen Partners"/>
    <s v="Africa"/>
    <s v="WH 06"/>
    <s v="Amsterdam"/>
    <x v="1"/>
    <n v="160"/>
    <n v="42.48"/>
    <n v="6796.8"/>
    <n v="38.880000000000003"/>
    <n v="5"/>
    <n v="9"/>
    <n v="2275"/>
    <x v="0"/>
    <x v="0"/>
    <n v="635.87"/>
  </r>
  <r>
    <n v="100334"/>
    <d v="2024-10-14T00:00:00"/>
    <d v="2024-10-15T00:00:00"/>
    <d v="2024-10-20T00:00:00"/>
    <s v="C7009"/>
    <x v="3"/>
    <s v="Sweden"/>
    <s v="P14552"/>
    <s v="Router"/>
    <s v="Electronics"/>
    <s v="S840"/>
    <s v="Zenith Procurement"/>
    <s v="Asia"/>
    <s v="WH 02"/>
    <s v="Lahore"/>
    <x v="3"/>
    <n v="211"/>
    <n v="283.49"/>
    <n v="59816.39"/>
    <n v="15.82"/>
    <n v="5"/>
    <n v="6"/>
    <n v="673"/>
    <x v="2"/>
    <x v="0"/>
    <n v="11707.49"/>
  </r>
  <r>
    <n v="100335"/>
    <d v="2024-04-05T00:00:00"/>
    <d v="2024-04-08T00:00:00"/>
    <d v="2024-04-15T00:00:00"/>
    <s v="C1725"/>
    <x v="3"/>
    <s v="Sweden"/>
    <s v="P53461"/>
    <s v="Wireless Earbuds"/>
    <s v="Electronics"/>
    <s v="S390"/>
    <s v="Vertex Manufacturing"/>
    <s v="Africa"/>
    <s v="WH 10"/>
    <s v="Cairo"/>
    <x v="3"/>
    <n v="31"/>
    <n v="111.64"/>
    <n v="3460.84"/>
    <n v="11.45"/>
    <n v="7"/>
    <n v="10"/>
    <n v="199"/>
    <x v="0"/>
    <x v="0"/>
    <n v="552.58000000000004"/>
  </r>
  <r>
    <n v="100336"/>
    <d v="2025-08-21T00:00:00"/>
    <d v="2025-08-26T00:00:00"/>
    <d v="2025-08-30T00:00:00"/>
    <s v="C2814"/>
    <x v="2"/>
    <s v="United States"/>
    <s v="P88537"/>
    <s v="Sportswear Set"/>
    <s v="Apparel"/>
    <s v="S182"/>
    <s v="Pioneer Distribution"/>
    <s v="Europe"/>
    <s v="WH 06"/>
    <s v="Amsterdam"/>
    <x v="3"/>
    <n v="134"/>
    <n v="34.49"/>
    <n v="4621.66"/>
    <n v="13.95"/>
    <n v="4"/>
    <n v="9"/>
    <n v="3268"/>
    <x v="0"/>
    <x v="0"/>
    <n v="1165.77"/>
  </r>
  <r>
    <n v="100337"/>
    <d v="2024-09-04T00:00:00"/>
    <d v="2024-09-04T00:00:00"/>
    <d v="2024-09-17T00:00:00"/>
    <s v="C7782"/>
    <x v="4"/>
    <s v="Saudi Arabia"/>
    <s v="P35933"/>
    <s v="Face Mask Box"/>
    <s v="Healthcare"/>
    <s v="S454"/>
    <s v="BlueRiver Trading"/>
    <s v="Africa"/>
    <s v="WH 05"/>
    <s v="Frankfurt"/>
    <x v="3"/>
    <n v="125"/>
    <n v="35.520000000000003"/>
    <n v="4440"/>
    <n v="13.73"/>
    <n v="13"/>
    <n v="13"/>
    <n v="2001"/>
    <x v="1"/>
    <x v="2"/>
    <n v="779"/>
  </r>
  <r>
    <n v="100338"/>
    <d v="2025-05-17T00:00:00"/>
    <d v="2025-05-17T00:00:00"/>
    <d v="2025-06-11T00:00:00"/>
    <s v="C7401"/>
    <x v="0"/>
    <s v="Pakistan"/>
    <s v="P57947"/>
    <s v="Denim Jeans"/>
    <s v="Apparel"/>
    <s v="S220"/>
    <s v="Evergreen Partners"/>
    <s v="Europe"/>
    <s v="WH 07"/>
    <s v="Toronto"/>
    <x v="2"/>
    <n v="307"/>
    <n v="111.96"/>
    <n v="34371.72"/>
    <n v="13.61"/>
    <n v="25"/>
    <n v="25"/>
    <n v="3216"/>
    <x v="0"/>
    <x v="0"/>
    <n v="4199.95"/>
  </r>
  <r>
    <n v="100339"/>
    <d v="2024-09-18T00:00:00"/>
    <d v="2024-09-18T00:00:00"/>
    <d v="2024-09-22T00:00:00"/>
    <s v="C9430"/>
    <x v="2"/>
    <s v="United States"/>
    <s v="P32831"/>
    <s v="Bluetooth Speaker"/>
    <s v="Electronics"/>
    <s v="S397"/>
    <s v="Nova Industrial"/>
    <s v="Middle East"/>
    <s v="WH 06"/>
    <s v="Amsterdam"/>
    <x v="1"/>
    <n v="85"/>
    <n v="202"/>
    <n v="17170"/>
    <n v="34.020000000000003"/>
    <n v="4"/>
    <n v="4"/>
    <n v="1048"/>
    <x v="1"/>
    <x v="1"/>
    <n v="-145.86000000000001"/>
  </r>
  <r>
    <n v="100340"/>
    <d v="2024-03-12T00:00:00"/>
    <d v="2024-03-17T00:00:00"/>
    <d v="2024-03-21T00:00:00"/>
    <s v="C2789"/>
    <x v="0"/>
    <s v="India"/>
    <s v="P38202"/>
    <s v="Smart Watch"/>
    <s v="Electronics"/>
    <s v="S116"/>
    <s v="Evergreen Partners"/>
    <s v="Middle East"/>
    <s v="WH 09"/>
    <s v="Johannesburg"/>
    <x v="1"/>
    <n v="72"/>
    <n v="147.47999999999999"/>
    <n v="10618.56"/>
    <n v="33.18"/>
    <n v="4"/>
    <n v="9"/>
    <n v="425"/>
    <x v="1"/>
    <x v="2"/>
    <n v="949.97"/>
  </r>
  <r>
    <n v="100341"/>
    <d v="2025-09-21T00:00:00"/>
    <d v="2025-09-25T00:00:00"/>
    <d v="2025-10-10T00:00:00"/>
    <s v="C1969"/>
    <x v="0"/>
    <s v="Pakistan"/>
    <s v="P76630"/>
    <s v="Wireless Earbuds"/>
    <s v="Electronics"/>
    <s v="S279"/>
    <s v="Summit Supply Co"/>
    <s v="Asia"/>
    <s v="WH 10"/>
    <s v="Cairo"/>
    <x v="3"/>
    <n v="133"/>
    <n v="356.04"/>
    <n v="47353.32"/>
    <n v="10.31"/>
    <n v="15"/>
    <n v="19"/>
    <n v="846"/>
    <x v="1"/>
    <x v="3"/>
    <n v="6393.76"/>
  </r>
  <r>
    <n v="100342"/>
    <d v="2025-04-05T00:00:00"/>
    <d v="2025-04-06T00:00:00"/>
    <d v="2025-04-11T00:00:00"/>
    <s v="C8478"/>
    <x v="4"/>
    <s v="United Arab Emirates"/>
    <s v="P89507"/>
    <s v="Sportswear Set"/>
    <s v="Apparel"/>
    <s v="S380"/>
    <s v="Evergreen Partners"/>
    <s v="Asia"/>
    <s v="WH 09"/>
    <s v="Johannesburg"/>
    <x v="1"/>
    <n v="335"/>
    <n v="48.12"/>
    <n v="16120.2"/>
    <n v="50.22"/>
    <n v="5"/>
    <n v="6"/>
    <n v="3115"/>
    <x v="2"/>
    <x v="0"/>
    <n v="4229.2299999999996"/>
  </r>
  <r>
    <n v="100343"/>
    <d v="2025-04-15T00:00:00"/>
    <d v="2025-04-16T00:00:00"/>
    <d v="2025-05-08T00:00:00"/>
    <s v="C2909"/>
    <x v="1"/>
    <s v="Morocco"/>
    <s v="P16364"/>
    <s v="Bottled Water Case"/>
    <s v="FMCG"/>
    <s v="S967"/>
    <s v="Crescent Logistics"/>
    <s v="Europe"/>
    <s v="WH 05"/>
    <s v="Frankfurt"/>
    <x v="2"/>
    <n v="31"/>
    <n v="20.18"/>
    <n v="625.58000000000004"/>
    <n v="8.58"/>
    <n v="22"/>
    <n v="23"/>
    <n v="1231"/>
    <x v="0"/>
    <x v="0"/>
    <n v="75.41"/>
  </r>
  <r>
    <n v="100344"/>
    <d v="2024-11-30T00:00:00"/>
    <d v="2024-11-30T00:00:00"/>
    <d v="2024-12-04T00:00:00"/>
    <s v="C9579"/>
    <x v="2"/>
    <s v="Canada"/>
    <s v="P13121"/>
    <s v="Shampoo Pack"/>
    <s v="FMCG"/>
    <s v="S949"/>
    <s v="Crescent Logistics"/>
    <s v="Middle East"/>
    <s v="WH 05"/>
    <s v="Frankfurt"/>
    <x v="1"/>
    <n v="14"/>
    <n v="12.03"/>
    <n v="168.42"/>
    <n v="29.42"/>
    <n v="4"/>
    <n v="4"/>
    <n v="4048"/>
    <x v="1"/>
    <x v="2"/>
    <n v="-11.24"/>
  </r>
  <r>
    <n v="100345"/>
    <d v="2025-08-29T00:00:00"/>
    <d v="2025-09-01T00:00:00"/>
    <d v="2025-09-07T00:00:00"/>
    <s v="C6308"/>
    <x v="2"/>
    <s v="Canada"/>
    <s v="P56418"/>
    <s v="Wireless Earbuds"/>
    <s v="Electronics"/>
    <s v="S706"/>
    <s v="Nova Industrial"/>
    <s v="Europe"/>
    <s v="WH 08"/>
    <s v="Chicago"/>
    <x v="3"/>
    <n v="190"/>
    <n v="359.52"/>
    <n v="68308.800000000003"/>
    <n v="15.31"/>
    <n v="6"/>
    <n v="9"/>
    <n v="236"/>
    <x v="0"/>
    <x v="0"/>
    <n v="8607.98"/>
  </r>
  <r>
    <n v="100346"/>
    <d v="2024-05-23T00:00:00"/>
    <d v="2024-05-28T00:00:00"/>
    <d v="2024-06-13T00:00:00"/>
    <s v="C4178"/>
    <x v="4"/>
    <s v="United Arab Emirates"/>
    <s v="P41831"/>
    <s v="Snack Carton"/>
    <s v="FMCG"/>
    <s v="S228"/>
    <s v="Orion Supplies"/>
    <s v="Middle East"/>
    <s v="WH 06"/>
    <s v="Amsterdam"/>
    <x v="2"/>
    <n v="404"/>
    <n v="30.03"/>
    <n v="12132.12"/>
    <n v="11.39"/>
    <n v="16"/>
    <n v="21"/>
    <n v="2351"/>
    <x v="0"/>
    <x v="0"/>
    <n v="995.16"/>
  </r>
  <r>
    <n v="100347"/>
    <d v="2024-12-13T00:00:00"/>
    <d v="2024-12-13T00:00:00"/>
    <d v="2024-12-21T00:00:00"/>
    <s v="C6505"/>
    <x v="2"/>
    <s v="Canada"/>
    <s v="P58899"/>
    <s v="Sportswear Set"/>
    <s v="Apparel"/>
    <s v="S207"/>
    <s v="Vertex Manufacturing"/>
    <s v="Europe"/>
    <s v="WH 05"/>
    <s v="Frankfurt"/>
    <x v="3"/>
    <n v="28"/>
    <n v="23.86"/>
    <n v="668.08"/>
    <n v="11.37"/>
    <n v="8"/>
    <n v="8"/>
    <n v="967"/>
    <x v="0"/>
    <x v="0"/>
    <n v="98.77"/>
  </r>
  <r>
    <n v="100348"/>
    <d v="2024-06-30T00:00:00"/>
    <d v="2024-07-01T00:00:00"/>
    <d v="2024-07-02T00:00:00"/>
    <s v="C3077"/>
    <x v="1"/>
    <s v="Kenya"/>
    <s v="P89443"/>
    <s v="Bookshelf"/>
    <s v="Furniture"/>
    <s v="S777"/>
    <s v="Crescent Logistics"/>
    <s v="Middle East"/>
    <s v="WH 06"/>
    <s v="Amsterdam"/>
    <x v="1"/>
    <n v="293"/>
    <n v="278.26"/>
    <n v="81530.179999999993"/>
    <n v="47.5"/>
    <n v="1"/>
    <n v="2"/>
    <n v="827"/>
    <x v="2"/>
    <x v="0"/>
    <n v="12779.91"/>
  </r>
  <r>
    <n v="100349"/>
    <d v="2024-12-26T00:00:00"/>
    <d v="2024-12-31T00:00:00"/>
    <d v="2025-01-02T00:00:00"/>
    <s v="C2269"/>
    <x v="4"/>
    <s v="Turkey"/>
    <s v="P50469"/>
    <s v="Snack Carton"/>
    <s v="FMCG"/>
    <s v="S284"/>
    <s v="Evergreen Partners"/>
    <s v="North America"/>
    <s v="WH 07"/>
    <s v="Toronto"/>
    <x v="1"/>
    <n v="477"/>
    <n v="36.56"/>
    <n v="17439.12"/>
    <n v="59.42"/>
    <n v="2"/>
    <n v="7"/>
    <n v="4731"/>
    <x v="2"/>
    <x v="0"/>
    <n v="1897.4"/>
  </r>
  <r>
    <n v="100350"/>
    <d v="2025-02-27T00:00:00"/>
    <d v="2025-02-27T00:00:00"/>
    <d v="2025-03-06T00:00:00"/>
    <s v="C4809"/>
    <x v="0"/>
    <s v="Indonesia"/>
    <s v="P32191"/>
    <s v="Detergent Bag"/>
    <s v="FMCG"/>
    <s v="S887"/>
    <s v="Summit Supply Co"/>
    <s v="Europe"/>
    <s v="WH 09"/>
    <s v="Johannesburg"/>
    <x v="1"/>
    <n v="48"/>
    <n v="33.409999999999997"/>
    <n v="1603.68"/>
    <n v="31.62"/>
    <n v="7"/>
    <n v="7"/>
    <n v="4716"/>
    <x v="2"/>
    <x v="0"/>
    <n v="151.26"/>
  </r>
  <r>
    <n v="100351"/>
    <d v="2025-07-22T00:00:00"/>
    <d v="2025-07-27T00:00:00"/>
    <d v="2025-08-04T00:00:00"/>
    <s v="C3172"/>
    <x v="4"/>
    <s v="Saudi Arabia"/>
    <s v="P26663"/>
    <s v="Bookshelf"/>
    <s v="Furniture"/>
    <s v="S721"/>
    <s v="BlueRiver Trading"/>
    <s v="Middle East"/>
    <s v="WH 08"/>
    <s v="Chicago"/>
    <x v="0"/>
    <n v="343"/>
    <n v="300.33999999999997"/>
    <n v="103016.62"/>
    <n v="16.440000000000001"/>
    <n v="8"/>
    <n v="13"/>
    <n v="1801"/>
    <x v="0"/>
    <x v="0"/>
    <n v="19047.25"/>
  </r>
  <r>
    <n v="100352"/>
    <d v="2024-02-05T00:00:00"/>
    <d v="2024-02-09T00:00:00"/>
    <d v="2024-02-22T00:00:00"/>
    <s v="C5535"/>
    <x v="2"/>
    <s v="United States"/>
    <s v="P78312"/>
    <s v="Denim Jeans"/>
    <s v="Apparel"/>
    <s v="S195"/>
    <s v="Evergreen Partners"/>
    <s v="Middle East"/>
    <s v="WH 02"/>
    <s v="Lahore"/>
    <x v="2"/>
    <n v="426"/>
    <n v="102.13"/>
    <n v="43507.38"/>
    <n v="15.78"/>
    <n v="13"/>
    <n v="17"/>
    <n v="297"/>
    <x v="0"/>
    <x v="0"/>
    <n v="4344.63"/>
  </r>
  <r>
    <n v="100353"/>
    <d v="2025-11-29T00:00:00"/>
    <d v="2025-12-03T00:00:00"/>
    <d v="2025-12-10T00:00:00"/>
    <s v="C6874"/>
    <x v="1"/>
    <s v="Egypt"/>
    <s v="P81117"/>
    <s v="Face Mask Box"/>
    <s v="Healthcare"/>
    <s v="S842"/>
    <s v="Summit Supply Co"/>
    <s v="Africa"/>
    <s v="WH 07"/>
    <s v="Toronto"/>
    <x v="3"/>
    <n v="488"/>
    <n v="11.48"/>
    <n v="5602.24"/>
    <n v="16.7"/>
    <n v="7"/>
    <n v="11"/>
    <n v="2643"/>
    <x v="0"/>
    <x v="0"/>
    <n v="780.81"/>
  </r>
  <r>
    <n v="100354"/>
    <d v="2025-06-10T00:00:00"/>
    <d v="2025-06-13T00:00:00"/>
    <d v="2025-06-15T00:00:00"/>
    <s v="C7638"/>
    <x v="2"/>
    <s v="Mexico"/>
    <s v="P47419"/>
    <s v="Thermometer"/>
    <s v="Healthcare"/>
    <s v="S709"/>
    <s v="BlueRiver Trading"/>
    <s v="Asia"/>
    <s v="WH 04"/>
    <s v="Istanbul"/>
    <x v="0"/>
    <n v="270"/>
    <n v="16.48"/>
    <n v="4449.6000000000004"/>
    <n v="20.13"/>
    <n v="2"/>
    <n v="5"/>
    <n v="571"/>
    <x v="2"/>
    <x v="0"/>
    <n v="464.17"/>
  </r>
  <r>
    <n v="100355"/>
    <d v="2024-09-01T00:00:00"/>
    <d v="2024-09-03T00:00:00"/>
    <d v="2024-09-04T00:00:00"/>
    <s v="C6229"/>
    <x v="3"/>
    <s v="Poland"/>
    <s v="P91845"/>
    <s v="Vitamin Pack"/>
    <s v="Healthcare"/>
    <s v="S289"/>
    <s v="Vertex Manufacturing"/>
    <s v="Middle East"/>
    <s v="WH 06"/>
    <s v="Amsterdam"/>
    <x v="1"/>
    <n v="480"/>
    <n v="74.849999999999994"/>
    <n v="35928"/>
    <n v="59.62"/>
    <n v="1"/>
    <n v="3"/>
    <n v="4180"/>
    <x v="2"/>
    <x v="0"/>
    <n v="5097.7299999999996"/>
  </r>
  <r>
    <n v="100356"/>
    <d v="2024-11-21T00:00:00"/>
    <d v="2024-11-21T00:00:00"/>
    <d v="2024-11-30T00:00:00"/>
    <s v="C5932"/>
    <x v="0"/>
    <s v="Pakistan"/>
    <s v="P94698"/>
    <s v="Wireless Earbuds"/>
    <s v="Electronics"/>
    <s v="S700"/>
    <s v="Atlas Sourcing"/>
    <s v="Africa"/>
    <s v="WH 09"/>
    <s v="Johannesburg"/>
    <x v="3"/>
    <n v="81"/>
    <n v="97.04"/>
    <n v="7860.24"/>
    <n v="12.66"/>
    <n v="9"/>
    <n v="9"/>
    <n v="1797"/>
    <x v="1"/>
    <x v="2"/>
    <n v="1529.21"/>
  </r>
  <r>
    <n v="100357"/>
    <d v="2024-02-23T00:00:00"/>
    <d v="2024-02-24T00:00:00"/>
    <d v="2024-03-20T00:00:00"/>
    <s v="C2581"/>
    <x v="4"/>
    <s v="Qatar"/>
    <s v="P44754"/>
    <s v="Floor Lamp"/>
    <s v="Furniture"/>
    <s v="S292"/>
    <s v="Vertex Manufacturing"/>
    <s v="Africa"/>
    <s v="WH 03"/>
    <s v="Dubai"/>
    <x v="2"/>
    <n v="392"/>
    <n v="141.35"/>
    <n v="55409.2"/>
    <n v="15.16"/>
    <n v="25"/>
    <n v="26"/>
    <n v="178"/>
    <x v="0"/>
    <x v="0"/>
    <n v="12681.9"/>
  </r>
  <r>
    <n v="100358"/>
    <d v="2025-11-03T00:00:00"/>
    <d v="2025-11-05T00:00:00"/>
    <d v="2025-11-09T00:00:00"/>
    <s v="C6594"/>
    <x v="0"/>
    <s v="Malaysia"/>
    <s v="P17371"/>
    <s v="Wireless Earbuds"/>
    <s v="Electronics"/>
    <s v="S311"/>
    <s v="Evergreen Partners"/>
    <s v="Asia"/>
    <s v="WH 02"/>
    <s v="Lahore"/>
    <x v="1"/>
    <n v="118"/>
    <n v="160.13"/>
    <n v="18895.34"/>
    <n v="26.78"/>
    <n v="4"/>
    <n v="6"/>
    <n v="1752"/>
    <x v="2"/>
    <x v="0"/>
    <n v="3416.61"/>
  </r>
  <r>
    <n v="100359"/>
    <d v="2025-10-14T00:00:00"/>
    <d v="2025-10-18T00:00:00"/>
    <d v="2025-11-08T00:00:00"/>
    <s v="C2499"/>
    <x v="2"/>
    <s v="Canada"/>
    <s v="P53059"/>
    <s v="Sportswear Set"/>
    <s v="Apparel"/>
    <s v="S210"/>
    <s v="Atlas Sourcing"/>
    <s v="Africa"/>
    <s v="WH 08"/>
    <s v="Chicago"/>
    <x v="2"/>
    <n v="446"/>
    <n v="97.62"/>
    <n v="43538.52"/>
    <n v="16.149999999999999"/>
    <n v="21"/>
    <n v="25"/>
    <n v="1216"/>
    <x v="0"/>
    <x v="0"/>
    <n v="12727.4"/>
  </r>
  <r>
    <n v="100360"/>
    <d v="2024-01-26T00:00:00"/>
    <d v="2024-01-28T00:00:00"/>
    <d v="2024-02-02T00:00:00"/>
    <s v="C5306"/>
    <x v="4"/>
    <s v="United Arab Emirates"/>
    <s v="P94719"/>
    <s v="Floor Lamp"/>
    <s v="Furniture"/>
    <s v="S650"/>
    <s v="Zenith Procurement"/>
    <s v="Asia"/>
    <s v="WH 05"/>
    <s v="Frankfurt"/>
    <x v="1"/>
    <n v="444"/>
    <n v="221.53"/>
    <n v="98359.32"/>
    <n v="57.28"/>
    <n v="5"/>
    <n v="7"/>
    <n v="1852"/>
    <x v="2"/>
    <x v="0"/>
    <n v="12400.19"/>
  </r>
  <r>
    <n v="100361"/>
    <d v="2025-03-23T00:00:00"/>
    <d v="2025-03-28T00:00:00"/>
    <d v="2025-04-02T00:00:00"/>
    <s v="C9105"/>
    <x v="0"/>
    <s v="Pakistan"/>
    <s v="P93163"/>
    <s v="T Shirt Bundle"/>
    <s v="Apparel"/>
    <s v="S676"/>
    <s v="Crescent Logistics"/>
    <s v="Europe"/>
    <s v="WH 09"/>
    <s v="Johannesburg"/>
    <x v="0"/>
    <n v="364"/>
    <n v="99.09"/>
    <n v="36068.76"/>
    <n v="22.79"/>
    <n v="5"/>
    <n v="10"/>
    <n v="1616"/>
    <x v="0"/>
    <x v="0"/>
    <n v="4122.51"/>
  </r>
  <r>
    <n v="100362"/>
    <d v="2024-11-19T00:00:00"/>
    <d v="2024-11-19T00:00:00"/>
    <d v="2024-12-10T00:00:00"/>
    <s v="C9106"/>
    <x v="1"/>
    <s v="Kenya"/>
    <s v="P87362"/>
    <s v="Socks Pack"/>
    <s v="Apparel"/>
    <s v="S728"/>
    <s v="Evergreen Partners"/>
    <s v="Middle East"/>
    <s v="WH 04"/>
    <s v="Istanbul"/>
    <x v="2"/>
    <n v="430"/>
    <n v="12.3"/>
    <n v="5289"/>
    <n v="15.86"/>
    <n v="21"/>
    <n v="21"/>
    <n v="749"/>
    <x v="0"/>
    <x v="0"/>
    <n v="1394.4"/>
  </r>
  <r>
    <n v="100363"/>
    <d v="2024-04-25T00:00:00"/>
    <d v="2024-04-30T00:00:00"/>
    <d v="2024-05-07T00:00:00"/>
    <s v="C7448"/>
    <x v="3"/>
    <s v="France"/>
    <s v="P89878"/>
    <s v="Floor Lamp"/>
    <s v="Furniture"/>
    <s v="S465"/>
    <s v="Orion Supplies"/>
    <s v="Africa"/>
    <s v="WH 04"/>
    <s v="Istanbul"/>
    <x v="3"/>
    <n v="131"/>
    <n v="167.81"/>
    <n v="21983.11"/>
    <n v="13.88"/>
    <n v="7"/>
    <n v="12"/>
    <n v="1511"/>
    <x v="0"/>
    <x v="0"/>
    <n v="3742.53"/>
  </r>
  <r>
    <n v="100364"/>
    <d v="2024-11-08T00:00:00"/>
    <d v="2024-11-09T00:00:00"/>
    <d v="2024-11-25T00:00:00"/>
    <s v="C8008"/>
    <x v="1"/>
    <s v="Egypt"/>
    <s v="P58291"/>
    <s v="Office Chair"/>
    <s v="Furniture"/>
    <s v="S881"/>
    <s v="Atlas Sourcing"/>
    <s v="Europe"/>
    <s v="WH 05"/>
    <s v="Frankfurt"/>
    <x v="3"/>
    <n v="343"/>
    <n v="58.94"/>
    <n v="20216.419999999998"/>
    <n v="19.03"/>
    <n v="16"/>
    <n v="17"/>
    <n v="397"/>
    <x v="1"/>
    <x v="3"/>
    <n v="3868.15"/>
  </r>
  <r>
    <n v="100365"/>
    <d v="2024-04-02T00:00:00"/>
    <d v="2024-04-06T00:00:00"/>
    <d v="2024-04-15T00:00:00"/>
    <s v="C1506"/>
    <x v="1"/>
    <s v="South Africa"/>
    <s v="P25540"/>
    <s v="First Aid Kit"/>
    <s v="Healthcare"/>
    <s v="S675"/>
    <s v="Zenith Procurement"/>
    <s v="North America"/>
    <s v="WH 04"/>
    <s v="Istanbul"/>
    <x v="0"/>
    <n v="255"/>
    <n v="61.16"/>
    <n v="15595.8"/>
    <n v="19.7"/>
    <n v="9"/>
    <n v="13"/>
    <n v="3358"/>
    <x v="0"/>
    <x v="0"/>
    <n v="1346.43"/>
  </r>
  <r>
    <n v="100366"/>
    <d v="2024-11-25T00:00:00"/>
    <d v="2024-11-26T00:00:00"/>
    <d v="2024-12-08T00:00:00"/>
    <s v="C7106"/>
    <x v="0"/>
    <s v="Bangladesh"/>
    <s v="P55875"/>
    <s v="Storage Cabinet"/>
    <s v="Furniture"/>
    <s v="S772"/>
    <s v="Zenith Procurement"/>
    <s v="Africa"/>
    <s v="WH 07"/>
    <s v="Toronto"/>
    <x v="3"/>
    <n v="10"/>
    <n v="90.39"/>
    <n v="903.9"/>
    <n v="10.94"/>
    <n v="12"/>
    <n v="13"/>
    <n v="1261"/>
    <x v="0"/>
    <x v="0"/>
    <n v="75.3"/>
  </r>
  <r>
    <n v="100367"/>
    <d v="2025-04-22T00:00:00"/>
    <d v="2025-04-23T00:00:00"/>
    <d v="2025-05-11T00:00:00"/>
    <s v="C1919"/>
    <x v="1"/>
    <s v="South Africa"/>
    <s v="P22242"/>
    <s v="Hoodie"/>
    <s v="Apparel"/>
    <s v="S391"/>
    <s v="Pioneer Distribution"/>
    <s v="Africa"/>
    <s v="WH 03"/>
    <s v="Dubai"/>
    <x v="3"/>
    <n v="443"/>
    <n v="68.3"/>
    <n v="30256.9"/>
    <n v="15.89"/>
    <n v="18"/>
    <n v="19"/>
    <n v="1984"/>
    <x v="1"/>
    <x v="3"/>
    <n v="8504.57"/>
  </r>
  <r>
    <n v="100368"/>
    <d v="2025-05-22T00:00:00"/>
    <d v="2025-05-26T00:00:00"/>
    <d v="2025-05-29T00:00:00"/>
    <s v="C8354"/>
    <x v="1"/>
    <s v="Morocco"/>
    <s v="P40979"/>
    <s v="Smart Watch"/>
    <s v="Electronics"/>
    <s v="S520"/>
    <s v="Zenith Procurement"/>
    <s v="Asia"/>
    <s v="WH 04"/>
    <s v="Istanbul"/>
    <x v="1"/>
    <n v="26"/>
    <n v="264.23"/>
    <n v="6869.98"/>
    <n v="30.2"/>
    <n v="3"/>
    <n v="7"/>
    <n v="991"/>
    <x v="2"/>
    <x v="0"/>
    <n v="1316.19"/>
  </r>
  <r>
    <n v="100369"/>
    <d v="2024-07-21T00:00:00"/>
    <d v="2024-07-22T00:00:00"/>
    <d v="2024-07-26T00:00:00"/>
    <s v="C1692"/>
    <x v="0"/>
    <s v="India"/>
    <s v="P38926"/>
    <s v="Denim Jeans"/>
    <s v="Apparel"/>
    <s v="S554"/>
    <s v="Summit Supply Co"/>
    <s v="Middle East"/>
    <s v="WH 07"/>
    <s v="Toronto"/>
    <x v="1"/>
    <n v="262"/>
    <n v="23.68"/>
    <n v="6204.16"/>
    <n v="45.49"/>
    <n v="4"/>
    <n v="5"/>
    <n v="591"/>
    <x v="2"/>
    <x v="0"/>
    <n v="1063.98"/>
  </r>
  <r>
    <n v="100370"/>
    <d v="2025-10-25T00:00:00"/>
    <d v="2025-10-30T00:00:00"/>
    <d v="2025-11-11T00:00:00"/>
    <s v="C8933"/>
    <x v="1"/>
    <s v="Egypt"/>
    <s v="P50696"/>
    <s v="Study Table"/>
    <s v="Furniture"/>
    <s v="S132"/>
    <s v="Pioneer Distribution"/>
    <s v="Africa"/>
    <s v="WH 03"/>
    <s v="Dubai"/>
    <x v="2"/>
    <n v="467"/>
    <n v="291"/>
    <n v="135897"/>
    <n v="12.24"/>
    <n v="12"/>
    <n v="17"/>
    <n v="911"/>
    <x v="1"/>
    <x v="1"/>
    <n v="-205.45"/>
  </r>
  <r>
    <n v="100371"/>
    <d v="2024-06-09T00:00:00"/>
    <d v="2024-06-11T00:00:00"/>
    <d v="2024-07-04T00:00:00"/>
    <s v="C6811"/>
    <x v="4"/>
    <s v="Qatar"/>
    <s v="P15606"/>
    <s v="Toothpaste Box"/>
    <s v="FMCG"/>
    <s v="S984"/>
    <s v="Zenith Procurement"/>
    <s v="Middle East"/>
    <s v="WH 10"/>
    <s v="Cairo"/>
    <x v="2"/>
    <n v="181"/>
    <n v="7.46"/>
    <n v="1350.26"/>
    <n v="8.3800000000000008"/>
    <n v="23"/>
    <n v="25"/>
    <n v="2606"/>
    <x v="0"/>
    <x v="0"/>
    <n v="191.16"/>
  </r>
  <r>
    <n v="100372"/>
    <d v="2024-12-29T00:00:00"/>
    <d v="2024-12-31T00:00:00"/>
    <d v="2025-01-05T00:00:00"/>
    <s v="C7748"/>
    <x v="2"/>
    <s v="United States"/>
    <s v="P27857"/>
    <s v="Study Table"/>
    <s v="Furniture"/>
    <s v="S271"/>
    <s v="Atlas Sourcing"/>
    <s v="Middle East"/>
    <s v="WH 09"/>
    <s v="Johannesburg"/>
    <x v="0"/>
    <n v="392"/>
    <n v="235.75"/>
    <n v="92414"/>
    <n v="23.59"/>
    <n v="5"/>
    <n v="7"/>
    <n v="1640"/>
    <x v="2"/>
    <x v="0"/>
    <n v="13500.33"/>
  </r>
  <r>
    <n v="100373"/>
    <d v="2024-06-27T00:00:00"/>
    <d v="2024-06-27T00:00:00"/>
    <d v="2024-07-16T00:00:00"/>
    <s v="C7559"/>
    <x v="4"/>
    <s v="Oman"/>
    <s v="P94694"/>
    <s v="Floor Lamp"/>
    <s v="Furniture"/>
    <s v="S296"/>
    <s v="Pioneer Distribution"/>
    <s v="Europe"/>
    <s v="WH 02"/>
    <s v="Lahore"/>
    <x v="3"/>
    <n v="51"/>
    <n v="127.84"/>
    <n v="6519.84"/>
    <n v="11.93"/>
    <n v="19"/>
    <n v="19"/>
    <n v="1403"/>
    <x v="1"/>
    <x v="3"/>
    <n v="1160.4000000000001"/>
  </r>
  <r>
    <n v="100374"/>
    <d v="2024-05-02T00:00:00"/>
    <d v="2024-05-04T00:00:00"/>
    <d v="2024-05-08T00:00:00"/>
    <s v="C9220"/>
    <x v="3"/>
    <s v="Italy"/>
    <s v="P90846"/>
    <s v="Wireless Earbuds"/>
    <s v="Electronics"/>
    <s v="S134"/>
    <s v="Atlas Sourcing"/>
    <s v="Africa"/>
    <s v="WH 05"/>
    <s v="Frankfurt"/>
    <x v="0"/>
    <n v="15"/>
    <n v="210.19"/>
    <n v="3152.85"/>
    <n v="12.9"/>
    <n v="4"/>
    <n v="6"/>
    <n v="1367"/>
    <x v="2"/>
    <x v="0"/>
    <n v="408.29"/>
  </r>
  <r>
    <n v="100375"/>
    <d v="2024-12-05T00:00:00"/>
    <d v="2024-12-08T00:00:00"/>
    <d v="2024-12-26T00:00:00"/>
    <s v="C9022"/>
    <x v="4"/>
    <s v="Turkey"/>
    <s v="P21279"/>
    <s v="Storage Cabinet"/>
    <s v="Furniture"/>
    <s v="S432"/>
    <s v="Summit Supply Co"/>
    <s v="Asia"/>
    <s v="WH 10"/>
    <s v="Cairo"/>
    <x v="2"/>
    <n v="204"/>
    <n v="312.19"/>
    <n v="63686.76"/>
    <n v="11.74"/>
    <n v="18"/>
    <n v="21"/>
    <n v="1066"/>
    <x v="1"/>
    <x v="3"/>
    <n v="15556.48"/>
  </r>
  <r>
    <n v="100376"/>
    <d v="2025-02-11T00:00:00"/>
    <d v="2025-02-11T00:00:00"/>
    <d v="2025-02-17T00:00:00"/>
    <s v="C3313"/>
    <x v="2"/>
    <s v="Mexico"/>
    <s v="P85242"/>
    <s v="Socks Pack"/>
    <s v="Apparel"/>
    <s v="S307"/>
    <s v="Orion Supplies"/>
    <s v="Middle East"/>
    <s v="WH 09"/>
    <s v="Johannesburg"/>
    <x v="0"/>
    <n v="119"/>
    <n v="59.97"/>
    <n v="7136.43"/>
    <n v="15.85"/>
    <n v="6"/>
    <n v="6"/>
    <n v="455"/>
    <x v="2"/>
    <x v="0"/>
    <n v="873.75"/>
  </r>
  <r>
    <n v="100377"/>
    <d v="2025-02-23T00:00:00"/>
    <d v="2025-02-23T00:00:00"/>
    <d v="2025-03-11T00:00:00"/>
    <s v="C6649"/>
    <x v="4"/>
    <s v="United Arab Emirates"/>
    <s v="P62413"/>
    <s v="Snack Carton"/>
    <s v="FMCG"/>
    <s v="S240"/>
    <s v="Orion Supplies"/>
    <s v="Middle East"/>
    <s v="WH 05"/>
    <s v="Frankfurt"/>
    <x v="2"/>
    <n v="52"/>
    <n v="29.96"/>
    <n v="1557.92"/>
    <n v="6.64"/>
    <n v="16"/>
    <n v="16"/>
    <n v="3005"/>
    <x v="0"/>
    <x v="0"/>
    <n v="82.48"/>
  </r>
  <r>
    <n v="100378"/>
    <d v="2025-11-02T00:00:00"/>
    <d v="2025-11-02T00:00:00"/>
    <d v="2025-11-06T00:00:00"/>
    <s v="C8235"/>
    <x v="0"/>
    <s v="Malaysia"/>
    <s v="P92733"/>
    <s v="Smart Watch"/>
    <s v="Electronics"/>
    <s v="S348"/>
    <s v="Atlas Sourcing"/>
    <s v="Africa"/>
    <s v="WH 06"/>
    <s v="Amsterdam"/>
    <x v="1"/>
    <n v="491"/>
    <n v="76.16"/>
    <n v="37394.559999999998"/>
    <n v="60.33"/>
    <n v="4"/>
    <n v="4"/>
    <n v="971"/>
    <x v="2"/>
    <x v="0"/>
    <n v="4582.24"/>
  </r>
  <r>
    <n v="100379"/>
    <d v="2024-09-25T00:00:00"/>
    <d v="2024-09-29T00:00:00"/>
    <d v="2024-10-14T00:00:00"/>
    <s v="C9558"/>
    <x v="3"/>
    <s v="Netherlands"/>
    <s v="P94817"/>
    <s v="Toothpaste Box"/>
    <s v="FMCG"/>
    <s v="S165"/>
    <s v="Atlas Sourcing"/>
    <s v="Asia"/>
    <s v="WH 10"/>
    <s v="Cairo"/>
    <x v="3"/>
    <n v="467"/>
    <n v="29.61"/>
    <n v="13827.87"/>
    <n v="22.04"/>
    <n v="15"/>
    <n v="19"/>
    <n v="4570"/>
    <x v="1"/>
    <x v="3"/>
    <n v="800.1"/>
  </r>
  <r>
    <n v="100380"/>
    <d v="2025-03-14T00:00:00"/>
    <d v="2025-03-16T00:00:00"/>
    <d v="2025-03-19T00:00:00"/>
    <s v="C6428"/>
    <x v="1"/>
    <s v="Nigeria"/>
    <s v="P49449"/>
    <s v="Thermometer"/>
    <s v="Healthcare"/>
    <s v="S849"/>
    <s v="Crescent Logistics"/>
    <s v="North America"/>
    <s v="WH 05"/>
    <s v="Frankfurt"/>
    <x v="1"/>
    <n v="23"/>
    <n v="76.11"/>
    <n v="1750.53"/>
    <n v="30"/>
    <n v="3"/>
    <n v="5"/>
    <n v="1651"/>
    <x v="2"/>
    <x v="0"/>
    <n v="260.87"/>
  </r>
  <r>
    <n v="100381"/>
    <d v="2025-03-15T00:00:00"/>
    <d v="2025-03-20T00:00:00"/>
    <d v="2025-03-23T00:00:00"/>
    <s v="C5534"/>
    <x v="1"/>
    <s v="Nigeria"/>
    <s v="P38379"/>
    <s v="Vitamin Pack"/>
    <s v="Healthcare"/>
    <s v="S959"/>
    <s v="Crescent Logistics"/>
    <s v="Middle East"/>
    <s v="WH 01"/>
    <s v="Karachi"/>
    <x v="1"/>
    <n v="453"/>
    <n v="55.43"/>
    <n v="25109.79"/>
    <n v="57.87"/>
    <n v="3"/>
    <n v="8"/>
    <n v="3162"/>
    <x v="1"/>
    <x v="2"/>
    <n v="2291.38"/>
  </r>
  <r>
    <n v="100382"/>
    <d v="2025-09-02T00:00:00"/>
    <d v="2025-09-03T00:00:00"/>
    <d v="2025-09-06T00:00:00"/>
    <s v="C2366"/>
    <x v="3"/>
    <s v="Poland"/>
    <s v="P51979"/>
    <s v="Toothpaste Box"/>
    <s v="FMCG"/>
    <s v="S409"/>
    <s v="Crescent Logistics"/>
    <s v="North America"/>
    <s v="WH 04"/>
    <s v="Istanbul"/>
    <x v="1"/>
    <n v="159"/>
    <n v="11.08"/>
    <n v="1761.72"/>
    <n v="38.82"/>
    <n v="3"/>
    <n v="4"/>
    <n v="4379"/>
    <x v="2"/>
    <x v="0"/>
    <n v="51.8"/>
  </r>
  <r>
    <n v="100383"/>
    <d v="2024-08-01T00:00:00"/>
    <d v="2024-08-05T00:00:00"/>
    <d v="2024-08-18T00:00:00"/>
    <s v="C7040"/>
    <x v="4"/>
    <s v="Saudi Arabia"/>
    <s v="P20304"/>
    <s v="Hand Sanitizer Case"/>
    <s v="Healthcare"/>
    <s v="S745"/>
    <s v="Evergreen Partners"/>
    <s v="Middle East"/>
    <s v="WH 08"/>
    <s v="Chicago"/>
    <x v="3"/>
    <n v="160"/>
    <n v="32.83"/>
    <n v="5252.8"/>
    <n v="10.8"/>
    <n v="13"/>
    <n v="17"/>
    <n v="3614"/>
    <x v="0"/>
    <x v="0"/>
    <n v="601.23"/>
  </r>
  <r>
    <n v="100384"/>
    <d v="2025-04-07T00:00:00"/>
    <d v="2025-04-07T00:00:00"/>
    <d v="2025-04-13T00:00:00"/>
    <s v="C6014"/>
    <x v="0"/>
    <s v="Malaysia"/>
    <s v="P44650"/>
    <s v="Hand Sanitizer Case"/>
    <s v="Healthcare"/>
    <s v="S912"/>
    <s v="Zenith Procurement"/>
    <s v="Middle East"/>
    <s v="WH 08"/>
    <s v="Chicago"/>
    <x v="0"/>
    <n v="437"/>
    <n v="25.23"/>
    <n v="11025.51"/>
    <n v="24.86"/>
    <n v="6"/>
    <n v="6"/>
    <n v="881"/>
    <x v="1"/>
    <x v="2"/>
    <n v="1749.3"/>
  </r>
  <r>
    <n v="100385"/>
    <d v="2024-09-01T00:00:00"/>
    <d v="2024-09-05T00:00:00"/>
    <d v="2024-09-06T00:00:00"/>
    <s v="C8257"/>
    <x v="1"/>
    <s v="South Africa"/>
    <s v="P12159"/>
    <s v="Power Bank"/>
    <s v="Electronics"/>
    <s v="S912"/>
    <s v="Zenith Procurement"/>
    <s v="Asia"/>
    <s v="WH 09"/>
    <s v="Johannesburg"/>
    <x v="1"/>
    <n v="86"/>
    <n v="231.81"/>
    <n v="19935.66"/>
    <n v="34.08"/>
    <n v="1"/>
    <n v="5"/>
    <n v="1733"/>
    <x v="2"/>
    <x v="0"/>
    <n v="2730.48"/>
  </r>
  <r>
    <n v="100386"/>
    <d v="2025-06-20T00:00:00"/>
    <d v="2025-06-21T00:00:00"/>
    <d v="2025-06-26T00:00:00"/>
    <s v="C3296"/>
    <x v="3"/>
    <s v="Spain"/>
    <s v="P94517"/>
    <s v="Bottled Water Case"/>
    <s v="FMCG"/>
    <s v="S174"/>
    <s v="Nova Industrial"/>
    <s v="North America"/>
    <s v="WH 05"/>
    <s v="Frankfurt"/>
    <x v="3"/>
    <n v="151"/>
    <n v="9.7100000000000009"/>
    <n v="1466.21"/>
    <n v="14.36"/>
    <n v="5"/>
    <n v="6"/>
    <n v="1678"/>
    <x v="1"/>
    <x v="2"/>
    <n v="195.12"/>
  </r>
  <r>
    <n v="100387"/>
    <d v="2024-12-09T00:00:00"/>
    <d v="2024-12-13T00:00:00"/>
    <d v="2024-12-16T00:00:00"/>
    <s v="C7115"/>
    <x v="1"/>
    <s v="Morocco"/>
    <s v="P61628"/>
    <s v="Detergent Bag"/>
    <s v="FMCG"/>
    <s v="S607"/>
    <s v="Pioneer Distribution"/>
    <s v="North America"/>
    <s v="WH 01"/>
    <s v="Karachi"/>
    <x v="1"/>
    <n v="135"/>
    <n v="30.97"/>
    <n v="4180.95"/>
    <n v="37.26"/>
    <n v="3"/>
    <n v="7"/>
    <n v="4740"/>
    <x v="2"/>
    <x v="0"/>
    <n v="611.16999999999996"/>
  </r>
  <r>
    <n v="100388"/>
    <d v="2024-06-30T00:00:00"/>
    <d v="2024-07-02T00:00:00"/>
    <d v="2024-07-12T00:00:00"/>
    <s v="C5576"/>
    <x v="0"/>
    <s v="China"/>
    <s v="P93791"/>
    <s v="Office Chair"/>
    <s v="Furniture"/>
    <s v="S847"/>
    <s v="BlueRiver Trading"/>
    <s v="Europe"/>
    <s v="WH 08"/>
    <s v="Chicago"/>
    <x v="0"/>
    <n v="369"/>
    <n v="116.53"/>
    <n v="42999.57"/>
    <n v="22.94"/>
    <n v="10"/>
    <n v="12"/>
    <n v="394"/>
    <x v="0"/>
    <x v="0"/>
    <n v="8071.3"/>
  </r>
  <r>
    <n v="100389"/>
    <d v="2024-02-17T00:00:00"/>
    <d v="2024-02-19T00:00:00"/>
    <d v="2024-02-29T00:00:00"/>
    <s v="C2033"/>
    <x v="0"/>
    <s v="Malaysia"/>
    <s v="P57645"/>
    <s v="Toothpaste Box"/>
    <s v="FMCG"/>
    <s v="S855"/>
    <s v="Nova Industrial"/>
    <s v="Europe"/>
    <s v="WH 05"/>
    <s v="Frankfurt"/>
    <x v="3"/>
    <n v="283"/>
    <n v="17.75"/>
    <n v="5023.25"/>
    <n v="17.57"/>
    <n v="10"/>
    <n v="12"/>
    <n v="2079"/>
    <x v="0"/>
    <x v="0"/>
    <n v="486.61"/>
  </r>
  <r>
    <n v="100390"/>
    <d v="2025-09-12T00:00:00"/>
    <d v="2025-09-12T00:00:00"/>
    <d v="2025-09-17T00:00:00"/>
    <s v="C9334"/>
    <x v="2"/>
    <s v="Canada"/>
    <s v="P34162"/>
    <s v="Wireless Earbuds"/>
    <s v="Electronics"/>
    <s v="S988"/>
    <s v="Crescent Logistics"/>
    <s v="Asia"/>
    <s v="WH 07"/>
    <s v="Toronto"/>
    <x v="0"/>
    <n v="317"/>
    <n v="335.74"/>
    <n v="106429.58"/>
    <n v="21.46"/>
    <n v="5"/>
    <n v="5"/>
    <n v="1334"/>
    <x v="2"/>
    <x v="0"/>
    <n v="18611.09"/>
  </r>
  <r>
    <n v="100391"/>
    <d v="2025-09-12T00:00:00"/>
    <d v="2025-09-13T00:00:00"/>
    <d v="2025-09-18T00:00:00"/>
    <s v="C1066"/>
    <x v="3"/>
    <s v="Spain"/>
    <s v="P55246"/>
    <s v="Bluetooth Speaker"/>
    <s v="Electronics"/>
    <s v="S465"/>
    <s v="Orion Supplies"/>
    <s v="Europe"/>
    <s v="WH 08"/>
    <s v="Chicago"/>
    <x v="1"/>
    <n v="265"/>
    <n v="409.98"/>
    <n v="108644.7"/>
    <n v="33.840000000000003"/>
    <n v="5"/>
    <n v="6"/>
    <n v="1190"/>
    <x v="1"/>
    <x v="1"/>
    <n v="-109.9"/>
  </r>
  <r>
    <n v="100392"/>
    <d v="2025-07-02T00:00:00"/>
    <d v="2025-07-03T00:00:00"/>
    <d v="2025-07-15T00:00:00"/>
    <s v="C1571"/>
    <x v="3"/>
    <s v="Netherlands"/>
    <s v="P27174"/>
    <s v="Detergent Bag"/>
    <s v="FMCG"/>
    <s v="S714"/>
    <s v="Pioneer Distribution"/>
    <s v="Asia"/>
    <s v="WH 01"/>
    <s v="Karachi"/>
    <x v="0"/>
    <n v="305"/>
    <n v="41.17"/>
    <n v="12556.85"/>
    <n v="21.12"/>
    <n v="12"/>
    <n v="13"/>
    <n v="1474"/>
    <x v="1"/>
    <x v="3"/>
    <n v="1217.1500000000001"/>
  </r>
  <r>
    <n v="100393"/>
    <d v="2024-03-29T00:00:00"/>
    <d v="2024-03-30T00:00:00"/>
    <d v="2024-04-03T00:00:00"/>
    <s v="C5588"/>
    <x v="0"/>
    <s v="Vietnam"/>
    <s v="P82833"/>
    <s v="Study Table"/>
    <s v="Furniture"/>
    <s v="S764"/>
    <s v="Pioneer Distribution"/>
    <s v="Asia"/>
    <s v="WH 04"/>
    <s v="Istanbul"/>
    <x v="1"/>
    <n v="22"/>
    <n v="172.74"/>
    <n v="3800.28"/>
    <n v="22.18"/>
    <n v="4"/>
    <n v="5"/>
    <n v="781"/>
    <x v="2"/>
    <x v="0"/>
    <n v="623.67999999999995"/>
  </r>
  <r>
    <n v="100394"/>
    <d v="2024-07-10T00:00:00"/>
    <d v="2024-07-14T00:00:00"/>
    <d v="2024-07-20T00:00:00"/>
    <s v="C8099"/>
    <x v="0"/>
    <s v="China"/>
    <s v="P10893"/>
    <s v="Bluetooth Speaker"/>
    <s v="Electronics"/>
    <s v="S466"/>
    <s v="Zenith Procurement"/>
    <s v="North America"/>
    <s v="WH 05"/>
    <s v="Frankfurt"/>
    <x v="3"/>
    <n v="327"/>
    <n v="365.52"/>
    <n v="119525.04"/>
    <n v="18.64"/>
    <n v="6"/>
    <n v="10"/>
    <n v="265"/>
    <x v="0"/>
    <x v="0"/>
    <n v="14960.51"/>
  </r>
  <r>
    <n v="100395"/>
    <d v="2024-09-26T00:00:00"/>
    <d v="2024-09-26T00:00:00"/>
    <d v="2024-10-08T00:00:00"/>
    <s v="C8686"/>
    <x v="4"/>
    <s v="Saudi Arabia"/>
    <s v="P41186"/>
    <s v="Shampoo Pack"/>
    <s v="FMCG"/>
    <s v="S404"/>
    <s v="Summit Supply Co"/>
    <s v="Africa"/>
    <s v="WH 01"/>
    <s v="Karachi"/>
    <x v="2"/>
    <n v="482"/>
    <n v="45.65"/>
    <n v="22003.3"/>
    <n v="16.8"/>
    <n v="12"/>
    <n v="12"/>
    <n v="4627"/>
    <x v="1"/>
    <x v="2"/>
    <n v="2799.53"/>
  </r>
  <r>
    <n v="100396"/>
    <d v="2024-09-29T00:00:00"/>
    <d v="2024-10-03T00:00:00"/>
    <d v="2024-10-25T00:00:00"/>
    <s v="C7691"/>
    <x v="4"/>
    <s v="Qatar"/>
    <s v="P71957"/>
    <s v="Toothpaste Box"/>
    <s v="FMCG"/>
    <s v="S314"/>
    <s v="Evergreen Partners"/>
    <s v="Africa"/>
    <s v="WH 08"/>
    <s v="Chicago"/>
    <x v="2"/>
    <n v="143"/>
    <n v="35.71"/>
    <n v="5106.53"/>
    <n v="10.63"/>
    <n v="22"/>
    <n v="26"/>
    <n v="1762"/>
    <x v="0"/>
    <x v="0"/>
    <n v="583.64"/>
  </r>
  <r>
    <n v="100397"/>
    <d v="2025-04-26T00:00:00"/>
    <d v="2025-04-29T00:00:00"/>
    <d v="2025-05-11T00:00:00"/>
    <s v="C6308"/>
    <x v="0"/>
    <s v="Pakistan"/>
    <s v="P16221"/>
    <s v="Shampoo Pack"/>
    <s v="FMCG"/>
    <s v="S701"/>
    <s v="Vertex Manufacturing"/>
    <s v="Middle East"/>
    <s v="WH 06"/>
    <s v="Amsterdam"/>
    <x v="2"/>
    <n v="185"/>
    <n v="19.8"/>
    <n v="3663"/>
    <n v="11.39"/>
    <n v="12"/>
    <n v="15"/>
    <n v="1507"/>
    <x v="0"/>
    <x v="0"/>
    <n v="586.64"/>
  </r>
  <r>
    <n v="100398"/>
    <d v="2025-12-26T00:00:00"/>
    <d v="2025-12-28T00:00:00"/>
    <d v="2026-01-07T00:00:00"/>
    <s v="C4968"/>
    <x v="2"/>
    <s v="United States"/>
    <s v="P12716"/>
    <s v="Snack Carton"/>
    <s v="FMCG"/>
    <s v="S290"/>
    <s v="BlueRiver Trading"/>
    <s v="Europe"/>
    <s v="WH 09"/>
    <s v="Johannesburg"/>
    <x v="3"/>
    <n v="209"/>
    <n v="35.5"/>
    <n v="7419.5"/>
    <n v="15.77"/>
    <n v="10"/>
    <n v="12"/>
    <n v="3406"/>
    <x v="0"/>
    <x v="0"/>
    <n v="406.94"/>
  </r>
  <r>
    <n v="100399"/>
    <d v="2025-12-31T00:00:00"/>
    <d v="2026-01-05T00:00:00"/>
    <d v="2026-01-09T00:00:00"/>
    <s v="C5938"/>
    <x v="0"/>
    <s v="Vietnam"/>
    <s v="P48185"/>
    <s v="Denim Jeans"/>
    <s v="Apparel"/>
    <s v="S984"/>
    <s v="Summit Supply Co"/>
    <s v="Africa"/>
    <s v="WH 09"/>
    <s v="Johannesburg"/>
    <x v="1"/>
    <n v="426"/>
    <n v="30.81"/>
    <n v="13125.06"/>
    <n v="56.12"/>
    <n v="4"/>
    <n v="9"/>
    <n v="1657"/>
    <x v="0"/>
    <x v="0"/>
    <n v="2509.04"/>
  </r>
  <r>
    <n v="100400"/>
    <d v="2025-07-13T00:00:00"/>
    <d v="2025-07-15T00:00:00"/>
    <d v="2025-07-28T00:00:00"/>
    <s v="C9802"/>
    <x v="4"/>
    <s v="Qatar"/>
    <s v="P83843"/>
    <s v="Smart Watch"/>
    <s v="Electronics"/>
    <s v="S369"/>
    <s v="Pioneer Distribution"/>
    <s v="Middle East"/>
    <s v="WH 02"/>
    <s v="Lahore"/>
    <x v="2"/>
    <n v="456"/>
    <n v="335.2"/>
    <n v="152851.20000000001"/>
    <n v="12.1"/>
    <n v="13"/>
    <n v="15"/>
    <n v="1390"/>
    <x v="0"/>
    <x v="0"/>
    <n v="27738.34"/>
  </r>
  <r>
    <n v="100401"/>
    <d v="2024-02-19T00:00:00"/>
    <d v="2024-02-24T00:00:00"/>
    <d v="2024-03-18T00:00:00"/>
    <s v="C4150"/>
    <x v="4"/>
    <s v="Turkey"/>
    <s v="P25386"/>
    <s v="Router"/>
    <s v="Electronics"/>
    <s v="S370"/>
    <s v="Orion Supplies"/>
    <s v="North America"/>
    <s v="WH 06"/>
    <s v="Amsterdam"/>
    <x v="2"/>
    <n v="59"/>
    <n v="306.24"/>
    <n v="18068.16"/>
    <n v="9.09"/>
    <n v="23"/>
    <n v="28"/>
    <n v="1664"/>
    <x v="0"/>
    <x v="0"/>
    <n v="2190.86"/>
  </r>
  <r>
    <n v="100402"/>
    <d v="2024-12-17T00:00:00"/>
    <d v="2024-12-21T00:00:00"/>
    <d v="2025-01-15T00:00:00"/>
    <s v="C2907"/>
    <x v="4"/>
    <s v="Turkey"/>
    <s v="P39424"/>
    <s v="Bookshelf"/>
    <s v="Furniture"/>
    <s v="S880"/>
    <s v="Summit Supply Co"/>
    <s v="Europe"/>
    <s v="WH 08"/>
    <s v="Chicago"/>
    <x v="2"/>
    <n v="10"/>
    <n v="57.41"/>
    <n v="574.1"/>
    <n v="8.1999999999999993"/>
    <n v="25"/>
    <n v="29"/>
    <n v="128"/>
    <x v="0"/>
    <x v="0"/>
    <n v="108.51"/>
  </r>
  <r>
    <n v="100403"/>
    <d v="2025-04-21T00:00:00"/>
    <d v="2025-04-25T00:00:00"/>
    <d v="2025-05-05T00:00:00"/>
    <s v="C5487"/>
    <x v="0"/>
    <s v="Indonesia"/>
    <s v="P24645"/>
    <s v="Bluetooth Speaker"/>
    <s v="Electronics"/>
    <s v="S485"/>
    <s v="Nova Industrial"/>
    <s v="Europe"/>
    <s v="WH 01"/>
    <s v="Karachi"/>
    <x v="0"/>
    <n v="218"/>
    <n v="235.99"/>
    <n v="51445.82"/>
    <n v="18.649999999999999"/>
    <n v="10"/>
    <n v="14"/>
    <n v="1674"/>
    <x v="0"/>
    <x v="0"/>
    <n v="7137.82"/>
  </r>
  <r>
    <n v="100404"/>
    <d v="2024-10-17T00:00:00"/>
    <d v="2024-10-21T00:00:00"/>
    <d v="2024-10-24T00:00:00"/>
    <s v="C7768"/>
    <x v="4"/>
    <s v="Turkey"/>
    <s v="P19130"/>
    <s v="Socks Pack"/>
    <s v="Apparel"/>
    <s v="S372"/>
    <s v="Evergreen Partners"/>
    <s v="Middle East"/>
    <s v="WH 07"/>
    <s v="Toronto"/>
    <x v="0"/>
    <n v="345"/>
    <n v="38.229999999999997"/>
    <n v="13189.35"/>
    <n v="16.48"/>
    <n v="3"/>
    <n v="7"/>
    <n v="279"/>
    <x v="2"/>
    <x v="0"/>
    <n v="3271.26"/>
  </r>
  <r>
    <n v="100405"/>
    <d v="2024-11-20T00:00:00"/>
    <d v="2024-11-24T00:00:00"/>
    <d v="2024-12-03T00:00:00"/>
    <s v="C7852"/>
    <x v="1"/>
    <s v="Morocco"/>
    <s v="P76985"/>
    <s v="First Aid Kit"/>
    <s v="Healthcare"/>
    <s v="S796"/>
    <s v="Nova Industrial"/>
    <s v="Asia"/>
    <s v="WH 05"/>
    <s v="Frankfurt"/>
    <x v="0"/>
    <n v="331"/>
    <n v="8.02"/>
    <n v="2654.62"/>
    <n v="21.86"/>
    <n v="9"/>
    <n v="13"/>
    <n v="2859"/>
    <x v="0"/>
    <x v="0"/>
    <n v="447.71"/>
  </r>
  <r>
    <n v="100406"/>
    <d v="2024-09-07T00:00:00"/>
    <d v="2024-09-12T00:00:00"/>
    <d v="2024-09-14T00:00:00"/>
    <s v="C8104"/>
    <x v="1"/>
    <s v="Kenya"/>
    <s v="P10215"/>
    <s v="Detergent Bag"/>
    <s v="FMCG"/>
    <s v="S231"/>
    <s v="Zenith Procurement"/>
    <s v="Middle East"/>
    <s v="WH 10"/>
    <s v="Cairo"/>
    <x v="0"/>
    <n v="269"/>
    <n v="15.9"/>
    <n v="4277.1000000000004"/>
    <n v="20.100000000000001"/>
    <n v="2"/>
    <n v="7"/>
    <n v="2006"/>
    <x v="2"/>
    <x v="0"/>
    <n v="324.14"/>
  </r>
  <r>
    <n v="100407"/>
    <d v="2025-11-30T00:00:00"/>
    <d v="2025-12-05T00:00:00"/>
    <d v="2025-12-11T00:00:00"/>
    <s v="C5567"/>
    <x v="2"/>
    <s v="Mexico"/>
    <s v="P84807"/>
    <s v="Study Table"/>
    <s v="Furniture"/>
    <s v="S724"/>
    <s v="Orion Supplies"/>
    <s v="Europe"/>
    <s v="WH 02"/>
    <s v="Lahore"/>
    <x v="0"/>
    <n v="22"/>
    <n v="65.16"/>
    <n v="1433.52"/>
    <n v="13.1"/>
    <n v="6"/>
    <n v="11"/>
    <n v="278"/>
    <x v="0"/>
    <x v="0"/>
    <n v="360.18"/>
  </r>
  <r>
    <n v="100408"/>
    <d v="2024-06-30T00:00:00"/>
    <d v="2024-07-02T00:00:00"/>
    <d v="2024-07-15T00:00:00"/>
    <s v="C4779"/>
    <x v="0"/>
    <s v="Malaysia"/>
    <s v="P52818"/>
    <s v="Thermometer"/>
    <s v="Healthcare"/>
    <s v="S170"/>
    <s v="Orion Supplies"/>
    <s v="North America"/>
    <s v="WH 03"/>
    <s v="Dubai"/>
    <x v="3"/>
    <n v="257"/>
    <n v="34.299999999999997"/>
    <n v="8815.1"/>
    <n v="16.940000000000001"/>
    <n v="13"/>
    <n v="15"/>
    <n v="3777"/>
    <x v="0"/>
    <x v="0"/>
    <n v="1582.82"/>
  </r>
  <r>
    <n v="100409"/>
    <d v="2025-04-18T00:00:00"/>
    <d v="2025-04-23T00:00:00"/>
    <d v="2025-05-08T00:00:00"/>
    <s v="C8465"/>
    <x v="0"/>
    <s v="China"/>
    <s v="P66754"/>
    <s v="Shampoo Pack"/>
    <s v="FMCG"/>
    <s v="S795"/>
    <s v="Crescent Logistics"/>
    <s v="Middle East"/>
    <s v="WH 06"/>
    <s v="Amsterdam"/>
    <x v="0"/>
    <n v="188"/>
    <n v="5.82"/>
    <n v="1094.1600000000001"/>
    <n v="17.8"/>
    <n v="15"/>
    <n v="20"/>
    <n v="2879"/>
    <x v="1"/>
    <x v="3"/>
    <n v="36.99"/>
  </r>
  <r>
    <n v="100410"/>
    <d v="2024-08-28T00:00:00"/>
    <d v="2024-08-28T00:00:00"/>
    <d v="2024-08-31T00:00:00"/>
    <s v="C4768"/>
    <x v="3"/>
    <s v="Italy"/>
    <s v="P51910"/>
    <s v="Snack Carton"/>
    <s v="FMCG"/>
    <s v="S927"/>
    <s v="BlueRiver Trading"/>
    <s v="Asia"/>
    <s v="WH 06"/>
    <s v="Amsterdam"/>
    <x v="1"/>
    <n v="108"/>
    <n v="21.35"/>
    <n v="2305.8000000000002"/>
    <n v="35.51"/>
    <n v="3"/>
    <n v="3"/>
    <n v="3905"/>
    <x v="2"/>
    <x v="0"/>
    <n v="300.82"/>
  </r>
  <r>
    <n v="100411"/>
    <d v="2025-06-26T00:00:00"/>
    <d v="2025-07-01T00:00:00"/>
    <d v="2025-07-06T00:00:00"/>
    <s v="C5368"/>
    <x v="2"/>
    <s v="Mexico"/>
    <s v="P37094"/>
    <s v="Wireless Earbuds"/>
    <s v="Electronics"/>
    <s v="S306"/>
    <s v="Vertex Manufacturing"/>
    <s v="Asia"/>
    <s v="WH 08"/>
    <s v="Chicago"/>
    <x v="3"/>
    <n v="119"/>
    <n v="417.16"/>
    <n v="49642.04"/>
    <n v="13.58"/>
    <n v="5"/>
    <n v="10"/>
    <n v="1641"/>
    <x v="0"/>
    <x v="0"/>
    <n v="4102.05"/>
  </r>
  <r>
    <n v="100412"/>
    <d v="2025-04-21T00:00:00"/>
    <d v="2025-04-26T00:00:00"/>
    <d v="2025-05-04T00:00:00"/>
    <s v="C7362"/>
    <x v="1"/>
    <s v="Nigeria"/>
    <s v="P84219"/>
    <s v="Power Bank"/>
    <s v="Electronics"/>
    <s v="S990"/>
    <s v="Vertex Manufacturing"/>
    <s v="Europe"/>
    <s v="WH 06"/>
    <s v="Amsterdam"/>
    <x v="3"/>
    <n v="70"/>
    <n v="248.31"/>
    <n v="17381.7"/>
    <n v="12.39"/>
    <n v="8"/>
    <n v="13"/>
    <n v="587"/>
    <x v="0"/>
    <x v="0"/>
    <n v="3652.91"/>
  </r>
  <r>
    <n v="100413"/>
    <d v="2025-11-29T00:00:00"/>
    <d v="2025-12-02T00:00:00"/>
    <d v="2025-12-16T00:00:00"/>
    <s v="C6966"/>
    <x v="2"/>
    <s v="United States"/>
    <s v="P49725"/>
    <s v="Vitamin Pack"/>
    <s v="Healthcare"/>
    <s v="S551"/>
    <s v="Atlas Sourcing"/>
    <s v="Africa"/>
    <s v="WH 01"/>
    <s v="Karachi"/>
    <x v="2"/>
    <n v="215"/>
    <n v="52.65"/>
    <n v="11319.75"/>
    <n v="11.94"/>
    <n v="14"/>
    <n v="17"/>
    <n v="526"/>
    <x v="0"/>
    <x v="0"/>
    <n v="1066.33"/>
  </r>
  <r>
    <n v="100414"/>
    <d v="2025-10-13T00:00:00"/>
    <d v="2025-10-18T00:00:00"/>
    <d v="2025-10-25T00:00:00"/>
    <s v="C9320"/>
    <x v="0"/>
    <s v="India"/>
    <s v="P59589"/>
    <s v="Power Bank"/>
    <s v="Electronics"/>
    <s v="S850"/>
    <s v="Zenith Procurement"/>
    <s v="Middle East"/>
    <s v="WH 03"/>
    <s v="Dubai"/>
    <x v="0"/>
    <n v="67"/>
    <n v="94.1"/>
    <n v="6304.7"/>
    <n v="14.37"/>
    <n v="7"/>
    <n v="12"/>
    <n v="951"/>
    <x v="1"/>
    <x v="2"/>
    <n v="731.84"/>
  </r>
  <r>
    <n v="100415"/>
    <d v="2024-02-13T00:00:00"/>
    <d v="2024-02-15T00:00:00"/>
    <d v="2024-03-05T00:00:00"/>
    <s v="C1547"/>
    <x v="0"/>
    <s v="Indonesia"/>
    <s v="P86396"/>
    <s v="Study Table"/>
    <s v="Furniture"/>
    <s v="S666"/>
    <s v="Zenith Procurement"/>
    <s v="Europe"/>
    <s v="WH 07"/>
    <s v="Toronto"/>
    <x v="2"/>
    <n v="201"/>
    <n v="75.91"/>
    <n v="15257.91"/>
    <n v="11.68"/>
    <n v="19"/>
    <n v="21"/>
    <n v="1640"/>
    <x v="0"/>
    <x v="0"/>
    <n v="3333.44"/>
  </r>
  <r>
    <n v="100416"/>
    <d v="2024-06-02T00:00:00"/>
    <d v="2024-06-04T00:00:00"/>
    <d v="2024-06-07T00:00:00"/>
    <s v="C9737"/>
    <x v="2"/>
    <s v="United States"/>
    <s v="P73656"/>
    <s v="Hand Sanitizer Case"/>
    <s v="Healthcare"/>
    <s v="S780"/>
    <s v="BlueRiver Trading"/>
    <s v="Africa"/>
    <s v="WH 01"/>
    <s v="Karachi"/>
    <x v="1"/>
    <n v="160"/>
    <n v="69.150000000000006"/>
    <n v="11064"/>
    <n v="38.880000000000003"/>
    <n v="3"/>
    <n v="5"/>
    <n v="2279"/>
    <x v="2"/>
    <x v="0"/>
    <n v="1915.49"/>
  </r>
  <r>
    <n v="100417"/>
    <d v="2024-06-28T00:00:00"/>
    <d v="2024-07-03T00:00:00"/>
    <d v="2024-07-19T00:00:00"/>
    <s v="C4161"/>
    <x v="3"/>
    <s v="Sweden"/>
    <s v="P14321"/>
    <s v="Vitamin Pack"/>
    <s v="Healthcare"/>
    <s v="S769"/>
    <s v="Evergreen Partners"/>
    <s v="Asia"/>
    <s v="WH 08"/>
    <s v="Chicago"/>
    <x v="2"/>
    <n v="237"/>
    <n v="53.26"/>
    <n v="12622.62"/>
    <n v="12.34"/>
    <n v="16"/>
    <n v="21"/>
    <n v="3368"/>
    <x v="0"/>
    <x v="0"/>
    <n v="1363.36"/>
  </r>
  <r>
    <n v="100418"/>
    <d v="2024-02-25T00:00:00"/>
    <d v="2024-02-25T00:00:00"/>
    <d v="2024-02-28T00:00:00"/>
    <s v="C4565"/>
    <x v="2"/>
    <s v="Canada"/>
    <s v="P30977"/>
    <s v="Router"/>
    <s v="Electronics"/>
    <s v="S541"/>
    <s v="Pioneer Distribution"/>
    <s v="Asia"/>
    <s v="WH 06"/>
    <s v="Amsterdam"/>
    <x v="1"/>
    <n v="139"/>
    <n v="207.51"/>
    <n v="28843.89"/>
    <n v="37.520000000000003"/>
    <n v="3"/>
    <n v="3"/>
    <n v="163"/>
    <x v="2"/>
    <x v="0"/>
    <n v="3746.4"/>
  </r>
  <r>
    <n v="100419"/>
    <d v="2025-12-15T00:00:00"/>
    <d v="2025-12-16T00:00:00"/>
    <d v="2026-01-03T00:00:00"/>
    <s v="C5522"/>
    <x v="2"/>
    <s v="Mexico"/>
    <s v="P29572"/>
    <s v="Socks Pack"/>
    <s v="Apparel"/>
    <s v="S265"/>
    <s v="Atlas Sourcing"/>
    <s v="Middle East"/>
    <s v="WH 06"/>
    <s v="Amsterdam"/>
    <x v="2"/>
    <n v="50"/>
    <n v="18.86"/>
    <n v="943"/>
    <n v="8.93"/>
    <n v="18"/>
    <n v="19"/>
    <n v="515"/>
    <x v="1"/>
    <x v="2"/>
    <n v="188.9"/>
  </r>
  <r>
    <n v="100420"/>
    <d v="2024-11-13T00:00:00"/>
    <d v="2024-11-13T00:00:00"/>
    <d v="2024-11-20T00:00:00"/>
    <s v="C5212"/>
    <x v="3"/>
    <s v="Poland"/>
    <s v="P33345"/>
    <s v="First Aid Kit"/>
    <s v="Healthcare"/>
    <s v="S467"/>
    <s v="Crescent Logistics"/>
    <s v="Asia"/>
    <s v="WH 07"/>
    <s v="Toronto"/>
    <x v="3"/>
    <n v="103"/>
    <n v="24.88"/>
    <n v="2562.64"/>
    <n v="13.19"/>
    <n v="7"/>
    <n v="7"/>
    <n v="1938"/>
    <x v="2"/>
    <x v="0"/>
    <n v="260.26"/>
  </r>
  <r>
    <n v="100421"/>
    <d v="2024-09-30T00:00:00"/>
    <d v="2024-10-01T00:00:00"/>
    <d v="2024-10-06T00:00:00"/>
    <s v="C2552"/>
    <x v="3"/>
    <s v="Netherlands"/>
    <s v="P61272"/>
    <s v="T Shirt Bundle"/>
    <s v="Apparel"/>
    <s v="S113"/>
    <s v="Zenith Procurement"/>
    <s v="Asia"/>
    <s v="WH 07"/>
    <s v="Toronto"/>
    <x v="0"/>
    <n v="442"/>
    <n v="22.64"/>
    <n v="10006.879999999999"/>
    <n v="25"/>
    <n v="5"/>
    <n v="6"/>
    <n v="2329"/>
    <x v="2"/>
    <x v="0"/>
    <n v="2171.37"/>
  </r>
  <r>
    <n v="100422"/>
    <d v="2024-09-21T00:00:00"/>
    <d v="2024-09-25T00:00:00"/>
    <d v="2024-09-28T00:00:00"/>
    <s v="C1996"/>
    <x v="0"/>
    <s v="India"/>
    <s v="P36870"/>
    <s v="First Aid Kit"/>
    <s v="Healthcare"/>
    <s v="S630"/>
    <s v="Evergreen Partners"/>
    <s v="Middle East"/>
    <s v="WH 01"/>
    <s v="Karachi"/>
    <x v="1"/>
    <n v="355"/>
    <n v="83.38"/>
    <n v="29599.9"/>
    <n v="51.52"/>
    <n v="3"/>
    <n v="7"/>
    <n v="1377"/>
    <x v="2"/>
    <x v="0"/>
    <n v="3732.26"/>
  </r>
  <r>
    <n v="100423"/>
    <d v="2025-03-25T00:00:00"/>
    <d v="2025-03-25T00:00:00"/>
    <d v="2025-04-13T00:00:00"/>
    <s v="C9096"/>
    <x v="2"/>
    <s v="United States"/>
    <s v="P57691"/>
    <s v="Smart Watch"/>
    <s v="Electronics"/>
    <s v="S276"/>
    <s v="Summit Supply Co"/>
    <s v="Middle East"/>
    <s v="WH 06"/>
    <s v="Amsterdam"/>
    <x v="2"/>
    <n v="193"/>
    <n v="193.32"/>
    <n v="37310.76"/>
    <n v="11.54"/>
    <n v="19"/>
    <n v="19"/>
    <n v="1122"/>
    <x v="0"/>
    <x v="0"/>
    <n v="7120.45"/>
  </r>
  <r>
    <n v="100424"/>
    <d v="2024-02-15T00:00:00"/>
    <d v="2024-02-20T00:00:00"/>
    <d v="2024-02-27T00:00:00"/>
    <s v="C2212"/>
    <x v="0"/>
    <s v="Indonesia"/>
    <s v="P66117"/>
    <s v="Router"/>
    <s v="Electronics"/>
    <s v="S929"/>
    <s v="Crescent Logistics"/>
    <s v="Middle East"/>
    <s v="WH 02"/>
    <s v="Lahore"/>
    <x v="3"/>
    <n v="138"/>
    <n v="79.989999999999995"/>
    <n v="11038.62"/>
    <n v="14.05"/>
    <n v="7"/>
    <n v="12"/>
    <n v="1339"/>
    <x v="0"/>
    <x v="0"/>
    <n v="1770.66"/>
  </r>
  <r>
    <n v="100425"/>
    <d v="2024-05-13T00:00:00"/>
    <d v="2024-05-16T00:00:00"/>
    <d v="2024-05-24T00:00:00"/>
    <s v="C3713"/>
    <x v="4"/>
    <s v="Saudi Arabia"/>
    <s v="P55254"/>
    <s v="Snack Carton"/>
    <s v="FMCG"/>
    <s v="S260"/>
    <s v="Nova Industrial"/>
    <s v="North America"/>
    <s v="WH 07"/>
    <s v="Toronto"/>
    <x v="0"/>
    <n v="35"/>
    <n v="6.21"/>
    <n v="217.35"/>
    <n v="13.47"/>
    <n v="8"/>
    <n v="11"/>
    <n v="1023"/>
    <x v="0"/>
    <x v="0"/>
    <n v="17.600000000000001"/>
  </r>
  <r>
    <n v="100426"/>
    <d v="2025-02-01T00:00:00"/>
    <d v="2025-02-04T00:00:00"/>
    <d v="2025-02-05T00:00:00"/>
    <s v="C9747"/>
    <x v="2"/>
    <s v="Canada"/>
    <s v="P97968"/>
    <s v="Denim Jeans"/>
    <s v="Apparel"/>
    <s v="S880"/>
    <s v="BlueRiver Trading"/>
    <s v="Europe"/>
    <s v="WH 03"/>
    <s v="Dubai"/>
    <x v="1"/>
    <n v="87"/>
    <n v="37.74"/>
    <n v="3283.38"/>
    <n v="34.15"/>
    <n v="1"/>
    <n v="4"/>
    <n v="2807"/>
    <x v="2"/>
    <x v="0"/>
    <n v="629.73"/>
  </r>
  <r>
    <n v="100427"/>
    <d v="2025-07-31T00:00:00"/>
    <d v="2025-08-01T00:00:00"/>
    <d v="2025-08-11T00:00:00"/>
    <s v="C4276"/>
    <x v="3"/>
    <s v="Germany"/>
    <s v="P57894"/>
    <s v="Bottled Water Case"/>
    <s v="FMCG"/>
    <s v="S436"/>
    <s v="Pioneer Distribution"/>
    <s v="North America"/>
    <s v="WH 07"/>
    <s v="Toronto"/>
    <x v="0"/>
    <n v="263"/>
    <n v="11.23"/>
    <n v="2953.49"/>
    <n v="19.93"/>
    <n v="10"/>
    <n v="11"/>
    <n v="1599"/>
    <x v="0"/>
    <x v="0"/>
    <n v="408.51"/>
  </r>
  <r>
    <n v="100428"/>
    <d v="2025-09-03T00:00:00"/>
    <d v="2025-09-08T00:00:00"/>
    <d v="2025-09-12T00:00:00"/>
    <s v="C2532"/>
    <x v="1"/>
    <s v="Nigeria"/>
    <s v="P97173"/>
    <s v="Bottled Water Case"/>
    <s v="FMCG"/>
    <s v="S291"/>
    <s v="Nova Industrial"/>
    <s v="Middle East"/>
    <s v="WH 05"/>
    <s v="Frankfurt"/>
    <x v="0"/>
    <n v="365"/>
    <n v="10.37"/>
    <n v="3785.05"/>
    <n v="22.82"/>
    <n v="4"/>
    <n v="9"/>
    <n v="823"/>
    <x v="0"/>
    <x v="0"/>
    <n v="326.76"/>
  </r>
  <r>
    <n v="100429"/>
    <d v="2025-04-24T00:00:00"/>
    <d v="2025-04-26T00:00:00"/>
    <d v="2025-05-03T00:00:00"/>
    <s v="C7500"/>
    <x v="0"/>
    <s v="India"/>
    <s v="P27199"/>
    <s v="Socks Pack"/>
    <s v="Apparel"/>
    <s v="S746"/>
    <s v="Orion Supplies"/>
    <s v="Europe"/>
    <s v="WH 06"/>
    <s v="Amsterdam"/>
    <x v="0"/>
    <n v="452"/>
    <n v="84.84"/>
    <n v="38347.68"/>
    <n v="25.29"/>
    <n v="7"/>
    <n v="9"/>
    <n v="292"/>
    <x v="0"/>
    <x v="0"/>
    <n v="9228.7999999999993"/>
  </r>
  <r>
    <n v="100430"/>
    <d v="2024-09-27T00:00:00"/>
    <d v="2024-09-29T00:00:00"/>
    <d v="2024-10-21T00:00:00"/>
    <s v="C5500"/>
    <x v="0"/>
    <s v="China"/>
    <s v="P76708"/>
    <s v="Snack Carton"/>
    <s v="FMCG"/>
    <s v="S988"/>
    <s v="Evergreen Partners"/>
    <s v="Africa"/>
    <s v="WH 01"/>
    <s v="Karachi"/>
    <x v="2"/>
    <n v="276"/>
    <n v="36.700000000000003"/>
    <n v="10129.200000000001"/>
    <n v="13.05"/>
    <n v="22"/>
    <n v="24"/>
    <n v="1941"/>
    <x v="0"/>
    <x v="0"/>
    <n v="1748.47"/>
  </r>
  <r>
    <n v="100431"/>
    <d v="2025-10-13T00:00:00"/>
    <d v="2025-10-18T00:00:00"/>
    <d v="2025-10-25T00:00:00"/>
    <s v="C4240"/>
    <x v="2"/>
    <s v="United States"/>
    <s v="P82201"/>
    <s v="Power Bank"/>
    <s v="Electronics"/>
    <s v="S733"/>
    <s v="Pioneer Distribution"/>
    <s v="Africa"/>
    <s v="WH 09"/>
    <s v="Johannesburg"/>
    <x v="1"/>
    <n v="410"/>
    <n v="107.31"/>
    <n v="43997.1"/>
    <n v="55.08"/>
    <n v="7"/>
    <n v="12"/>
    <n v="1007"/>
    <x v="0"/>
    <x v="0"/>
    <n v="3817.7"/>
  </r>
  <r>
    <n v="100432"/>
    <d v="2024-04-15T00:00:00"/>
    <d v="2024-04-19T00:00:00"/>
    <d v="2024-05-04T00:00:00"/>
    <s v="C3244"/>
    <x v="0"/>
    <s v="Malaysia"/>
    <s v="P78619"/>
    <s v="Smart Watch"/>
    <s v="Electronics"/>
    <s v="S180"/>
    <s v="BlueRiver Trading"/>
    <s v="Asia"/>
    <s v="WH 01"/>
    <s v="Karachi"/>
    <x v="2"/>
    <n v="339"/>
    <n v="290.77"/>
    <n v="98571.03"/>
    <n v="10.52"/>
    <n v="15"/>
    <n v="19"/>
    <n v="441"/>
    <x v="0"/>
    <x v="0"/>
    <n v="8216.92"/>
  </r>
  <r>
    <n v="100433"/>
    <d v="2024-01-02T00:00:00"/>
    <d v="2024-01-03T00:00:00"/>
    <d v="2024-01-23T00:00:00"/>
    <s v="C1739"/>
    <x v="3"/>
    <s v="France"/>
    <s v="P77081"/>
    <s v="Bookshelf"/>
    <s v="Furniture"/>
    <s v="S568"/>
    <s v="BlueRiver Trading"/>
    <s v="Africa"/>
    <s v="WH 10"/>
    <s v="Cairo"/>
    <x v="2"/>
    <n v="221"/>
    <n v="119.82"/>
    <n v="26480.22"/>
    <n v="12.05"/>
    <n v="20"/>
    <n v="21"/>
    <n v="923"/>
    <x v="0"/>
    <x v="0"/>
    <n v="5020.1099999999997"/>
  </r>
  <r>
    <n v="100434"/>
    <d v="2025-10-22T00:00:00"/>
    <d v="2025-10-25T00:00:00"/>
    <d v="2025-11-01T00:00:00"/>
    <s v="C7998"/>
    <x v="0"/>
    <s v="Pakistan"/>
    <s v="P41624"/>
    <s v="Smart Watch"/>
    <s v="Electronics"/>
    <s v="S228"/>
    <s v="Pioneer Distribution"/>
    <s v="Europe"/>
    <s v="WH 02"/>
    <s v="Lahore"/>
    <x v="1"/>
    <n v="419"/>
    <n v="347.48"/>
    <n v="145594.12"/>
    <n v="55.66"/>
    <n v="7"/>
    <n v="10"/>
    <n v="1319"/>
    <x v="0"/>
    <x v="0"/>
    <n v="12281.86"/>
  </r>
  <r>
    <n v="100435"/>
    <d v="2024-02-20T00:00:00"/>
    <d v="2024-02-21T00:00:00"/>
    <d v="2024-03-01T00:00:00"/>
    <s v="C6367"/>
    <x v="0"/>
    <s v="Pakistan"/>
    <s v="P26453"/>
    <s v="Office Chair"/>
    <s v="Furniture"/>
    <s v="S952"/>
    <s v="Crescent Logistics"/>
    <s v="Africa"/>
    <s v="WH 07"/>
    <s v="Toronto"/>
    <x v="1"/>
    <n v="66"/>
    <n v="113.35"/>
    <n v="7481.1"/>
    <n v="32.79"/>
    <n v="9"/>
    <n v="10"/>
    <n v="2057"/>
    <x v="0"/>
    <x v="0"/>
    <n v="1762.86"/>
  </r>
  <r>
    <n v="100436"/>
    <d v="2024-10-24T00:00:00"/>
    <d v="2024-10-26T00:00:00"/>
    <d v="2024-11-08T00:00:00"/>
    <s v="C8347"/>
    <x v="4"/>
    <s v="United Arab Emirates"/>
    <s v="P24249"/>
    <s v="Floor Lamp"/>
    <s v="Furniture"/>
    <s v="S643"/>
    <s v="Crescent Logistics"/>
    <s v="North America"/>
    <s v="WH 04"/>
    <s v="Istanbul"/>
    <x v="3"/>
    <n v="243"/>
    <n v="218.81"/>
    <n v="53170.83"/>
    <n v="16.600000000000001"/>
    <n v="13"/>
    <n v="15"/>
    <n v="892"/>
    <x v="0"/>
    <x v="0"/>
    <n v="9979.1200000000008"/>
  </r>
  <r>
    <n v="100437"/>
    <d v="2025-07-29T00:00:00"/>
    <d v="2025-07-29T00:00:00"/>
    <d v="2025-08-12T00:00:00"/>
    <s v="C8072"/>
    <x v="2"/>
    <s v="Canada"/>
    <s v="P61428"/>
    <s v="Study Table"/>
    <s v="Furniture"/>
    <s v="S325"/>
    <s v="Orion Supplies"/>
    <s v="Africa"/>
    <s v="WH 10"/>
    <s v="Cairo"/>
    <x v="2"/>
    <n v="93"/>
    <n v="179.21"/>
    <n v="16666.53"/>
    <n v="9.7100000000000009"/>
    <n v="14"/>
    <n v="14"/>
    <n v="931"/>
    <x v="0"/>
    <x v="0"/>
    <n v="2924.13"/>
  </r>
  <r>
    <n v="100438"/>
    <d v="2025-06-25T00:00:00"/>
    <d v="2025-06-28T00:00:00"/>
    <d v="2025-07-17T00:00:00"/>
    <s v="C9368"/>
    <x v="2"/>
    <s v="Canada"/>
    <s v="P62409"/>
    <s v="Storage Cabinet"/>
    <s v="Furniture"/>
    <s v="S317"/>
    <s v="Pioneer Distribution"/>
    <s v="Asia"/>
    <s v="WH 02"/>
    <s v="Lahore"/>
    <x v="2"/>
    <n v="173"/>
    <n v="200.15"/>
    <n v="34625.949999999997"/>
    <n v="11.17"/>
    <n v="19"/>
    <n v="22"/>
    <n v="574"/>
    <x v="1"/>
    <x v="3"/>
    <n v="5724.03"/>
  </r>
  <r>
    <n v="100439"/>
    <d v="2024-10-01T00:00:00"/>
    <d v="2024-10-02T00:00:00"/>
    <d v="2024-10-05T00:00:00"/>
    <s v="C3880"/>
    <x v="4"/>
    <s v="Saudi Arabia"/>
    <s v="P96807"/>
    <s v="Study Table"/>
    <s v="Furniture"/>
    <s v="S645"/>
    <s v="Summit Supply Co"/>
    <s v="Europe"/>
    <s v="WH 09"/>
    <s v="Johannesburg"/>
    <x v="1"/>
    <n v="318"/>
    <n v="75.12"/>
    <n v="23888.16"/>
    <n v="49.12"/>
    <n v="3"/>
    <n v="4"/>
    <n v="1603"/>
    <x v="2"/>
    <x v="0"/>
    <n v="4905.88"/>
  </r>
  <r>
    <n v="100440"/>
    <d v="2024-09-15T00:00:00"/>
    <d v="2024-09-16T00:00:00"/>
    <d v="2024-09-25T00:00:00"/>
    <s v="C4326"/>
    <x v="4"/>
    <s v="Qatar"/>
    <s v="P13659"/>
    <s v="Storage Cabinet"/>
    <s v="Furniture"/>
    <s v="S997"/>
    <s v="Pioneer Distribution"/>
    <s v="North America"/>
    <s v="WH 10"/>
    <s v="Cairo"/>
    <x v="0"/>
    <n v="468"/>
    <n v="270.45999999999998"/>
    <n v="126575.28"/>
    <n v="25.74"/>
    <n v="9"/>
    <n v="10"/>
    <n v="1331"/>
    <x v="1"/>
    <x v="1"/>
    <n v="-93.01"/>
  </r>
  <r>
    <n v="100441"/>
    <d v="2024-05-30T00:00:00"/>
    <d v="2024-06-04T00:00:00"/>
    <d v="2024-06-08T00:00:00"/>
    <s v="C4044"/>
    <x v="4"/>
    <s v="Qatar"/>
    <s v="P85148"/>
    <s v="Shampoo Pack"/>
    <s v="FMCG"/>
    <s v="S616"/>
    <s v="Zenith Procurement"/>
    <s v="Africa"/>
    <s v="WH 04"/>
    <s v="Istanbul"/>
    <x v="1"/>
    <n v="468"/>
    <n v="45.47"/>
    <n v="21279.96"/>
    <n v="58.84"/>
    <n v="4"/>
    <n v="9"/>
    <n v="3192"/>
    <x v="0"/>
    <x v="0"/>
    <n v="3342.68"/>
  </r>
  <r>
    <n v="100442"/>
    <d v="2024-02-09T00:00:00"/>
    <d v="2024-02-12T00:00:00"/>
    <d v="2024-02-16T00:00:00"/>
    <s v="C4823"/>
    <x v="2"/>
    <s v="United States"/>
    <s v="P58867"/>
    <s v="Storage Cabinet"/>
    <s v="Furniture"/>
    <s v="S952"/>
    <s v="Zenith Procurement"/>
    <s v="Africa"/>
    <s v="WH 04"/>
    <s v="Istanbul"/>
    <x v="0"/>
    <n v="207"/>
    <n v="186.99"/>
    <n v="38706.93"/>
    <n v="18.34"/>
    <n v="4"/>
    <n v="7"/>
    <n v="2108"/>
    <x v="2"/>
    <x v="0"/>
    <n v="10791.8"/>
  </r>
  <r>
    <n v="100443"/>
    <d v="2024-08-24T00:00:00"/>
    <d v="2024-08-28T00:00:00"/>
    <d v="2024-09-07T00:00:00"/>
    <s v="C3508"/>
    <x v="0"/>
    <s v="India"/>
    <s v="P63910"/>
    <s v="Snack Carton"/>
    <s v="FMCG"/>
    <s v="S734"/>
    <s v="Summit Supply Co"/>
    <s v="Asia"/>
    <s v="WH 04"/>
    <s v="Istanbul"/>
    <x v="2"/>
    <n v="153"/>
    <n v="20.38"/>
    <n v="3118.14"/>
    <n v="8.01"/>
    <n v="10"/>
    <n v="14"/>
    <n v="554"/>
    <x v="0"/>
    <x v="0"/>
    <n v="-40.130000000000003"/>
  </r>
  <r>
    <n v="100444"/>
    <d v="2024-12-22T00:00:00"/>
    <d v="2024-12-22T00:00:00"/>
    <d v="2025-01-03T00:00:00"/>
    <s v="C3803"/>
    <x v="2"/>
    <s v="United States"/>
    <s v="P21957"/>
    <s v="Toothpaste Box"/>
    <s v="FMCG"/>
    <s v="S383"/>
    <s v="Vertex Manufacturing"/>
    <s v="North America"/>
    <s v="WH 06"/>
    <s v="Amsterdam"/>
    <x v="3"/>
    <n v="321"/>
    <n v="10.43"/>
    <n v="3348.03"/>
    <n v="13.7"/>
    <n v="12"/>
    <n v="12"/>
    <n v="2829"/>
    <x v="0"/>
    <x v="0"/>
    <n v="563.41"/>
  </r>
  <r>
    <n v="100445"/>
    <d v="2025-08-12T00:00:00"/>
    <d v="2025-08-14T00:00:00"/>
    <d v="2025-08-21T00:00:00"/>
    <s v="C1544"/>
    <x v="2"/>
    <s v="Mexico"/>
    <s v="P38742"/>
    <s v="First Aid Kit"/>
    <s v="Healthcare"/>
    <s v="S667"/>
    <s v="Vertex Manufacturing"/>
    <s v="Europe"/>
    <s v="WH 08"/>
    <s v="Chicago"/>
    <x v="0"/>
    <n v="114"/>
    <n v="70.760000000000005"/>
    <n v="8066.64"/>
    <n v="15.71"/>
    <n v="7"/>
    <n v="9"/>
    <n v="967"/>
    <x v="1"/>
    <x v="2"/>
    <n v="796.01"/>
  </r>
  <r>
    <n v="100446"/>
    <d v="2024-08-08T00:00:00"/>
    <d v="2024-08-10T00:00:00"/>
    <d v="2024-08-13T00:00:00"/>
    <s v="C4985"/>
    <x v="3"/>
    <s v="Spain"/>
    <s v="P39475"/>
    <s v="Bluetooth Speaker"/>
    <s v="Electronics"/>
    <s v="S380"/>
    <s v="Orion Supplies"/>
    <s v="Europe"/>
    <s v="WH 10"/>
    <s v="Cairo"/>
    <x v="1"/>
    <n v="224"/>
    <n v="207.11"/>
    <n v="46392.639999999999"/>
    <n v="31.87"/>
    <n v="3"/>
    <n v="5"/>
    <n v="1493"/>
    <x v="2"/>
    <x v="0"/>
    <n v="9203.5400000000009"/>
  </r>
  <r>
    <n v="100447"/>
    <d v="2025-05-24T00:00:00"/>
    <d v="2025-05-24T00:00:00"/>
    <d v="2025-06-09T00:00:00"/>
    <s v="C2997"/>
    <x v="0"/>
    <s v="Indonesia"/>
    <s v="P84499"/>
    <s v="Office Chair"/>
    <s v="Furniture"/>
    <s v="S960"/>
    <s v="Zenith Procurement"/>
    <s v="Africa"/>
    <s v="WH 04"/>
    <s v="Istanbul"/>
    <x v="2"/>
    <n v="434"/>
    <n v="81.34"/>
    <n v="35301.56"/>
    <n v="15.93"/>
    <n v="16"/>
    <n v="16"/>
    <n v="483"/>
    <x v="0"/>
    <x v="0"/>
    <n v="4550.4399999999996"/>
  </r>
  <r>
    <n v="100448"/>
    <d v="2025-05-27T00:00:00"/>
    <d v="2025-05-28T00:00:00"/>
    <d v="2025-06-07T00:00:00"/>
    <s v="C5951"/>
    <x v="2"/>
    <s v="Mexico"/>
    <s v="P38333"/>
    <s v="Snack Carton"/>
    <s v="FMCG"/>
    <s v="S269"/>
    <s v="Orion Supplies"/>
    <s v="Asia"/>
    <s v="WH 03"/>
    <s v="Dubai"/>
    <x v="2"/>
    <n v="255"/>
    <n v="11.83"/>
    <n v="3016.65"/>
    <n v="12.67"/>
    <n v="10"/>
    <n v="11"/>
    <n v="4956"/>
    <x v="0"/>
    <x v="0"/>
    <n v="168.55"/>
  </r>
  <r>
    <n v="100449"/>
    <d v="2024-07-17T00:00:00"/>
    <d v="2024-07-18T00:00:00"/>
    <d v="2024-07-28T00:00:00"/>
    <s v="C1246"/>
    <x v="0"/>
    <s v="Vietnam"/>
    <s v="P12429"/>
    <s v="Hand Sanitizer Case"/>
    <s v="Healthcare"/>
    <s v="S338"/>
    <s v="BlueRiver Trading"/>
    <s v="North America"/>
    <s v="WH 07"/>
    <s v="Toronto"/>
    <x v="2"/>
    <n v="424"/>
    <n v="69.53"/>
    <n v="29480.720000000001"/>
    <n v="15.75"/>
    <n v="10"/>
    <n v="11"/>
    <n v="2807"/>
    <x v="0"/>
    <x v="0"/>
    <n v="5535.2"/>
  </r>
  <r>
    <n v="100450"/>
    <d v="2024-03-20T00:00:00"/>
    <d v="2024-03-20T00:00:00"/>
    <d v="2024-03-25T00:00:00"/>
    <s v="C5573"/>
    <x v="2"/>
    <s v="Canada"/>
    <s v="P25339"/>
    <s v="Denim Jeans"/>
    <s v="Apparel"/>
    <s v="S519"/>
    <s v="Crescent Logistics"/>
    <s v="Middle East"/>
    <s v="WH 08"/>
    <s v="Chicago"/>
    <x v="0"/>
    <n v="204"/>
    <n v="86.69"/>
    <n v="17684.759999999998"/>
    <n v="18.260000000000002"/>
    <n v="5"/>
    <n v="5"/>
    <n v="3051"/>
    <x v="2"/>
    <x v="0"/>
    <n v="3259.99"/>
  </r>
  <r>
    <n v="100451"/>
    <d v="2025-04-13T00:00:00"/>
    <d v="2025-04-16T00:00:00"/>
    <d v="2025-04-20T00:00:00"/>
    <s v="C4317"/>
    <x v="3"/>
    <s v="Poland"/>
    <s v="P54980"/>
    <s v="Thermometer"/>
    <s v="Healthcare"/>
    <s v="S183"/>
    <s v="Zenith Procurement"/>
    <s v="Europe"/>
    <s v="WH 10"/>
    <s v="Cairo"/>
    <x v="1"/>
    <n v="216"/>
    <n v="75.459999999999994"/>
    <n v="16299.36"/>
    <n v="31.49"/>
    <n v="4"/>
    <n v="7"/>
    <n v="364"/>
    <x v="2"/>
    <x v="0"/>
    <n v="2888.2"/>
  </r>
  <r>
    <n v="100452"/>
    <d v="2024-02-14T00:00:00"/>
    <d v="2024-02-15T00:00:00"/>
    <d v="2024-03-09T00:00:00"/>
    <s v="C1867"/>
    <x v="4"/>
    <s v="Qatar"/>
    <s v="P89315"/>
    <s v="Denim Jeans"/>
    <s v="Apparel"/>
    <s v="S919"/>
    <s v="Crescent Logistics"/>
    <s v="Asia"/>
    <s v="WH 10"/>
    <s v="Cairo"/>
    <x v="2"/>
    <n v="28"/>
    <n v="61.88"/>
    <n v="1732.64"/>
    <n v="8.5299999999999994"/>
    <n v="23"/>
    <n v="24"/>
    <n v="3228"/>
    <x v="1"/>
    <x v="1"/>
    <n v="-206.93"/>
  </r>
  <r>
    <n v="100453"/>
    <d v="2024-02-24T00:00:00"/>
    <d v="2024-02-25T00:00:00"/>
    <d v="2024-03-09T00:00:00"/>
    <s v="C1452"/>
    <x v="1"/>
    <s v="South Africa"/>
    <s v="P54921"/>
    <s v="Detergent Bag"/>
    <s v="FMCG"/>
    <s v="S493"/>
    <s v="Zenith Procurement"/>
    <s v="Africa"/>
    <s v="WH 04"/>
    <s v="Istanbul"/>
    <x v="3"/>
    <n v="19"/>
    <n v="36.94"/>
    <n v="701.86"/>
    <n v="8.26"/>
    <n v="13"/>
    <n v="14"/>
    <n v="1767"/>
    <x v="0"/>
    <x v="0"/>
    <n v="38.21"/>
  </r>
  <r>
    <n v="100454"/>
    <d v="2024-03-18T00:00:00"/>
    <d v="2024-03-22T00:00:00"/>
    <d v="2024-03-30T00:00:00"/>
    <s v="C4129"/>
    <x v="4"/>
    <s v="Saudi Arabia"/>
    <s v="P25032"/>
    <s v="T Shirt Bundle"/>
    <s v="Apparel"/>
    <s v="S673"/>
    <s v="Atlas Sourcing"/>
    <s v="North America"/>
    <s v="WH 06"/>
    <s v="Amsterdam"/>
    <x v="0"/>
    <n v="488"/>
    <n v="55.58"/>
    <n v="27123.040000000001"/>
    <n v="26.31"/>
    <n v="8"/>
    <n v="12"/>
    <n v="1851"/>
    <x v="0"/>
    <x v="0"/>
    <n v="5734.27"/>
  </r>
  <r>
    <n v="100455"/>
    <d v="2025-08-31T00:00:00"/>
    <d v="2025-09-05T00:00:00"/>
    <d v="2025-09-27T00:00:00"/>
    <s v="C4875"/>
    <x v="0"/>
    <s v="Vietnam"/>
    <s v="P91515"/>
    <s v="Sportswear Set"/>
    <s v="Apparel"/>
    <s v="S365"/>
    <s v="Orion Supplies"/>
    <s v="North America"/>
    <s v="WH 04"/>
    <s v="Istanbul"/>
    <x v="2"/>
    <n v="104"/>
    <n v="107.62"/>
    <n v="11192.48"/>
    <n v="9.91"/>
    <n v="22"/>
    <n v="27"/>
    <n v="1046"/>
    <x v="0"/>
    <x v="0"/>
    <n v="2991.67"/>
  </r>
  <r>
    <n v="100456"/>
    <d v="2025-01-06T00:00:00"/>
    <d v="2025-01-09T00:00:00"/>
    <d v="2025-01-24T00:00:00"/>
    <s v="C9347"/>
    <x v="0"/>
    <s v="Bangladesh"/>
    <s v="P93732"/>
    <s v="T Shirt Bundle"/>
    <s v="Apparel"/>
    <s v="S629"/>
    <s v="Orion Supplies"/>
    <s v="Asia"/>
    <s v="WH 07"/>
    <s v="Toronto"/>
    <x v="2"/>
    <n v="440"/>
    <n v="41.08"/>
    <n v="18075.2"/>
    <n v="11.88"/>
    <n v="15"/>
    <n v="18"/>
    <n v="1778"/>
    <x v="0"/>
    <x v="0"/>
    <n v="3919.94"/>
  </r>
  <r>
    <n v="100457"/>
    <d v="2024-08-14T00:00:00"/>
    <d v="2024-08-14T00:00:00"/>
    <d v="2024-08-25T00:00:00"/>
    <s v="C5332"/>
    <x v="4"/>
    <s v="Saudi Arabia"/>
    <s v="P24390"/>
    <s v="Floor Lamp"/>
    <s v="Furniture"/>
    <s v="S535"/>
    <s v="Evergreen Partners"/>
    <s v="North America"/>
    <s v="WH 09"/>
    <s v="Johannesburg"/>
    <x v="3"/>
    <n v="181"/>
    <n v="66.959999999999994"/>
    <n v="12119.76"/>
    <n v="15.09"/>
    <n v="11"/>
    <n v="11"/>
    <n v="1257"/>
    <x v="0"/>
    <x v="0"/>
    <n v="2088.66"/>
  </r>
  <r>
    <n v="100458"/>
    <d v="2025-08-21T00:00:00"/>
    <d v="2025-08-21T00:00:00"/>
    <d v="2025-08-25T00:00:00"/>
    <s v="C7354"/>
    <x v="0"/>
    <s v="Vietnam"/>
    <s v="P84231"/>
    <s v="Storage Cabinet"/>
    <s v="Furniture"/>
    <s v="S217"/>
    <s v="Atlas Sourcing"/>
    <s v="Europe"/>
    <s v="WH 08"/>
    <s v="Chicago"/>
    <x v="3"/>
    <n v="200"/>
    <n v="229.16"/>
    <n v="45832"/>
    <n v="15.55"/>
    <n v="4"/>
    <n v="4"/>
    <n v="364"/>
    <x v="1"/>
    <x v="2"/>
    <n v="7373.54"/>
  </r>
  <r>
    <n v="100459"/>
    <d v="2025-09-03T00:00:00"/>
    <d v="2025-09-05T00:00:00"/>
    <d v="2025-09-07T00:00:00"/>
    <s v="C6585"/>
    <x v="0"/>
    <s v="Bangladesh"/>
    <s v="P31876"/>
    <s v="Wireless Earbuds"/>
    <s v="Electronics"/>
    <s v="S857"/>
    <s v="Nova Industrial"/>
    <s v="Asia"/>
    <s v="WH 02"/>
    <s v="Lahore"/>
    <x v="0"/>
    <n v="260"/>
    <n v="152.32"/>
    <n v="39603.199999999997"/>
    <n v="14.7"/>
    <n v="2"/>
    <n v="4"/>
    <n v="1624"/>
    <x v="2"/>
    <x v="0"/>
    <n v="8573.01"/>
  </r>
  <r>
    <n v="100460"/>
    <d v="2024-07-22T00:00:00"/>
    <d v="2024-07-25T00:00:00"/>
    <d v="2024-07-30T00:00:00"/>
    <s v="C9498"/>
    <x v="3"/>
    <s v="Spain"/>
    <s v="P61012"/>
    <s v="Shampoo Pack"/>
    <s v="FMCG"/>
    <s v="S245"/>
    <s v="Summit Supply Co"/>
    <s v="Asia"/>
    <s v="WH 06"/>
    <s v="Amsterdam"/>
    <x v="1"/>
    <n v="435"/>
    <n v="49.56"/>
    <n v="21558.6"/>
    <n v="56.7"/>
    <n v="5"/>
    <n v="8"/>
    <n v="1079"/>
    <x v="0"/>
    <x v="0"/>
    <n v="2828.31"/>
  </r>
  <r>
    <n v="100461"/>
    <d v="2024-10-14T00:00:00"/>
    <d v="2024-10-17T00:00:00"/>
    <d v="2024-10-29T00:00:00"/>
    <s v="C1919"/>
    <x v="0"/>
    <s v="Malaysia"/>
    <s v="P44812"/>
    <s v="Detergent Bag"/>
    <s v="FMCG"/>
    <s v="S518"/>
    <s v="Evergreen Partners"/>
    <s v="Europe"/>
    <s v="WH 01"/>
    <s v="Karachi"/>
    <x v="3"/>
    <n v="223"/>
    <n v="40.85"/>
    <n v="9109.5499999999993"/>
    <n v="16.11"/>
    <n v="12"/>
    <n v="15"/>
    <n v="1399"/>
    <x v="0"/>
    <x v="0"/>
    <n v="1328.26"/>
  </r>
  <r>
    <n v="100462"/>
    <d v="2025-01-13T00:00:00"/>
    <d v="2025-01-15T00:00:00"/>
    <d v="2025-01-23T00:00:00"/>
    <s v="C8194"/>
    <x v="2"/>
    <s v="United States"/>
    <s v="P81387"/>
    <s v="Bottled Water Case"/>
    <s v="FMCG"/>
    <s v="S629"/>
    <s v="Summit Supply Co"/>
    <s v="Africa"/>
    <s v="WH 05"/>
    <s v="Frankfurt"/>
    <x v="0"/>
    <n v="176"/>
    <n v="44.26"/>
    <n v="7789.76"/>
    <n v="17.46"/>
    <n v="8"/>
    <n v="10"/>
    <n v="2775"/>
    <x v="0"/>
    <x v="0"/>
    <n v="1040.3800000000001"/>
  </r>
  <r>
    <n v="100463"/>
    <d v="2025-05-22T00:00:00"/>
    <d v="2025-05-27T00:00:00"/>
    <d v="2025-05-30T00:00:00"/>
    <s v="C7856"/>
    <x v="2"/>
    <s v="United States"/>
    <s v="P41213"/>
    <s v="Bluetooth Speaker"/>
    <s v="Electronics"/>
    <s v="S299"/>
    <s v="Evergreen Partners"/>
    <s v="Africa"/>
    <s v="WH 09"/>
    <s v="Johannesburg"/>
    <x v="1"/>
    <n v="264"/>
    <n v="293.83999999999997"/>
    <n v="77573.759999999995"/>
    <n v="45.62"/>
    <n v="3"/>
    <n v="8"/>
    <n v="643"/>
    <x v="0"/>
    <x v="0"/>
    <n v="15886.31"/>
  </r>
  <r>
    <n v="100464"/>
    <d v="2025-02-12T00:00:00"/>
    <d v="2025-02-15T00:00:00"/>
    <d v="2025-02-20T00:00:00"/>
    <s v="C5911"/>
    <x v="3"/>
    <s v="Germany"/>
    <s v="P23180"/>
    <s v="T Shirt Bundle"/>
    <s v="Apparel"/>
    <s v="S777"/>
    <s v="Evergreen Partners"/>
    <s v="Asia"/>
    <s v="WH 05"/>
    <s v="Frankfurt"/>
    <x v="3"/>
    <n v="320"/>
    <n v="15.42"/>
    <n v="4934.3999999999996"/>
    <n v="18.47"/>
    <n v="5"/>
    <n v="8"/>
    <n v="237"/>
    <x v="0"/>
    <x v="0"/>
    <n v="522.26"/>
  </r>
  <r>
    <n v="100465"/>
    <d v="2025-09-11T00:00:00"/>
    <d v="2025-09-12T00:00:00"/>
    <d v="2025-09-25T00:00:00"/>
    <s v="C6003"/>
    <x v="3"/>
    <s v="Germany"/>
    <s v="P67190"/>
    <s v="Smart Watch"/>
    <s v="Electronics"/>
    <s v="S757"/>
    <s v="Crescent Logistics"/>
    <s v="North America"/>
    <s v="WH 02"/>
    <s v="Lahore"/>
    <x v="3"/>
    <n v="459"/>
    <n v="233.44"/>
    <n v="107148.96"/>
    <n v="21.85"/>
    <n v="13"/>
    <n v="14"/>
    <n v="1039"/>
    <x v="0"/>
    <x v="0"/>
    <n v="11764.2"/>
  </r>
  <r>
    <n v="100466"/>
    <d v="2025-05-17T00:00:00"/>
    <d v="2025-05-18T00:00:00"/>
    <d v="2025-05-27T00:00:00"/>
    <s v="C4250"/>
    <x v="0"/>
    <s v="Bangladesh"/>
    <s v="P18061"/>
    <s v="Floor Lamp"/>
    <s v="Furniture"/>
    <s v="S517"/>
    <s v="Pioneer Distribution"/>
    <s v="North America"/>
    <s v="WH 02"/>
    <s v="Lahore"/>
    <x v="3"/>
    <n v="53"/>
    <n v="253.03"/>
    <n v="13410.59"/>
    <n v="11.98"/>
    <n v="9"/>
    <n v="10"/>
    <n v="375"/>
    <x v="0"/>
    <x v="0"/>
    <n v="2064.17"/>
  </r>
  <r>
    <n v="100467"/>
    <d v="2024-03-14T00:00:00"/>
    <d v="2024-03-16T00:00:00"/>
    <d v="2024-03-28T00:00:00"/>
    <s v="C9879"/>
    <x v="3"/>
    <s v="Italy"/>
    <s v="P85020"/>
    <s v="Bookshelf"/>
    <s v="Furniture"/>
    <s v="S475"/>
    <s v="Crescent Logistics"/>
    <s v="Middle East"/>
    <s v="WH 01"/>
    <s v="Karachi"/>
    <x v="3"/>
    <n v="331"/>
    <n v="78.95"/>
    <n v="26132.45"/>
    <n v="18.739999999999998"/>
    <n v="12"/>
    <n v="14"/>
    <n v="1602"/>
    <x v="1"/>
    <x v="3"/>
    <n v="6296.23"/>
  </r>
  <r>
    <n v="100468"/>
    <d v="2025-12-31T00:00:00"/>
    <d v="2026-01-04T00:00:00"/>
    <d v="2026-01-07T00:00:00"/>
    <s v="C4557"/>
    <x v="4"/>
    <s v="Oman"/>
    <s v="P79123"/>
    <s v="Denim Jeans"/>
    <s v="Apparel"/>
    <s v="S251"/>
    <s v="Nova Industrial"/>
    <s v="Africa"/>
    <s v="WH 01"/>
    <s v="Karachi"/>
    <x v="1"/>
    <n v="452"/>
    <n v="56.02"/>
    <n v="25321.040000000001"/>
    <n v="57.8"/>
    <n v="3"/>
    <n v="7"/>
    <n v="2521"/>
    <x v="1"/>
    <x v="2"/>
    <n v="4079.17"/>
  </r>
  <r>
    <n v="100469"/>
    <d v="2025-09-11T00:00:00"/>
    <d v="2025-09-11T00:00:00"/>
    <d v="2025-10-05T00:00:00"/>
    <s v="C1845"/>
    <x v="0"/>
    <s v="Pakistan"/>
    <s v="P73749"/>
    <s v="Socks Pack"/>
    <s v="Apparel"/>
    <s v="S884"/>
    <s v="Evergreen Partners"/>
    <s v="Africa"/>
    <s v="WH 04"/>
    <s v="Istanbul"/>
    <x v="2"/>
    <n v="429"/>
    <n v="44.41"/>
    <n v="19051.89"/>
    <n v="15.84"/>
    <n v="24"/>
    <n v="24"/>
    <n v="504"/>
    <x v="1"/>
    <x v="3"/>
    <n v="5672.84"/>
  </r>
  <r>
    <n v="100470"/>
    <d v="2024-03-06T00:00:00"/>
    <d v="2024-03-09T00:00:00"/>
    <d v="2024-03-16T00:00:00"/>
    <s v="C3486"/>
    <x v="4"/>
    <s v="Turkey"/>
    <s v="P18418"/>
    <s v="Storage Cabinet"/>
    <s v="Furniture"/>
    <s v="S543"/>
    <s v="Pioneer Distribution"/>
    <s v="Africa"/>
    <s v="WH 04"/>
    <s v="Istanbul"/>
    <x v="0"/>
    <n v="451"/>
    <n v="345.01"/>
    <n v="155599.51"/>
    <n v="25.26"/>
    <n v="7"/>
    <n v="10"/>
    <n v="1654"/>
    <x v="0"/>
    <x v="0"/>
    <n v="24252.27"/>
  </r>
  <r>
    <n v="100471"/>
    <d v="2024-09-24T00:00:00"/>
    <d v="2024-09-28T00:00:00"/>
    <d v="2024-10-09T00:00:00"/>
    <s v="C7183"/>
    <x v="2"/>
    <s v="United States"/>
    <s v="P13407"/>
    <s v="Office Chair"/>
    <s v="Furniture"/>
    <s v="S739"/>
    <s v="Summit Supply Co"/>
    <s v="Africa"/>
    <s v="WH 09"/>
    <s v="Johannesburg"/>
    <x v="3"/>
    <n v="182"/>
    <n v="40.64"/>
    <n v="7396.48"/>
    <n v="15.11"/>
    <n v="11"/>
    <n v="15"/>
    <n v="566"/>
    <x v="0"/>
    <x v="0"/>
    <n v="1078.57"/>
  </r>
  <r>
    <n v="100472"/>
    <d v="2024-04-25T00:00:00"/>
    <d v="2024-04-26T00:00:00"/>
    <d v="2024-05-12T00:00:00"/>
    <s v="C5934"/>
    <x v="0"/>
    <s v="Vietnam"/>
    <s v="P13880"/>
    <s v="Study Table"/>
    <s v="Furniture"/>
    <s v="S546"/>
    <s v="Crescent Logistics"/>
    <s v="Europe"/>
    <s v="WH 04"/>
    <s v="Istanbul"/>
    <x v="2"/>
    <n v="425"/>
    <n v="242.27"/>
    <n v="102964.75"/>
    <n v="15.76"/>
    <n v="16"/>
    <n v="17"/>
    <n v="2019"/>
    <x v="1"/>
    <x v="3"/>
    <n v="21466.47"/>
  </r>
  <r>
    <n v="100473"/>
    <d v="2025-07-10T00:00:00"/>
    <d v="2025-07-12T00:00:00"/>
    <d v="2025-07-27T00:00:00"/>
    <s v="C6210"/>
    <x v="0"/>
    <s v="Malaysia"/>
    <s v="P63997"/>
    <s v="Power Bank"/>
    <s v="Electronics"/>
    <s v="S169"/>
    <s v="Atlas Sourcing"/>
    <s v="Europe"/>
    <s v="WH 10"/>
    <s v="Cairo"/>
    <x v="2"/>
    <n v="175"/>
    <n v="375.1"/>
    <n v="65642.5"/>
    <n v="11.21"/>
    <n v="15"/>
    <n v="17"/>
    <n v="263"/>
    <x v="0"/>
    <x v="0"/>
    <n v="5596.36"/>
  </r>
  <r>
    <n v="100474"/>
    <d v="2024-02-18T00:00:00"/>
    <d v="2024-02-21T00:00:00"/>
    <d v="2024-02-22T00:00:00"/>
    <s v="C8406"/>
    <x v="2"/>
    <s v="Mexico"/>
    <s v="P36756"/>
    <s v="Bluetooth Speaker"/>
    <s v="Electronics"/>
    <s v="S885"/>
    <s v="Evergreen Partners"/>
    <s v="Africa"/>
    <s v="WH 07"/>
    <s v="Toronto"/>
    <x v="1"/>
    <n v="175"/>
    <n v="93.25"/>
    <n v="16318.75"/>
    <n v="39.85"/>
    <n v="1"/>
    <n v="4"/>
    <n v="1551"/>
    <x v="2"/>
    <x v="0"/>
    <n v="1943.13"/>
  </r>
  <r>
    <n v="100475"/>
    <d v="2025-09-26T00:00:00"/>
    <d v="2025-09-29T00:00:00"/>
    <d v="2025-10-01T00:00:00"/>
    <s v="C1821"/>
    <x v="2"/>
    <s v="Mexico"/>
    <s v="P66677"/>
    <s v="Office Chair"/>
    <s v="Furniture"/>
    <s v="S262"/>
    <s v="Vertex Manufacturing"/>
    <s v="Africa"/>
    <s v="WH 09"/>
    <s v="Johannesburg"/>
    <x v="1"/>
    <n v="107"/>
    <n v="311.91000000000003"/>
    <n v="33374.370000000003"/>
    <n v="35.450000000000003"/>
    <n v="2"/>
    <n v="5"/>
    <n v="1982"/>
    <x v="2"/>
    <x v="0"/>
    <n v="4539.3"/>
  </r>
  <r>
    <n v="100476"/>
    <d v="2024-06-29T00:00:00"/>
    <d v="2024-07-03T00:00:00"/>
    <d v="2024-07-10T00:00:00"/>
    <s v="C4933"/>
    <x v="0"/>
    <s v="Malaysia"/>
    <s v="P13385"/>
    <s v="Toothpaste Box"/>
    <s v="FMCG"/>
    <s v="S592"/>
    <s v="Vertex Manufacturing"/>
    <s v="Africa"/>
    <s v="WH 10"/>
    <s v="Cairo"/>
    <x v="3"/>
    <n v="420"/>
    <n v="14.89"/>
    <n v="6253.8"/>
    <n v="20.9"/>
    <n v="7"/>
    <n v="11"/>
    <n v="1882"/>
    <x v="0"/>
    <x v="0"/>
    <n v="1058.43"/>
  </r>
  <r>
    <n v="100477"/>
    <d v="2024-08-11T00:00:00"/>
    <d v="2024-08-12T00:00:00"/>
    <d v="2024-08-16T00:00:00"/>
    <s v="C9540"/>
    <x v="0"/>
    <s v="Indonesia"/>
    <s v="P47500"/>
    <s v="Wireless Earbuds"/>
    <s v="Electronics"/>
    <s v="S278"/>
    <s v="Summit Supply Co"/>
    <s v="North America"/>
    <s v="WH 07"/>
    <s v="Toronto"/>
    <x v="0"/>
    <n v="48"/>
    <n v="449.09"/>
    <n v="21556.32"/>
    <n v="13.83"/>
    <n v="4"/>
    <n v="5"/>
    <n v="1076"/>
    <x v="2"/>
    <x v="0"/>
    <n v="3685.04"/>
  </r>
  <r>
    <n v="100478"/>
    <d v="2024-07-21T00:00:00"/>
    <d v="2024-07-23T00:00:00"/>
    <d v="2024-07-24T00:00:00"/>
    <s v="C7878"/>
    <x v="4"/>
    <s v="Oman"/>
    <s v="P27509"/>
    <s v="Thermometer"/>
    <s v="Healthcare"/>
    <s v="S145"/>
    <s v="Pioneer Distribution"/>
    <s v="Asia"/>
    <s v="WH 03"/>
    <s v="Dubai"/>
    <x v="1"/>
    <n v="75"/>
    <n v="13.35"/>
    <n v="1001.25"/>
    <n v="33.369999999999997"/>
    <n v="1"/>
    <n v="3"/>
    <n v="4242"/>
    <x v="2"/>
    <x v="0"/>
    <n v="151.16999999999999"/>
  </r>
  <r>
    <n v="100479"/>
    <d v="2024-10-17T00:00:00"/>
    <d v="2024-10-20T00:00:00"/>
    <d v="2024-10-21T00:00:00"/>
    <s v="C8653"/>
    <x v="4"/>
    <s v="Saudi Arabia"/>
    <s v="P84323"/>
    <s v="Thermometer"/>
    <s v="Healthcare"/>
    <s v="S802"/>
    <s v="Evergreen Partners"/>
    <s v="Asia"/>
    <s v="WH 07"/>
    <s v="Toronto"/>
    <x v="1"/>
    <n v="60"/>
    <n v="15.96"/>
    <n v="957.6"/>
    <n v="32.4"/>
    <n v="1"/>
    <n v="4"/>
    <n v="4421"/>
    <x v="2"/>
    <x v="0"/>
    <n v="25.2"/>
  </r>
  <r>
    <n v="100480"/>
    <d v="2024-07-06T00:00:00"/>
    <d v="2024-07-11T00:00:00"/>
    <d v="2024-07-16T00:00:00"/>
    <s v="C4185"/>
    <x v="3"/>
    <s v="Germany"/>
    <s v="P41819"/>
    <s v="Bookshelf"/>
    <s v="Furniture"/>
    <s v="S775"/>
    <s v="Zenith Procurement"/>
    <s v="Asia"/>
    <s v="WH 06"/>
    <s v="Amsterdam"/>
    <x v="1"/>
    <n v="94"/>
    <n v="60.48"/>
    <n v="5685.12"/>
    <n v="34.6"/>
    <n v="5"/>
    <n v="10"/>
    <n v="738"/>
    <x v="0"/>
    <x v="0"/>
    <n v="1390.67"/>
  </r>
  <r>
    <n v="100481"/>
    <d v="2024-12-11T00:00:00"/>
    <d v="2024-12-16T00:00:00"/>
    <d v="2024-12-26T00:00:00"/>
    <s v="C5366"/>
    <x v="2"/>
    <s v="Canada"/>
    <s v="P98719"/>
    <s v="Office Chair"/>
    <s v="Furniture"/>
    <s v="S356"/>
    <s v="Atlas Sourcing"/>
    <s v="Europe"/>
    <s v="WH 05"/>
    <s v="Frankfurt"/>
    <x v="1"/>
    <n v="153"/>
    <n v="225.28"/>
    <n v="34467.839999999997"/>
    <n v="38.43"/>
    <n v="10"/>
    <n v="15"/>
    <n v="997"/>
    <x v="0"/>
    <x v="0"/>
    <n v="9519.17"/>
  </r>
  <r>
    <n v="100482"/>
    <d v="2025-03-13T00:00:00"/>
    <d v="2025-03-15T00:00:00"/>
    <d v="2025-03-24T00:00:00"/>
    <s v="C9186"/>
    <x v="2"/>
    <s v="Canada"/>
    <s v="P96373"/>
    <s v="Storage Cabinet"/>
    <s v="Furniture"/>
    <s v="S273"/>
    <s v="BlueRiver Trading"/>
    <s v="Europe"/>
    <s v="WH 08"/>
    <s v="Chicago"/>
    <x v="3"/>
    <n v="226"/>
    <n v="311.91000000000003"/>
    <n v="70491.66"/>
    <n v="16.18"/>
    <n v="9"/>
    <n v="11"/>
    <n v="1682"/>
    <x v="0"/>
    <x v="0"/>
    <n v="9591.8799999999992"/>
  </r>
  <r>
    <n v="100483"/>
    <d v="2025-03-23T00:00:00"/>
    <d v="2025-03-26T00:00:00"/>
    <d v="2025-04-12T00:00:00"/>
    <s v="C1604"/>
    <x v="4"/>
    <s v="Oman"/>
    <s v="P71192"/>
    <s v="Hand Sanitizer Case"/>
    <s v="Healthcare"/>
    <s v="S370"/>
    <s v="Orion Supplies"/>
    <s v="Africa"/>
    <s v="WH 03"/>
    <s v="Dubai"/>
    <x v="2"/>
    <n v="103"/>
    <n v="70.05"/>
    <n v="7215.15"/>
    <n v="9.9"/>
    <n v="17"/>
    <n v="20"/>
    <n v="4075"/>
    <x v="0"/>
    <x v="0"/>
    <n v="548.63"/>
  </r>
  <r>
    <n v="100484"/>
    <d v="2024-04-02T00:00:00"/>
    <d v="2024-04-07T00:00:00"/>
    <d v="2024-04-14T00:00:00"/>
    <s v="C5468"/>
    <x v="2"/>
    <s v="Mexico"/>
    <s v="P86000"/>
    <s v="Face Mask Box"/>
    <s v="Healthcare"/>
    <s v="S604"/>
    <s v="Crescent Logistics"/>
    <s v="Africa"/>
    <s v="WH 10"/>
    <s v="Cairo"/>
    <x v="0"/>
    <n v="82"/>
    <n v="31.29"/>
    <n v="2565.7800000000002"/>
    <n v="14.8"/>
    <n v="7"/>
    <n v="12"/>
    <n v="2196"/>
    <x v="1"/>
    <x v="1"/>
    <n v="-149.38"/>
  </r>
  <r>
    <n v="100485"/>
    <d v="2025-12-27T00:00:00"/>
    <d v="2025-12-31T00:00:00"/>
    <d v="2026-01-06T00:00:00"/>
    <s v="C1282"/>
    <x v="3"/>
    <s v="France"/>
    <s v="P76617"/>
    <s v="Shampoo Pack"/>
    <s v="FMCG"/>
    <s v="S913"/>
    <s v="Atlas Sourcing"/>
    <s v="Asia"/>
    <s v="WH 08"/>
    <s v="Chicago"/>
    <x v="0"/>
    <n v="331"/>
    <n v="35.43"/>
    <n v="11727.33"/>
    <n v="21.86"/>
    <n v="6"/>
    <n v="10"/>
    <n v="3270"/>
    <x v="0"/>
    <x v="0"/>
    <n v="845.18"/>
  </r>
  <r>
    <n v="100486"/>
    <d v="2024-03-07T00:00:00"/>
    <d v="2024-03-12T00:00:00"/>
    <d v="2024-03-19T00:00:00"/>
    <s v="C4670"/>
    <x v="2"/>
    <s v="Mexico"/>
    <s v="P12251"/>
    <s v="Snack Carton"/>
    <s v="FMCG"/>
    <s v="S761"/>
    <s v="Zenith Procurement"/>
    <s v="Middle East"/>
    <s v="WH 09"/>
    <s v="Johannesburg"/>
    <x v="0"/>
    <n v="302"/>
    <n v="27.38"/>
    <n v="8268.76"/>
    <n v="21.04"/>
    <n v="7"/>
    <n v="12"/>
    <n v="4931"/>
    <x v="0"/>
    <x v="0"/>
    <n v="730.1"/>
  </r>
  <r>
    <n v="100487"/>
    <d v="2025-09-19T00:00:00"/>
    <d v="2025-09-23T00:00:00"/>
    <d v="2025-10-05T00:00:00"/>
    <s v="C5141"/>
    <x v="0"/>
    <s v="China"/>
    <s v="P33350"/>
    <s v="Smart Watch"/>
    <s v="Electronics"/>
    <s v="S430"/>
    <s v="Zenith Procurement"/>
    <s v="Middle East"/>
    <s v="WH 10"/>
    <s v="Cairo"/>
    <x v="3"/>
    <n v="225"/>
    <n v="151.80000000000001"/>
    <n v="34155"/>
    <n v="16.16"/>
    <n v="12"/>
    <n v="16"/>
    <n v="1565"/>
    <x v="0"/>
    <x v="0"/>
    <n v="2786.28"/>
  </r>
  <r>
    <n v="100488"/>
    <d v="2025-06-19T00:00:00"/>
    <d v="2025-06-22T00:00:00"/>
    <d v="2025-06-29T00:00:00"/>
    <s v="C3063"/>
    <x v="3"/>
    <s v="Sweden"/>
    <s v="P76830"/>
    <s v="Storage Cabinet"/>
    <s v="Furniture"/>
    <s v="S860"/>
    <s v="Summit Supply Co"/>
    <s v="North America"/>
    <s v="WH 06"/>
    <s v="Amsterdam"/>
    <x v="3"/>
    <n v="491"/>
    <n v="224.04"/>
    <n v="110003.64"/>
    <n v="22.62"/>
    <n v="7"/>
    <n v="10"/>
    <n v="1803"/>
    <x v="0"/>
    <x v="0"/>
    <n v="20314.349999999999"/>
  </r>
  <r>
    <n v="100489"/>
    <d v="2025-04-26T00:00:00"/>
    <d v="2025-04-26T00:00:00"/>
    <d v="2025-05-19T00:00:00"/>
    <s v="C4787"/>
    <x v="2"/>
    <s v="Mexico"/>
    <s v="P21801"/>
    <s v="Wireless Earbuds"/>
    <s v="Electronics"/>
    <s v="S260"/>
    <s v="Orion Supplies"/>
    <s v="Middle East"/>
    <s v="WH 01"/>
    <s v="Karachi"/>
    <x v="2"/>
    <n v="366"/>
    <n v="429.45"/>
    <n v="157178.70000000001"/>
    <n v="14.69"/>
    <n v="23"/>
    <n v="23"/>
    <n v="1075"/>
    <x v="1"/>
    <x v="3"/>
    <n v="16272.94"/>
  </r>
  <r>
    <n v="100490"/>
    <d v="2025-05-12T00:00:00"/>
    <d v="2025-05-16T00:00:00"/>
    <d v="2025-05-29T00:00:00"/>
    <s v="C2356"/>
    <x v="1"/>
    <s v="Kenya"/>
    <s v="P62224"/>
    <s v="Toothpaste Box"/>
    <s v="FMCG"/>
    <s v="S287"/>
    <s v="Atlas Sourcing"/>
    <s v="North America"/>
    <s v="WH 07"/>
    <s v="Toronto"/>
    <x v="2"/>
    <n v="65"/>
    <n v="8.1999999999999993"/>
    <n v="533"/>
    <n v="9.1999999999999993"/>
    <n v="13"/>
    <n v="17"/>
    <n v="2383"/>
    <x v="0"/>
    <x v="0"/>
    <n v="46.76"/>
  </r>
  <r>
    <n v="100491"/>
    <d v="2025-10-01T00:00:00"/>
    <d v="2025-10-03T00:00:00"/>
    <d v="2025-10-10T00:00:00"/>
    <s v="C2132"/>
    <x v="0"/>
    <s v="Malaysia"/>
    <s v="P48259"/>
    <s v="Toothpaste Box"/>
    <s v="FMCG"/>
    <s v="S456"/>
    <s v="Vertex Manufacturing"/>
    <s v="Asia"/>
    <s v="WH 04"/>
    <s v="Istanbul"/>
    <x v="0"/>
    <n v="190"/>
    <n v="29.52"/>
    <n v="5608.8"/>
    <n v="13.23"/>
    <n v="7"/>
    <n v="9"/>
    <n v="2415"/>
    <x v="0"/>
    <x v="0"/>
    <n v="525.37"/>
  </r>
  <r>
    <n v="100492"/>
    <d v="2025-06-17T00:00:00"/>
    <d v="2025-06-18T00:00:00"/>
    <d v="2025-06-23T00:00:00"/>
    <s v="C8979"/>
    <x v="1"/>
    <s v="Nigeria"/>
    <s v="P56694"/>
    <s v="Sportswear Set"/>
    <s v="Apparel"/>
    <s v="S658"/>
    <s v="Evergreen Partners"/>
    <s v="North America"/>
    <s v="WH 08"/>
    <s v="Chicago"/>
    <x v="1"/>
    <n v="48"/>
    <n v="21.3"/>
    <n v="1022.4"/>
    <n v="31.62"/>
    <n v="5"/>
    <n v="6"/>
    <n v="751"/>
    <x v="2"/>
    <x v="0"/>
    <n v="187.07"/>
  </r>
  <r>
    <n v="100493"/>
    <d v="2025-07-14T00:00:00"/>
    <d v="2025-07-18T00:00:00"/>
    <d v="2025-07-20T00:00:00"/>
    <s v="C1237"/>
    <x v="3"/>
    <s v="Spain"/>
    <s v="P41629"/>
    <s v="Socks Pack"/>
    <s v="Apparel"/>
    <s v="S158"/>
    <s v="Vertex Manufacturing"/>
    <s v="Middle East"/>
    <s v="WH 10"/>
    <s v="Cairo"/>
    <x v="1"/>
    <n v="362"/>
    <n v="118.42"/>
    <n v="42868.04"/>
    <n v="51.97"/>
    <n v="2"/>
    <n v="6"/>
    <n v="3068"/>
    <x v="2"/>
    <x v="0"/>
    <n v="11839.99"/>
  </r>
  <r>
    <n v="100494"/>
    <d v="2024-10-23T00:00:00"/>
    <d v="2024-10-25T00:00:00"/>
    <d v="2024-10-31T00:00:00"/>
    <s v="C6507"/>
    <x v="0"/>
    <s v="Indonesia"/>
    <s v="P96155"/>
    <s v="Socks Pack"/>
    <s v="Apparel"/>
    <s v="S640"/>
    <s v="Vertex Manufacturing"/>
    <s v="Africa"/>
    <s v="WH 05"/>
    <s v="Frankfurt"/>
    <x v="0"/>
    <n v="400"/>
    <n v="33.950000000000003"/>
    <n v="13580"/>
    <n v="23.81"/>
    <n v="6"/>
    <n v="8"/>
    <n v="1185"/>
    <x v="0"/>
    <x v="0"/>
    <n v="3876.85"/>
  </r>
  <r>
    <n v="100495"/>
    <d v="2024-03-09T00:00:00"/>
    <d v="2024-03-13T00:00:00"/>
    <d v="2024-03-15T00:00:00"/>
    <s v="C5067"/>
    <x v="0"/>
    <s v="Malaysia"/>
    <s v="P69025"/>
    <s v="Wireless Earbuds"/>
    <s v="Electronics"/>
    <s v="S108"/>
    <s v="Nova Industrial"/>
    <s v="North America"/>
    <s v="WH 05"/>
    <s v="Frankfurt"/>
    <x v="1"/>
    <n v="71"/>
    <n v="415.76"/>
    <n v="29518.959999999999"/>
    <n v="33.11"/>
    <n v="2"/>
    <n v="6"/>
    <n v="1187"/>
    <x v="2"/>
    <x v="0"/>
    <n v="3391.13"/>
  </r>
  <r>
    <n v="100496"/>
    <d v="2024-06-05T00:00:00"/>
    <d v="2024-06-09T00:00:00"/>
    <d v="2024-06-13T00:00:00"/>
    <s v="C6560"/>
    <x v="2"/>
    <s v="United States"/>
    <s v="P46784"/>
    <s v="Detergent Bag"/>
    <s v="FMCG"/>
    <s v="S271"/>
    <s v="Atlas Sourcing"/>
    <s v="Asia"/>
    <s v="WH 10"/>
    <s v="Cairo"/>
    <x v="1"/>
    <n v="240"/>
    <n v="15.58"/>
    <n v="3739.2"/>
    <n v="44.06"/>
    <n v="4"/>
    <n v="8"/>
    <n v="1593"/>
    <x v="0"/>
    <x v="0"/>
    <n v="35.6"/>
  </r>
  <r>
    <n v="100497"/>
    <d v="2024-09-11T00:00:00"/>
    <d v="2024-09-14T00:00:00"/>
    <d v="2024-09-29T00:00:00"/>
    <s v="C8141"/>
    <x v="2"/>
    <s v="Mexico"/>
    <s v="P67804"/>
    <s v="Shampoo Pack"/>
    <s v="FMCG"/>
    <s v="S807"/>
    <s v="Pioneer Distribution"/>
    <s v="North America"/>
    <s v="WH 05"/>
    <s v="Frankfurt"/>
    <x v="3"/>
    <n v="384"/>
    <n v="34.83"/>
    <n v="13374.72"/>
    <n v="14.83"/>
    <n v="15"/>
    <n v="18"/>
    <n v="1415"/>
    <x v="1"/>
    <x v="3"/>
    <n v="799.89"/>
  </r>
  <r>
    <n v="100498"/>
    <d v="2025-01-08T00:00:00"/>
    <d v="2025-01-12T00:00:00"/>
    <d v="2025-01-26T00:00:00"/>
    <s v="C5674"/>
    <x v="4"/>
    <s v="Oman"/>
    <s v="P44929"/>
    <s v="Router"/>
    <s v="Electronics"/>
    <s v="S303"/>
    <s v="Vertex Manufacturing"/>
    <s v="Europe"/>
    <s v="WH 06"/>
    <s v="Amsterdam"/>
    <x v="3"/>
    <n v="38"/>
    <n v="378.22"/>
    <n v="14372.36"/>
    <n v="11.62"/>
    <n v="14"/>
    <n v="18"/>
    <n v="746"/>
    <x v="1"/>
    <x v="3"/>
    <n v="1324.35"/>
  </r>
  <r>
    <n v="100499"/>
    <d v="2025-05-29T00:00:00"/>
    <d v="2025-06-03T00:00:00"/>
    <d v="2025-06-16T00:00:00"/>
    <s v="C2164"/>
    <x v="1"/>
    <s v="Egypt"/>
    <s v="P25078"/>
    <s v="Socks Pack"/>
    <s v="Apparel"/>
    <s v="S399"/>
    <s v="Nova Industrial"/>
    <s v="Europe"/>
    <s v="WH 09"/>
    <s v="Johannesburg"/>
    <x v="2"/>
    <n v="172"/>
    <n v="100.29"/>
    <n v="17249.88"/>
    <n v="11.15"/>
    <n v="13"/>
    <n v="18"/>
    <n v="1566"/>
    <x v="1"/>
    <x v="1"/>
    <n v="-184.59"/>
  </r>
  <r>
    <n v="100500"/>
    <d v="2024-02-16T00:00:00"/>
    <d v="2024-02-17T00:00:00"/>
    <d v="2024-03-13T00:00:00"/>
    <s v="C2645"/>
    <x v="2"/>
    <s v="United States"/>
    <s v="P56660"/>
    <s v="Study Table"/>
    <s v="Furniture"/>
    <s v="S157"/>
    <s v="Nova Industrial"/>
    <s v="Africa"/>
    <s v="WH 03"/>
    <s v="Dubai"/>
    <x v="2"/>
    <n v="115"/>
    <n v="259.66000000000003"/>
    <n v="29860.9"/>
    <n v="10.11"/>
    <n v="25"/>
    <n v="26"/>
    <n v="817"/>
    <x v="0"/>
    <x v="0"/>
    <n v="7170.11"/>
  </r>
  <r>
    <n v="100501"/>
    <d v="2025-03-29T00:00:00"/>
    <d v="2025-04-03T00:00:00"/>
    <d v="2025-04-06T00:00:00"/>
    <s v="C3073"/>
    <x v="0"/>
    <s v="India"/>
    <s v="P59464"/>
    <s v="Denim Jeans"/>
    <s v="Apparel"/>
    <s v="S225"/>
    <s v="Nova Industrial"/>
    <s v="Middle East"/>
    <s v="WH 06"/>
    <s v="Amsterdam"/>
    <x v="1"/>
    <n v="417"/>
    <n v="57.53"/>
    <n v="23990.01"/>
    <n v="55.53"/>
    <n v="3"/>
    <n v="8"/>
    <n v="960"/>
    <x v="0"/>
    <x v="0"/>
    <n v="6247.17"/>
  </r>
  <r>
    <n v="100502"/>
    <d v="2025-06-06T00:00:00"/>
    <d v="2025-06-07T00:00:00"/>
    <d v="2025-06-09T00:00:00"/>
    <s v="C3147"/>
    <x v="2"/>
    <s v="Mexico"/>
    <s v="P48445"/>
    <s v="Sportswear Set"/>
    <s v="Apparel"/>
    <s v="S655"/>
    <s v="BlueRiver Trading"/>
    <s v="Middle East"/>
    <s v="WH 01"/>
    <s v="Karachi"/>
    <x v="1"/>
    <n v="287"/>
    <n v="40.49"/>
    <n v="11620.63"/>
    <n v="47.11"/>
    <n v="2"/>
    <n v="3"/>
    <n v="2163"/>
    <x v="2"/>
    <x v="0"/>
    <n v="2825.59"/>
  </r>
  <r>
    <n v="100503"/>
    <d v="2024-09-20T00:00:00"/>
    <d v="2024-09-21T00:00:00"/>
    <d v="2024-10-01T00:00:00"/>
    <s v="C8282"/>
    <x v="4"/>
    <s v="Saudi Arabia"/>
    <s v="P91171"/>
    <s v="Vitamin Pack"/>
    <s v="Healthcare"/>
    <s v="S587"/>
    <s v="Evergreen Partners"/>
    <s v="Africa"/>
    <s v="WH 05"/>
    <s v="Frankfurt"/>
    <x v="0"/>
    <n v="290"/>
    <n v="62.48"/>
    <n v="18119.2"/>
    <n v="20.7"/>
    <n v="10"/>
    <n v="11"/>
    <n v="4167"/>
    <x v="1"/>
    <x v="2"/>
    <n v="1294.69"/>
  </r>
  <r>
    <n v="100504"/>
    <d v="2025-12-02T00:00:00"/>
    <d v="2025-12-04T00:00:00"/>
    <d v="2025-12-14T00:00:00"/>
    <s v="C5264"/>
    <x v="0"/>
    <s v="Vietnam"/>
    <s v="P50736"/>
    <s v="Toothpaste Box"/>
    <s v="FMCG"/>
    <s v="S328"/>
    <s v="Atlas Sourcing"/>
    <s v="North America"/>
    <s v="WH 07"/>
    <s v="Toronto"/>
    <x v="3"/>
    <n v="476"/>
    <n v="17.11"/>
    <n v="8144.36"/>
    <n v="22.26"/>
    <n v="10"/>
    <n v="12"/>
    <n v="827"/>
    <x v="0"/>
    <x v="0"/>
    <n v="608.11"/>
  </r>
  <r>
    <n v="100505"/>
    <d v="2025-11-19T00:00:00"/>
    <d v="2025-11-20T00:00:00"/>
    <d v="2025-11-28T00:00:00"/>
    <s v="C6738"/>
    <x v="3"/>
    <s v="Italy"/>
    <s v="P97904"/>
    <s v="Shampoo Pack"/>
    <s v="FMCG"/>
    <s v="S846"/>
    <s v="Pioneer Distribution"/>
    <s v="North America"/>
    <s v="WH 03"/>
    <s v="Dubai"/>
    <x v="3"/>
    <n v="27"/>
    <n v="14.19"/>
    <n v="383.13"/>
    <n v="11.35"/>
    <n v="8"/>
    <n v="9"/>
    <n v="1097"/>
    <x v="0"/>
    <x v="0"/>
    <n v="33.08"/>
  </r>
  <r>
    <n v="100506"/>
    <d v="2025-02-25T00:00:00"/>
    <d v="2025-02-26T00:00:00"/>
    <d v="2025-02-27T00:00:00"/>
    <s v="C1677"/>
    <x v="0"/>
    <s v="Pakistan"/>
    <s v="P75641"/>
    <s v="Bookshelf"/>
    <s v="Furniture"/>
    <s v="S315"/>
    <s v="Atlas Sourcing"/>
    <s v="Europe"/>
    <s v="WH 10"/>
    <s v="Cairo"/>
    <x v="1"/>
    <n v="155"/>
    <n v="221.73"/>
    <n v="34368.15"/>
    <n v="38.56"/>
    <n v="1"/>
    <n v="2"/>
    <n v="1145"/>
    <x v="2"/>
    <x v="0"/>
    <n v="4534.7700000000004"/>
  </r>
  <r>
    <n v="100507"/>
    <d v="2024-07-04T00:00:00"/>
    <d v="2024-07-09T00:00:00"/>
    <d v="2024-08-01T00:00:00"/>
    <s v="C5869"/>
    <x v="4"/>
    <s v="United Arab Emirates"/>
    <s v="P60713"/>
    <s v="Detergent Bag"/>
    <s v="FMCG"/>
    <s v="S751"/>
    <s v="Evergreen Partners"/>
    <s v="Middle East"/>
    <s v="WH 07"/>
    <s v="Toronto"/>
    <x v="2"/>
    <n v="108"/>
    <n v="33.67"/>
    <n v="3636.36"/>
    <n v="7.4"/>
    <n v="23"/>
    <n v="28"/>
    <n v="1243"/>
    <x v="1"/>
    <x v="2"/>
    <n v="468.91"/>
  </r>
  <r>
    <n v="100508"/>
    <d v="2025-05-15T00:00:00"/>
    <d v="2025-05-17T00:00:00"/>
    <d v="2025-05-29T00:00:00"/>
    <s v="C8064"/>
    <x v="4"/>
    <s v="Oman"/>
    <s v="P55836"/>
    <s v="Bluetooth Speaker"/>
    <s v="Electronics"/>
    <s v="S325"/>
    <s v="Summit Supply Co"/>
    <s v="Europe"/>
    <s v="WH 06"/>
    <s v="Amsterdam"/>
    <x v="3"/>
    <n v="60"/>
    <n v="423.71"/>
    <n v="25422.6"/>
    <n v="12.15"/>
    <n v="12"/>
    <n v="14"/>
    <n v="852"/>
    <x v="1"/>
    <x v="2"/>
    <n v="5525.93"/>
  </r>
  <r>
    <n v="100509"/>
    <d v="2025-03-07T00:00:00"/>
    <d v="2025-03-07T00:00:00"/>
    <d v="2025-03-13T00:00:00"/>
    <s v="C6579"/>
    <x v="2"/>
    <s v="Mexico"/>
    <s v="P96148"/>
    <s v="Shampoo Pack"/>
    <s v="FMCG"/>
    <s v="S934"/>
    <s v="Orion Supplies"/>
    <s v="Europe"/>
    <s v="WH 04"/>
    <s v="Istanbul"/>
    <x v="0"/>
    <n v="148"/>
    <n v="18.02"/>
    <n v="2666.96"/>
    <n v="16.670000000000002"/>
    <n v="6"/>
    <n v="6"/>
    <n v="1264"/>
    <x v="1"/>
    <x v="2"/>
    <n v="259.76"/>
  </r>
  <r>
    <n v="100510"/>
    <d v="2024-10-23T00:00:00"/>
    <d v="2024-10-24T00:00:00"/>
    <d v="2024-10-29T00:00:00"/>
    <s v="C4170"/>
    <x v="2"/>
    <s v="United States"/>
    <s v="P68773"/>
    <s v="Power Bank"/>
    <s v="Electronics"/>
    <s v="S455"/>
    <s v="Summit Supply Co"/>
    <s v="Africa"/>
    <s v="WH 05"/>
    <s v="Frankfurt"/>
    <x v="1"/>
    <n v="148"/>
    <n v="327.04000000000002"/>
    <n v="48401.919999999998"/>
    <n v="38.1"/>
    <n v="5"/>
    <n v="6"/>
    <n v="1247"/>
    <x v="2"/>
    <x v="0"/>
    <n v="4115.67"/>
  </r>
  <r>
    <n v="100511"/>
    <d v="2024-10-25T00:00:00"/>
    <d v="2024-10-26T00:00:00"/>
    <d v="2024-11-05T00:00:00"/>
    <s v="C1754"/>
    <x v="0"/>
    <s v="Vietnam"/>
    <s v="P35345"/>
    <s v="Wireless Earbuds"/>
    <s v="Electronics"/>
    <s v="S763"/>
    <s v="Nova Industrial"/>
    <s v="Middle East"/>
    <s v="WH 09"/>
    <s v="Johannesburg"/>
    <x v="2"/>
    <n v="224"/>
    <n v="449.21"/>
    <n v="100623.03999999999"/>
    <n v="12.1"/>
    <n v="10"/>
    <n v="11"/>
    <n v="1616"/>
    <x v="0"/>
    <x v="0"/>
    <n v="10287"/>
  </r>
  <r>
    <n v="100512"/>
    <d v="2024-10-30T00:00:00"/>
    <d v="2024-10-30T00:00:00"/>
    <d v="2024-11-04T00:00:00"/>
    <s v="C2416"/>
    <x v="4"/>
    <s v="Saudi Arabia"/>
    <s v="P83302"/>
    <s v="Sportswear Set"/>
    <s v="Apparel"/>
    <s v="S248"/>
    <s v="Zenith Procurement"/>
    <s v="Europe"/>
    <s v="WH 03"/>
    <s v="Dubai"/>
    <x v="1"/>
    <n v="258"/>
    <n v="22.73"/>
    <n v="5864.34"/>
    <n v="45.23"/>
    <n v="5"/>
    <n v="5"/>
    <n v="432"/>
    <x v="2"/>
    <x v="0"/>
    <n v="1446.47"/>
  </r>
  <r>
    <n v="100513"/>
    <d v="2025-03-04T00:00:00"/>
    <d v="2025-03-04T00:00:00"/>
    <d v="2025-03-23T00:00:00"/>
    <s v="C1075"/>
    <x v="0"/>
    <s v="India"/>
    <s v="P96246"/>
    <s v="Toothpaste Box"/>
    <s v="FMCG"/>
    <s v="S815"/>
    <s v="Atlas Sourcing"/>
    <s v="Asia"/>
    <s v="WH 10"/>
    <s v="Cairo"/>
    <x v="3"/>
    <n v="459"/>
    <n v="14.04"/>
    <n v="6444.36"/>
    <n v="16.18"/>
    <n v="19"/>
    <n v="19"/>
    <n v="3073"/>
    <x v="1"/>
    <x v="3"/>
    <n v="429.9"/>
  </r>
  <r>
    <n v="100514"/>
    <d v="2024-03-09T00:00:00"/>
    <d v="2024-03-11T00:00:00"/>
    <d v="2024-03-31T00:00:00"/>
    <s v="C4998"/>
    <x v="0"/>
    <s v="Bangladesh"/>
    <s v="P84400"/>
    <s v="Power Bank"/>
    <s v="Electronics"/>
    <s v="S522"/>
    <s v="Nova Industrial"/>
    <s v="Africa"/>
    <s v="WH 10"/>
    <s v="Cairo"/>
    <x v="2"/>
    <n v="103"/>
    <n v="215.87"/>
    <n v="22234.61"/>
    <n v="9.9"/>
    <n v="20"/>
    <n v="22"/>
    <n v="164"/>
    <x v="1"/>
    <x v="2"/>
    <n v="1016.14"/>
  </r>
  <r>
    <n v="100515"/>
    <d v="2024-01-02T00:00:00"/>
    <d v="2024-01-06T00:00:00"/>
    <d v="2024-01-12T00:00:00"/>
    <s v="C3739"/>
    <x v="1"/>
    <s v="South Africa"/>
    <s v="P33806"/>
    <s v="Bluetooth Speaker"/>
    <s v="Electronics"/>
    <s v="S416"/>
    <s v="Orion Supplies"/>
    <s v="Asia"/>
    <s v="WH 07"/>
    <s v="Toronto"/>
    <x v="0"/>
    <n v="47"/>
    <n v="320.26"/>
    <n v="15052.22"/>
    <n v="13.81"/>
    <n v="6"/>
    <n v="10"/>
    <n v="1610"/>
    <x v="0"/>
    <x v="0"/>
    <n v="2213.0300000000002"/>
  </r>
  <r>
    <n v="100516"/>
    <d v="2025-05-27T00:00:00"/>
    <d v="2025-05-29T00:00:00"/>
    <d v="2025-06-06T00:00:00"/>
    <s v="C8727"/>
    <x v="4"/>
    <s v="United Arab Emirates"/>
    <s v="P43688"/>
    <s v="Hand Sanitizer Case"/>
    <s v="Healthcare"/>
    <s v="S924"/>
    <s v="Pioneer Distribution"/>
    <s v="Europe"/>
    <s v="WH 04"/>
    <s v="Istanbul"/>
    <x v="3"/>
    <n v="380"/>
    <n v="60.73"/>
    <n v="23077.4"/>
    <n v="19.93"/>
    <n v="8"/>
    <n v="10"/>
    <n v="3877"/>
    <x v="0"/>
    <x v="0"/>
    <n v="2355.1"/>
  </r>
  <r>
    <n v="100517"/>
    <d v="2025-01-21T00:00:00"/>
    <d v="2025-01-24T00:00:00"/>
    <d v="2025-01-30T00:00:00"/>
    <s v="C4543"/>
    <x v="2"/>
    <s v="Canada"/>
    <s v="P54135"/>
    <s v="Router"/>
    <s v="Electronics"/>
    <s v="S857"/>
    <s v="Nova Industrial"/>
    <s v="Africa"/>
    <s v="WH 10"/>
    <s v="Cairo"/>
    <x v="0"/>
    <n v="170"/>
    <n v="111.66"/>
    <n v="18982.2"/>
    <n v="17.29"/>
    <n v="6"/>
    <n v="9"/>
    <n v="261"/>
    <x v="1"/>
    <x v="2"/>
    <n v="2612.08"/>
  </r>
  <r>
    <n v="100518"/>
    <d v="2025-07-04T00:00:00"/>
    <d v="2025-07-04T00:00:00"/>
    <d v="2025-07-27T00:00:00"/>
    <s v="C1727"/>
    <x v="4"/>
    <s v="United Arab Emirates"/>
    <s v="P31359"/>
    <s v="Thermometer"/>
    <s v="Healthcare"/>
    <s v="S914"/>
    <s v="BlueRiver Trading"/>
    <s v="North America"/>
    <s v="WH 02"/>
    <s v="Lahore"/>
    <x v="2"/>
    <n v="181"/>
    <n v="18.57"/>
    <n v="3361.17"/>
    <n v="11.32"/>
    <n v="23"/>
    <n v="23"/>
    <n v="2937"/>
    <x v="0"/>
    <x v="0"/>
    <n v="568.67999999999995"/>
  </r>
  <r>
    <n v="100519"/>
    <d v="2024-11-20T00:00:00"/>
    <d v="2024-11-25T00:00:00"/>
    <d v="2024-12-05T00:00:00"/>
    <s v="C6424"/>
    <x v="4"/>
    <s v="Saudi Arabia"/>
    <s v="P30625"/>
    <s v="First Aid Kit"/>
    <s v="Healthcare"/>
    <s v="S874"/>
    <s v="Nova Industrial"/>
    <s v="Africa"/>
    <s v="WH 04"/>
    <s v="Istanbul"/>
    <x v="0"/>
    <n v="13"/>
    <n v="56.67"/>
    <n v="736.71"/>
    <n v="12.84"/>
    <n v="10"/>
    <n v="15"/>
    <n v="4355"/>
    <x v="0"/>
    <x v="0"/>
    <n v="49.93"/>
  </r>
  <r>
    <n v="100520"/>
    <d v="2024-03-19T00:00:00"/>
    <d v="2024-03-19T00:00:00"/>
    <d v="2024-03-20T00:00:00"/>
    <s v="C9592"/>
    <x v="4"/>
    <s v="Qatar"/>
    <s v="P37626"/>
    <s v="Shampoo Pack"/>
    <s v="FMCG"/>
    <s v="S285"/>
    <s v="Summit Supply Co"/>
    <s v="Middle East"/>
    <s v="WH 04"/>
    <s v="Istanbul"/>
    <x v="1"/>
    <n v="407"/>
    <n v="28.82"/>
    <n v="11729.74"/>
    <n v="40.659999999999997"/>
    <n v="1"/>
    <n v="1"/>
    <n v="2813"/>
    <x v="2"/>
    <x v="0"/>
    <n v="1837.06"/>
  </r>
  <r>
    <n v="100521"/>
    <d v="2025-06-13T00:00:00"/>
    <d v="2025-06-13T00:00:00"/>
    <d v="2025-06-17T00:00:00"/>
    <s v="C8799"/>
    <x v="2"/>
    <s v="United States"/>
    <s v="P18804"/>
    <s v="Bluetooth Speaker"/>
    <s v="Electronics"/>
    <s v="S645"/>
    <s v="BlueRiver Trading"/>
    <s v="Asia"/>
    <s v="WH 10"/>
    <s v="Cairo"/>
    <x v="3"/>
    <n v="93"/>
    <n v="277.39999999999998"/>
    <n v="25798.2"/>
    <n v="12.95"/>
    <n v="4"/>
    <n v="4"/>
    <n v="891"/>
    <x v="2"/>
    <x v="0"/>
    <n v="3152.85"/>
  </r>
  <r>
    <n v="100522"/>
    <d v="2024-08-09T00:00:00"/>
    <d v="2024-08-09T00:00:00"/>
    <d v="2024-08-19T00:00:00"/>
    <s v="C2447"/>
    <x v="3"/>
    <s v="Germany"/>
    <s v="P53005"/>
    <s v="Vitamin Pack"/>
    <s v="Healthcare"/>
    <s v="S623"/>
    <s v="BlueRiver Trading"/>
    <s v="North America"/>
    <s v="WH 04"/>
    <s v="Istanbul"/>
    <x v="3"/>
    <n v="300"/>
    <n v="44.68"/>
    <n v="13404"/>
    <n v="17.98"/>
    <n v="10"/>
    <n v="10"/>
    <n v="3961"/>
    <x v="0"/>
    <x v="0"/>
    <n v="1241.68"/>
  </r>
  <r>
    <n v="100523"/>
    <d v="2024-10-09T00:00:00"/>
    <d v="2024-10-12T00:00:00"/>
    <d v="2024-10-24T00:00:00"/>
    <s v="C5532"/>
    <x v="2"/>
    <s v="Canada"/>
    <s v="P14924"/>
    <s v="Office Chair"/>
    <s v="Furniture"/>
    <s v="S358"/>
    <s v="BlueRiver Trading"/>
    <s v="Europe"/>
    <s v="WH 01"/>
    <s v="Karachi"/>
    <x v="3"/>
    <n v="477"/>
    <n v="280.52"/>
    <n v="133808.04"/>
    <n v="22.28"/>
    <n v="12"/>
    <n v="15"/>
    <n v="1042"/>
    <x v="0"/>
    <x v="0"/>
    <n v="35668.639999999999"/>
  </r>
  <r>
    <n v="100524"/>
    <d v="2024-08-24T00:00:00"/>
    <d v="2024-08-25T00:00:00"/>
    <d v="2024-08-26T00:00:00"/>
    <s v="C4253"/>
    <x v="2"/>
    <s v="Mexico"/>
    <s v="P13782"/>
    <s v="Sportswear Set"/>
    <s v="Apparel"/>
    <s v="S913"/>
    <s v="BlueRiver Trading"/>
    <s v="Asia"/>
    <s v="WH 01"/>
    <s v="Karachi"/>
    <x v="1"/>
    <n v="264"/>
    <n v="89.5"/>
    <n v="23628"/>
    <n v="45.62"/>
    <n v="1"/>
    <n v="2"/>
    <n v="1140"/>
    <x v="2"/>
    <x v="0"/>
    <n v="3581.41"/>
  </r>
  <r>
    <n v="100525"/>
    <d v="2025-02-23T00:00:00"/>
    <d v="2025-02-24T00:00:00"/>
    <d v="2025-03-05T00:00:00"/>
    <s v="C3072"/>
    <x v="3"/>
    <s v="Poland"/>
    <s v="P41007"/>
    <s v="Snack Carton"/>
    <s v="FMCG"/>
    <s v="S727"/>
    <s v="Zenith Procurement"/>
    <s v="Middle East"/>
    <s v="WH 10"/>
    <s v="Cairo"/>
    <x v="0"/>
    <n v="347"/>
    <n v="10.73"/>
    <n v="3723.31"/>
    <n v="22.31"/>
    <n v="9"/>
    <n v="10"/>
    <n v="3408"/>
    <x v="0"/>
    <x v="0"/>
    <n v="642.62"/>
  </r>
  <r>
    <n v="100526"/>
    <d v="2024-03-26T00:00:00"/>
    <d v="2024-03-28T00:00:00"/>
    <d v="2024-04-06T00:00:00"/>
    <s v="C4870"/>
    <x v="0"/>
    <s v="Bangladesh"/>
    <s v="P54527"/>
    <s v="Denim Jeans"/>
    <s v="Apparel"/>
    <s v="S199"/>
    <s v="BlueRiver Trading"/>
    <s v="Middle East"/>
    <s v="WH 07"/>
    <s v="Toronto"/>
    <x v="1"/>
    <n v="487"/>
    <n v="43.01"/>
    <n v="20945.87"/>
    <n v="60.07"/>
    <n v="9"/>
    <n v="11"/>
    <n v="545"/>
    <x v="0"/>
    <x v="0"/>
    <n v="2875.34"/>
  </r>
  <r>
    <n v="100527"/>
    <d v="2025-09-10T00:00:00"/>
    <d v="2025-09-11T00:00:00"/>
    <d v="2025-09-16T00:00:00"/>
    <s v="C9405"/>
    <x v="2"/>
    <s v="Canada"/>
    <s v="P62389"/>
    <s v="Floor Lamp"/>
    <s v="Furniture"/>
    <s v="S890"/>
    <s v="Crescent Logistics"/>
    <s v="Asia"/>
    <s v="WH 03"/>
    <s v="Dubai"/>
    <x v="3"/>
    <n v="68"/>
    <n v="288.57"/>
    <n v="19622.759999999998"/>
    <n v="12.34"/>
    <n v="5"/>
    <n v="6"/>
    <n v="892"/>
    <x v="2"/>
    <x v="0"/>
    <n v="4666.91"/>
  </r>
  <r>
    <n v="100528"/>
    <d v="2024-09-30T00:00:00"/>
    <d v="2024-10-05T00:00:00"/>
    <d v="2024-10-11T00:00:00"/>
    <s v="C4554"/>
    <x v="3"/>
    <s v="Germany"/>
    <s v="P88218"/>
    <s v="Storage Cabinet"/>
    <s v="Furniture"/>
    <s v="S802"/>
    <s v="Pioneer Distribution"/>
    <s v="Africa"/>
    <s v="WH 08"/>
    <s v="Chicago"/>
    <x v="0"/>
    <n v="373"/>
    <n v="207.47"/>
    <n v="77386.31"/>
    <n v="23.05"/>
    <n v="6"/>
    <n v="11"/>
    <n v="1766"/>
    <x v="0"/>
    <x v="0"/>
    <n v="17682.59"/>
  </r>
  <r>
    <n v="100529"/>
    <d v="2024-06-19T00:00:00"/>
    <d v="2024-06-21T00:00:00"/>
    <d v="2024-07-16T00:00:00"/>
    <s v="C4771"/>
    <x v="1"/>
    <s v="Egypt"/>
    <s v="P84099"/>
    <s v="Socks Pack"/>
    <s v="Apparel"/>
    <s v="S579"/>
    <s v="Orion Supplies"/>
    <s v="Europe"/>
    <s v="WH 08"/>
    <s v="Chicago"/>
    <x v="2"/>
    <n v="315"/>
    <n v="90.29"/>
    <n v="28441.35"/>
    <n v="13.76"/>
    <n v="25"/>
    <n v="27"/>
    <n v="1242"/>
    <x v="0"/>
    <x v="0"/>
    <n v="5147.82"/>
  </r>
  <r>
    <n v="100530"/>
    <d v="2024-04-10T00:00:00"/>
    <d v="2024-04-14T00:00:00"/>
    <d v="2024-04-27T00:00:00"/>
    <s v="C8111"/>
    <x v="0"/>
    <s v="Malaysia"/>
    <s v="P83970"/>
    <s v="Office Chair"/>
    <s v="Furniture"/>
    <s v="S852"/>
    <s v="BlueRiver Trading"/>
    <s v="North America"/>
    <s v="WH 06"/>
    <s v="Amsterdam"/>
    <x v="3"/>
    <n v="346"/>
    <n v="299.3"/>
    <n v="103557.8"/>
    <n v="19.100000000000001"/>
    <n v="13"/>
    <n v="17"/>
    <n v="1591"/>
    <x v="0"/>
    <x v="0"/>
    <n v="15238.09"/>
  </r>
  <r>
    <n v="100531"/>
    <d v="2025-02-02T00:00:00"/>
    <d v="2025-02-06T00:00:00"/>
    <d v="2025-02-08T00:00:00"/>
    <s v="C3269"/>
    <x v="1"/>
    <s v="Morocco"/>
    <s v="P96669"/>
    <s v="First Aid Kit"/>
    <s v="Healthcare"/>
    <s v="S527"/>
    <s v="Zenith Procurement"/>
    <s v="Africa"/>
    <s v="WH 09"/>
    <s v="Johannesburg"/>
    <x v="0"/>
    <n v="167"/>
    <n v="73.819999999999993"/>
    <n v="12327.94"/>
    <n v="12.75"/>
    <n v="2"/>
    <n v="6"/>
    <n v="3253"/>
    <x v="1"/>
    <x v="2"/>
    <n v="1261.81"/>
  </r>
  <r>
    <n v="100532"/>
    <d v="2024-10-06T00:00:00"/>
    <d v="2024-10-11T00:00:00"/>
    <d v="2024-10-14T00:00:00"/>
    <s v="C4285"/>
    <x v="4"/>
    <s v="Saudi Arabia"/>
    <s v="P45863"/>
    <s v="Bookshelf"/>
    <s v="Furniture"/>
    <s v="S420"/>
    <s v="Evergreen Partners"/>
    <s v="Europe"/>
    <s v="WH 09"/>
    <s v="Johannesburg"/>
    <x v="0"/>
    <n v="283"/>
    <n v="301.08"/>
    <n v="85205.64"/>
    <n v="20.5"/>
    <n v="3"/>
    <n v="8"/>
    <n v="1386"/>
    <x v="0"/>
    <x v="0"/>
    <n v="10221.459999999999"/>
  </r>
  <r>
    <n v="100533"/>
    <d v="2025-04-14T00:00:00"/>
    <d v="2025-04-15T00:00:00"/>
    <d v="2025-04-19T00:00:00"/>
    <s v="C4867"/>
    <x v="0"/>
    <s v="China"/>
    <s v="P86154"/>
    <s v="Detergent Bag"/>
    <s v="FMCG"/>
    <s v="S821"/>
    <s v="Pioneer Distribution"/>
    <s v="Middle East"/>
    <s v="WH 03"/>
    <s v="Dubai"/>
    <x v="0"/>
    <n v="215"/>
    <n v="23.1"/>
    <n v="4966.5"/>
    <n v="18.57"/>
    <n v="4"/>
    <n v="5"/>
    <n v="2627"/>
    <x v="2"/>
    <x v="0"/>
    <n v="676.87"/>
  </r>
  <r>
    <n v="100534"/>
    <d v="2024-04-09T00:00:00"/>
    <d v="2024-04-13T00:00:00"/>
    <d v="2024-04-15T00:00:00"/>
    <s v="C5381"/>
    <x v="4"/>
    <s v="Qatar"/>
    <s v="P29558"/>
    <s v="Snack Carton"/>
    <s v="FMCG"/>
    <s v="S162"/>
    <s v="Nova Industrial"/>
    <s v="Asia"/>
    <s v="WH 09"/>
    <s v="Johannesburg"/>
    <x v="0"/>
    <n v="184"/>
    <n v="5.69"/>
    <n v="1046.96"/>
    <n v="17.690000000000001"/>
    <n v="2"/>
    <n v="6"/>
    <n v="3378"/>
    <x v="2"/>
    <x v="0"/>
    <n v="84.57"/>
  </r>
  <r>
    <n v="100535"/>
    <d v="2025-04-06T00:00:00"/>
    <d v="2025-04-10T00:00:00"/>
    <d v="2025-04-21T00:00:00"/>
    <s v="C6609"/>
    <x v="1"/>
    <s v="Egypt"/>
    <s v="P61153"/>
    <s v="Study Table"/>
    <s v="Furniture"/>
    <s v="S463"/>
    <s v="BlueRiver Trading"/>
    <s v="Middle East"/>
    <s v="WH 08"/>
    <s v="Chicago"/>
    <x v="2"/>
    <n v="121"/>
    <n v="195.99"/>
    <n v="23714.79"/>
    <n v="10.220000000000001"/>
    <n v="11"/>
    <n v="15"/>
    <n v="1815"/>
    <x v="0"/>
    <x v="0"/>
    <n v="3497.67"/>
  </r>
  <r>
    <n v="100536"/>
    <d v="2025-08-17T00:00:00"/>
    <d v="2025-08-20T00:00:00"/>
    <d v="2025-09-03T00:00:00"/>
    <s v="C2724"/>
    <x v="0"/>
    <s v="Vietnam"/>
    <s v="P12413"/>
    <s v="Floor Lamp"/>
    <s v="Furniture"/>
    <s v="S389"/>
    <s v="Zenith Procurement"/>
    <s v="Asia"/>
    <s v="WH 08"/>
    <s v="Chicago"/>
    <x v="3"/>
    <n v="371"/>
    <n v="266.06"/>
    <n v="98708.26"/>
    <n v="14.6"/>
    <n v="14"/>
    <n v="17"/>
    <n v="1377"/>
    <x v="0"/>
    <x v="0"/>
    <n v="4374.62"/>
  </r>
  <r>
    <n v="100537"/>
    <d v="2025-02-06T00:00:00"/>
    <d v="2025-02-08T00:00:00"/>
    <d v="2025-02-22T00:00:00"/>
    <s v="C8314"/>
    <x v="0"/>
    <s v="Malaysia"/>
    <s v="P73230"/>
    <s v="Office Chair"/>
    <s v="Furniture"/>
    <s v="S383"/>
    <s v="Summit Supply Co"/>
    <s v="Africa"/>
    <s v="WH 01"/>
    <s v="Karachi"/>
    <x v="0"/>
    <n v="222"/>
    <n v="248.66"/>
    <n v="55202.52"/>
    <n v="18.77"/>
    <n v="14"/>
    <n v="16"/>
    <n v="1791"/>
    <x v="1"/>
    <x v="3"/>
    <n v="7669.68"/>
  </r>
  <r>
    <n v="100538"/>
    <d v="2024-04-14T00:00:00"/>
    <d v="2024-04-15T00:00:00"/>
    <d v="2024-04-25T00:00:00"/>
    <s v="C7906"/>
    <x v="1"/>
    <s v="Morocco"/>
    <s v="P40699"/>
    <s v="Socks Pack"/>
    <s v="Apparel"/>
    <s v="S320"/>
    <s v="Summit Supply Co"/>
    <s v="Europe"/>
    <s v="WH 08"/>
    <s v="Chicago"/>
    <x v="0"/>
    <n v="388"/>
    <n v="48.5"/>
    <n v="18818"/>
    <n v="23.47"/>
    <n v="10"/>
    <n v="11"/>
    <n v="862"/>
    <x v="0"/>
    <x v="0"/>
    <n v="5002.97"/>
  </r>
  <r>
    <n v="100539"/>
    <d v="2025-12-12T00:00:00"/>
    <d v="2025-12-16T00:00:00"/>
    <d v="2025-12-20T00:00:00"/>
    <s v="C8173"/>
    <x v="2"/>
    <s v="United States"/>
    <s v="P31630"/>
    <s v="Bottled Water Case"/>
    <s v="FMCG"/>
    <s v="S203"/>
    <s v="Zenith Procurement"/>
    <s v="Africa"/>
    <s v="WH 10"/>
    <s v="Cairo"/>
    <x v="1"/>
    <n v="246"/>
    <n v="30.32"/>
    <n v="7458.72"/>
    <n v="44.45"/>
    <n v="4"/>
    <n v="8"/>
    <n v="809"/>
    <x v="0"/>
    <x v="0"/>
    <n v="747.48"/>
  </r>
  <r>
    <n v="100540"/>
    <d v="2025-09-01T00:00:00"/>
    <d v="2025-09-01T00:00:00"/>
    <d v="2025-09-12T00:00:00"/>
    <s v="C2777"/>
    <x v="2"/>
    <s v="Mexico"/>
    <s v="P60374"/>
    <s v="Office Chair"/>
    <s v="Furniture"/>
    <s v="S562"/>
    <s v="BlueRiver Trading"/>
    <s v="Europe"/>
    <s v="WH 01"/>
    <s v="Karachi"/>
    <x v="3"/>
    <n v="446"/>
    <n v="347.71"/>
    <n v="155078.66"/>
    <n v="21.53"/>
    <n v="11"/>
    <n v="11"/>
    <n v="1827"/>
    <x v="0"/>
    <x v="0"/>
    <n v="20653.75"/>
  </r>
  <r>
    <n v="100541"/>
    <d v="2024-10-28T00:00:00"/>
    <d v="2024-11-02T00:00:00"/>
    <d v="2024-11-05T00:00:00"/>
    <s v="C9998"/>
    <x v="2"/>
    <s v="Mexico"/>
    <s v="P38906"/>
    <s v="Socks Pack"/>
    <s v="Apparel"/>
    <s v="S774"/>
    <s v="Summit Supply Co"/>
    <s v="North America"/>
    <s v="WH 02"/>
    <s v="Lahore"/>
    <x v="1"/>
    <n v="58"/>
    <n v="28"/>
    <n v="1624"/>
    <n v="23.9"/>
    <n v="3"/>
    <n v="8"/>
    <n v="1309"/>
    <x v="0"/>
    <x v="0"/>
    <n v="257.81"/>
  </r>
  <r>
    <n v="100542"/>
    <d v="2024-09-29T00:00:00"/>
    <d v="2024-09-29T00:00:00"/>
    <d v="2024-10-04T00:00:00"/>
    <s v="C2824"/>
    <x v="3"/>
    <s v="Spain"/>
    <s v="P20683"/>
    <s v="Bottled Water Case"/>
    <s v="FMCG"/>
    <s v="S212"/>
    <s v="BlueRiver Trading"/>
    <s v="North America"/>
    <s v="WH 10"/>
    <s v="Cairo"/>
    <x v="0"/>
    <n v="486"/>
    <n v="30.29"/>
    <n v="14720.94"/>
    <n v="26.25"/>
    <n v="5"/>
    <n v="5"/>
    <n v="2021"/>
    <x v="1"/>
    <x v="2"/>
    <n v="1892.67"/>
  </r>
  <r>
    <n v="100543"/>
    <d v="2024-03-05T00:00:00"/>
    <d v="2024-03-08T00:00:00"/>
    <d v="2024-03-26T00:00:00"/>
    <s v="C1968"/>
    <x v="3"/>
    <s v="Germany"/>
    <s v="P10368"/>
    <s v="Study Table"/>
    <s v="Furniture"/>
    <s v="S332"/>
    <s v="Pioneer Distribution"/>
    <s v="Europe"/>
    <s v="WH 06"/>
    <s v="Amsterdam"/>
    <x v="2"/>
    <n v="204"/>
    <n v="251.61"/>
    <n v="51328.44"/>
    <n v="8.69"/>
    <n v="18"/>
    <n v="21"/>
    <n v="970"/>
    <x v="0"/>
    <x v="0"/>
    <n v="9323.7900000000009"/>
  </r>
  <r>
    <n v="100544"/>
    <d v="2024-02-22T00:00:00"/>
    <d v="2024-02-23T00:00:00"/>
    <d v="2024-03-02T00:00:00"/>
    <s v="C7528"/>
    <x v="4"/>
    <s v="United Arab Emirates"/>
    <s v="P90771"/>
    <s v="Vitamin Pack"/>
    <s v="Healthcare"/>
    <s v="S352"/>
    <s v="Pioneer Distribution"/>
    <s v="Middle East"/>
    <s v="WH 10"/>
    <s v="Cairo"/>
    <x v="0"/>
    <n v="295"/>
    <n v="62.52"/>
    <n v="18443.400000000001"/>
    <n v="15.43"/>
    <n v="8"/>
    <n v="9"/>
    <n v="3050"/>
    <x v="0"/>
    <x v="0"/>
    <n v="3252.5"/>
  </r>
  <r>
    <n v="100545"/>
    <d v="2024-03-20T00:00:00"/>
    <d v="2024-03-25T00:00:00"/>
    <d v="2024-04-16T00:00:00"/>
    <s v="C4641"/>
    <x v="4"/>
    <s v="United Arab Emirates"/>
    <s v="P97132"/>
    <s v="Vitamin Pack"/>
    <s v="Healthcare"/>
    <s v="S291"/>
    <s v="Summit Supply Co"/>
    <s v="Middle East"/>
    <s v="WH 10"/>
    <s v="Cairo"/>
    <x v="2"/>
    <n v="112"/>
    <n v="50.49"/>
    <n v="5654.88"/>
    <n v="7.45"/>
    <n v="22"/>
    <n v="27"/>
    <n v="1073"/>
    <x v="0"/>
    <x v="0"/>
    <n v="1090.46"/>
  </r>
  <r>
    <n v="100546"/>
    <d v="2024-11-28T00:00:00"/>
    <d v="2024-12-01T00:00:00"/>
    <d v="2024-12-13T00:00:00"/>
    <s v="C7273"/>
    <x v="1"/>
    <s v="Kenya"/>
    <s v="P81820"/>
    <s v="First Aid Kit"/>
    <s v="Healthcare"/>
    <s v="S514"/>
    <s v="Crescent Logistics"/>
    <s v="Asia"/>
    <s v="WH 07"/>
    <s v="Toronto"/>
    <x v="3"/>
    <n v="102"/>
    <n v="29.07"/>
    <n v="2965.14"/>
    <n v="13.17"/>
    <n v="12"/>
    <n v="15"/>
    <n v="2179"/>
    <x v="0"/>
    <x v="0"/>
    <n v="388.56"/>
  </r>
  <r>
    <n v="100547"/>
    <d v="2024-05-19T00:00:00"/>
    <d v="2024-05-23T00:00:00"/>
    <d v="2024-05-24T00:00:00"/>
    <s v="C8903"/>
    <x v="1"/>
    <s v="Egypt"/>
    <s v="P38527"/>
    <s v="Storage Cabinet"/>
    <s v="Furniture"/>
    <s v="S369"/>
    <s v="Atlas Sourcing"/>
    <s v="North America"/>
    <s v="WH 07"/>
    <s v="Toronto"/>
    <x v="1"/>
    <n v="356"/>
    <n v="202.99"/>
    <n v="72264.44"/>
    <n v="51.58"/>
    <n v="1"/>
    <n v="5"/>
    <n v="1064"/>
    <x v="2"/>
    <x v="0"/>
    <n v="18189.240000000002"/>
  </r>
  <r>
    <n v="100548"/>
    <d v="2024-12-28T00:00:00"/>
    <d v="2025-01-02T00:00:00"/>
    <d v="2025-01-07T00:00:00"/>
    <s v="C4370"/>
    <x v="2"/>
    <s v="Canada"/>
    <s v="P48744"/>
    <s v="Toothpaste Box"/>
    <s v="FMCG"/>
    <s v="S470"/>
    <s v="Evergreen Partners"/>
    <s v="Africa"/>
    <s v="WH 09"/>
    <s v="Johannesburg"/>
    <x v="1"/>
    <n v="108"/>
    <n v="45.14"/>
    <n v="4875.12"/>
    <n v="35.51"/>
    <n v="5"/>
    <n v="10"/>
    <n v="721"/>
    <x v="0"/>
    <x v="0"/>
    <n v="376.9"/>
  </r>
  <r>
    <n v="100549"/>
    <d v="2025-08-20T00:00:00"/>
    <d v="2025-08-25T00:00:00"/>
    <d v="2025-08-26T00:00:00"/>
    <s v="C3384"/>
    <x v="1"/>
    <s v="Nigeria"/>
    <s v="P59961"/>
    <s v="First Aid Kit"/>
    <s v="Healthcare"/>
    <s v="S303"/>
    <s v="Atlas Sourcing"/>
    <s v="Europe"/>
    <s v="WH 10"/>
    <s v="Cairo"/>
    <x v="1"/>
    <n v="377"/>
    <n v="54.04"/>
    <n v="20373.080000000002"/>
    <n v="52.94"/>
    <n v="1"/>
    <n v="6"/>
    <n v="3938"/>
    <x v="2"/>
    <x v="0"/>
    <n v="2540.11"/>
  </r>
  <r>
    <n v="100550"/>
    <d v="2025-07-29T00:00:00"/>
    <d v="2025-07-31T00:00:00"/>
    <d v="2025-08-05T00:00:00"/>
    <s v="C7671"/>
    <x v="2"/>
    <s v="Mexico"/>
    <s v="P48032"/>
    <s v="Toothpaste Box"/>
    <s v="FMCG"/>
    <s v="S307"/>
    <s v="Summit Supply Co"/>
    <s v="Africa"/>
    <s v="WH 06"/>
    <s v="Amsterdam"/>
    <x v="1"/>
    <n v="28"/>
    <n v="28.52"/>
    <n v="798.56"/>
    <n v="30.33"/>
    <n v="5"/>
    <n v="7"/>
    <n v="4561"/>
    <x v="2"/>
    <x v="0"/>
    <n v="87.26"/>
  </r>
  <r>
    <n v="100551"/>
    <d v="2025-03-19T00:00:00"/>
    <d v="2025-03-22T00:00:00"/>
    <d v="2025-03-30T00:00:00"/>
    <s v="C5009"/>
    <x v="2"/>
    <s v="Mexico"/>
    <s v="P56936"/>
    <s v="Storage Cabinet"/>
    <s v="Furniture"/>
    <s v="S202"/>
    <s v="Vertex Manufacturing"/>
    <s v="Middle East"/>
    <s v="WH 09"/>
    <s v="Johannesburg"/>
    <x v="0"/>
    <n v="411"/>
    <n v="287.17"/>
    <n v="118026.87"/>
    <n v="24.13"/>
    <n v="8"/>
    <n v="11"/>
    <n v="567"/>
    <x v="0"/>
    <x v="0"/>
    <n v="15238.88"/>
  </r>
  <r>
    <n v="100552"/>
    <d v="2024-06-30T00:00:00"/>
    <d v="2024-06-30T00:00:00"/>
    <d v="2024-07-05T00:00:00"/>
    <s v="C4928"/>
    <x v="4"/>
    <s v="United Arab Emirates"/>
    <s v="P40815"/>
    <s v="Vitamin Pack"/>
    <s v="Healthcare"/>
    <s v="S993"/>
    <s v="Orion Supplies"/>
    <s v="Middle East"/>
    <s v="WH 03"/>
    <s v="Dubai"/>
    <x v="1"/>
    <n v="355"/>
    <n v="22.83"/>
    <n v="8104.65"/>
    <n v="38.159999999999997"/>
    <n v="5"/>
    <n v="5"/>
    <n v="2226"/>
    <x v="2"/>
    <x v="0"/>
    <n v="608.75"/>
  </r>
  <r>
    <n v="100553"/>
    <d v="2024-05-12T00:00:00"/>
    <d v="2024-05-12T00:00:00"/>
    <d v="2024-05-19T00:00:00"/>
    <s v="C3835"/>
    <x v="0"/>
    <s v="India"/>
    <s v="P78274"/>
    <s v="Denim Jeans"/>
    <s v="Apparel"/>
    <s v="S433"/>
    <s v="Nova Industrial"/>
    <s v="North America"/>
    <s v="WH 03"/>
    <s v="Dubai"/>
    <x v="0"/>
    <n v="48"/>
    <n v="25.84"/>
    <n v="1240.32"/>
    <n v="13.83"/>
    <n v="7"/>
    <n v="7"/>
    <n v="311"/>
    <x v="2"/>
    <x v="0"/>
    <n v="125.98"/>
  </r>
  <r>
    <n v="100554"/>
    <d v="2024-02-03T00:00:00"/>
    <d v="2024-02-04T00:00:00"/>
    <d v="2024-02-19T00:00:00"/>
    <s v="C7461"/>
    <x v="2"/>
    <s v="United States"/>
    <s v="P38205"/>
    <s v="Vitamin Pack"/>
    <s v="Healthcare"/>
    <s v="S923"/>
    <s v="Zenith Procurement"/>
    <s v="Middle East"/>
    <s v="WH 02"/>
    <s v="Lahore"/>
    <x v="0"/>
    <n v="144"/>
    <n v="13.12"/>
    <n v="1889.28"/>
    <n v="16.559999999999999"/>
    <n v="15"/>
    <n v="16"/>
    <n v="2948"/>
    <x v="1"/>
    <x v="3"/>
    <n v="125.78"/>
  </r>
  <r>
    <n v="100555"/>
    <d v="2024-02-13T00:00:00"/>
    <d v="2024-02-16T00:00:00"/>
    <d v="2024-03-10T00:00:00"/>
    <s v="C5607"/>
    <x v="1"/>
    <s v="Egypt"/>
    <s v="P13985"/>
    <s v="Detergent Bag"/>
    <s v="FMCG"/>
    <s v="S144"/>
    <s v="Nova Industrial"/>
    <s v="Asia"/>
    <s v="WH 07"/>
    <s v="Toronto"/>
    <x v="2"/>
    <n v="117"/>
    <n v="21.05"/>
    <n v="2462.85"/>
    <n v="10.15"/>
    <n v="23"/>
    <n v="26"/>
    <n v="4201"/>
    <x v="0"/>
    <x v="0"/>
    <n v="323.64999999999998"/>
  </r>
  <r>
    <n v="100556"/>
    <d v="2025-01-13T00:00:00"/>
    <d v="2025-01-13T00:00:00"/>
    <d v="2025-01-18T00:00:00"/>
    <s v="C5647"/>
    <x v="4"/>
    <s v="Qatar"/>
    <s v="P96338"/>
    <s v="Vitamin Pack"/>
    <s v="Healthcare"/>
    <s v="S693"/>
    <s v="Orion Supplies"/>
    <s v="North America"/>
    <s v="WH 04"/>
    <s v="Istanbul"/>
    <x v="3"/>
    <n v="190"/>
    <n v="59.05"/>
    <n v="11219.5"/>
    <n v="15.31"/>
    <n v="5"/>
    <n v="5"/>
    <n v="4378"/>
    <x v="2"/>
    <x v="0"/>
    <n v="1161.68"/>
  </r>
  <r>
    <n v="100557"/>
    <d v="2025-11-13T00:00:00"/>
    <d v="2025-11-13T00:00:00"/>
    <d v="2025-11-17T00:00:00"/>
    <s v="C1877"/>
    <x v="3"/>
    <s v="Poland"/>
    <s v="P94790"/>
    <s v="Socks Pack"/>
    <s v="Apparel"/>
    <s v="S228"/>
    <s v="Summit Supply Co"/>
    <s v="Africa"/>
    <s v="WH 04"/>
    <s v="Istanbul"/>
    <x v="3"/>
    <n v="58"/>
    <n v="116.26"/>
    <n v="6743.08"/>
    <n v="12.1"/>
    <n v="4"/>
    <n v="4"/>
    <n v="442"/>
    <x v="2"/>
    <x v="0"/>
    <n v="858.06"/>
  </r>
  <r>
    <n v="100558"/>
    <d v="2025-08-27T00:00:00"/>
    <d v="2025-09-01T00:00:00"/>
    <d v="2025-09-20T00:00:00"/>
    <s v="C4863"/>
    <x v="2"/>
    <s v="Canada"/>
    <s v="P98074"/>
    <s v="Shampoo Pack"/>
    <s v="FMCG"/>
    <s v="S428"/>
    <s v="Crescent Logistics"/>
    <s v="Europe"/>
    <s v="WH 09"/>
    <s v="Johannesburg"/>
    <x v="2"/>
    <n v="21"/>
    <n v="34.630000000000003"/>
    <n v="727.23"/>
    <n v="8.4"/>
    <n v="19"/>
    <n v="24"/>
    <n v="3823"/>
    <x v="1"/>
    <x v="3"/>
    <n v="114.48"/>
  </r>
  <r>
    <n v="100559"/>
    <d v="2024-08-16T00:00:00"/>
    <d v="2024-08-16T00:00:00"/>
    <d v="2024-08-19T00:00:00"/>
    <s v="C8869"/>
    <x v="4"/>
    <s v="United Arab Emirates"/>
    <s v="P66862"/>
    <s v="Bookshelf"/>
    <s v="Furniture"/>
    <s v="S997"/>
    <s v="Summit Supply Co"/>
    <s v="North America"/>
    <s v="WH 03"/>
    <s v="Dubai"/>
    <x v="0"/>
    <n v="368"/>
    <n v="344.04"/>
    <n v="126606.72"/>
    <n v="22.91"/>
    <n v="3"/>
    <n v="3"/>
    <n v="2172"/>
    <x v="2"/>
    <x v="0"/>
    <n v="24725.13"/>
  </r>
  <r>
    <n v="100560"/>
    <d v="2025-02-26T00:00:00"/>
    <d v="2025-03-02T00:00:00"/>
    <d v="2025-03-16T00:00:00"/>
    <s v="C6755"/>
    <x v="1"/>
    <s v="Nigeria"/>
    <s v="P46370"/>
    <s v="Wireless Earbuds"/>
    <s v="Electronics"/>
    <s v="S713"/>
    <s v="Pioneer Distribution"/>
    <s v="Europe"/>
    <s v="WH 01"/>
    <s v="Karachi"/>
    <x v="2"/>
    <n v="401"/>
    <n v="388.23"/>
    <n v="155680.23000000001"/>
    <n v="15.33"/>
    <n v="14"/>
    <n v="18"/>
    <n v="1011"/>
    <x v="0"/>
    <x v="0"/>
    <n v="19546.650000000001"/>
  </r>
  <r>
    <n v="100561"/>
    <d v="2025-09-06T00:00:00"/>
    <d v="2025-09-08T00:00:00"/>
    <d v="2025-09-23T00:00:00"/>
    <s v="C1358"/>
    <x v="2"/>
    <s v="Mexico"/>
    <s v="P48674"/>
    <s v="Router"/>
    <s v="Electronics"/>
    <s v="S423"/>
    <s v="Nova Industrial"/>
    <s v="Middle East"/>
    <s v="WH 10"/>
    <s v="Cairo"/>
    <x v="2"/>
    <n v="195"/>
    <n v="438.52"/>
    <n v="85511.4"/>
    <n v="11.57"/>
    <n v="15"/>
    <n v="17"/>
    <n v="214"/>
    <x v="0"/>
    <x v="0"/>
    <n v="18552.689999999999"/>
  </r>
  <r>
    <n v="100562"/>
    <d v="2024-07-11T00:00:00"/>
    <d v="2024-07-13T00:00:00"/>
    <d v="2024-07-15T00:00:00"/>
    <s v="C5234"/>
    <x v="0"/>
    <s v="Vietnam"/>
    <s v="P56412"/>
    <s v="Socks Pack"/>
    <s v="Apparel"/>
    <s v="S968"/>
    <s v="Atlas Sourcing"/>
    <s v="Europe"/>
    <s v="WH 09"/>
    <s v="Johannesburg"/>
    <x v="1"/>
    <n v="349"/>
    <n v="42.41"/>
    <n v="14801.09"/>
    <n v="51.13"/>
    <n v="2"/>
    <n v="4"/>
    <n v="2663"/>
    <x v="1"/>
    <x v="1"/>
    <n v="-10.38"/>
  </r>
  <r>
    <n v="100563"/>
    <d v="2025-10-18T00:00:00"/>
    <d v="2025-10-23T00:00:00"/>
    <d v="2025-11-02T00:00:00"/>
    <s v="C2877"/>
    <x v="1"/>
    <s v="Kenya"/>
    <s v="P97700"/>
    <s v="Storage Cabinet"/>
    <s v="Furniture"/>
    <s v="S816"/>
    <s v="Summit Supply Co"/>
    <s v="Middle East"/>
    <s v="WH 02"/>
    <s v="Lahore"/>
    <x v="0"/>
    <n v="127"/>
    <n v="159.80000000000001"/>
    <n v="20294.599999999999"/>
    <n v="16.07"/>
    <n v="10"/>
    <n v="15"/>
    <n v="715"/>
    <x v="1"/>
    <x v="2"/>
    <n v="2674.21"/>
  </r>
  <r>
    <n v="100564"/>
    <d v="2024-05-28T00:00:00"/>
    <d v="2024-06-02T00:00:00"/>
    <d v="2024-06-06T00:00:00"/>
    <s v="C1519"/>
    <x v="3"/>
    <s v="France"/>
    <s v="P64615"/>
    <s v="Hoodie"/>
    <s v="Apparel"/>
    <s v="S486"/>
    <s v="Zenith Procurement"/>
    <s v="North America"/>
    <s v="WH 04"/>
    <s v="Istanbul"/>
    <x v="1"/>
    <n v="482"/>
    <n v="82.83"/>
    <n v="39924.06"/>
    <n v="59.75"/>
    <n v="4"/>
    <n v="9"/>
    <n v="3287"/>
    <x v="1"/>
    <x v="2"/>
    <n v="9275.73"/>
  </r>
  <r>
    <n v="100565"/>
    <d v="2024-03-31T00:00:00"/>
    <d v="2024-04-04T00:00:00"/>
    <d v="2024-04-08T00:00:00"/>
    <s v="C9780"/>
    <x v="1"/>
    <s v="South Africa"/>
    <s v="P82090"/>
    <s v="Wireless Earbuds"/>
    <s v="Electronics"/>
    <s v="S476"/>
    <s v="Pioneer Distribution"/>
    <s v="Europe"/>
    <s v="WH 10"/>
    <s v="Cairo"/>
    <x v="3"/>
    <n v="393"/>
    <n v="129.11000000000001"/>
    <n v="50740.23"/>
    <n v="20.239999999999998"/>
    <n v="4"/>
    <n v="8"/>
    <n v="800"/>
    <x v="0"/>
    <x v="0"/>
    <n v="6811.71"/>
  </r>
  <r>
    <n v="100566"/>
    <d v="2024-01-12T00:00:00"/>
    <d v="2024-01-15T00:00:00"/>
    <d v="2024-02-05T00:00:00"/>
    <s v="C1400"/>
    <x v="0"/>
    <s v="China"/>
    <s v="P29239"/>
    <s v="Sportswear Set"/>
    <s v="Apparel"/>
    <s v="S276"/>
    <s v="BlueRiver Trading"/>
    <s v="Middle East"/>
    <s v="WH 05"/>
    <s v="Frankfurt"/>
    <x v="2"/>
    <n v="350"/>
    <n v="75.599999999999994"/>
    <n v="26460"/>
    <n v="14.4"/>
    <n v="21"/>
    <n v="24"/>
    <n v="2025"/>
    <x v="0"/>
    <x v="0"/>
    <n v="5143.82"/>
  </r>
  <r>
    <n v="100567"/>
    <d v="2025-03-29T00:00:00"/>
    <d v="2025-04-01T00:00:00"/>
    <d v="2025-04-05T00:00:00"/>
    <s v="C1022"/>
    <x v="0"/>
    <s v="Indonesia"/>
    <s v="P85930"/>
    <s v="Socks Pack"/>
    <s v="Apparel"/>
    <s v="S285"/>
    <s v="Summit Supply Co"/>
    <s v="Middle East"/>
    <s v="WH 08"/>
    <s v="Chicago"/>
    <x v="1"/>
    <n v="258"/>
    <n v="37.26"/>
    <n v="9613.08"/>
    <n v="45.23"/>
    <n v="4"/>
    <n v="7"/>
    <n v="283"/>
    <x v="2"/>
    <x v="0"/>
    <n v="2190.36"/>
  </r>
  <r>
    <n v="100568"/>
    <d v="2024-03-19T00:00:00"/>
    <d v="2024-03-20T00:00:00"/>
    <d v="2024-03-29T00:00:00"/>
    <s v="C9444"/>
    <x v="2"/>
    <s v="Mexico"/>
    <s v="P64213"/>
    <s v="Snack Carton"/>
    <s v="FMCG"/>
    <s v="S345"/>
    <s v="Summit Supply Co"/>
    <s v="Asia"/>
    <s v="WH 02"/>
    <s v="Lahore"/>
    <x v="0"/>
    <n v="236"/>
    <n v="29.34"/>
    <n v="6924.24"/>
    <n v="19.16"/>
    <n v="9"/>
    <n v="10"/>
    <n v="601"/>
    <x v="0"/>
    <x v="0"/>
    <n v="950.75"/>
  </r>
  <r>
    <n v="100569"/>
    <d v="2025-07-04T00:00:00"/>
    <d v="2025-07-06T00:00:00"/>
    <d v="2025-07-19T00:00:00"/>
    <s v="C6920"/>
    <x v="1"/>
    <s v="Morocco"/>
    <s v="P64412"/>
    <s v="Bluetooth Speaker"/>
    <s v="Electronics"/>
    <s v="S245"/>
    <s v="Atlas Sourcing"/>
    <s v="Europe"/>
    <s v="WH 07"/>
    <s v="Toronto"/>
    <x v="2"/>
    <n v="434"/>
    <n v="309.36"/>
    <n v="134262.24"/>
    <n v="15.93"/>
    <n v="13"/>
    <n v="15"/>
    <n v="1737"/>
    <x v="0"/>
    <x v="0"/>
    <n v="15534.61"/>
  </r>
  <r>
    <n v="100570"/>
    <d v="2025-01-20T00:00:00"/>
    <d v="2025-01-25T00:00:00"/>
    <d v="2025-01-29T00:00:00"/>
    <s v="C2079"/>
    <x v="3"/>
    <s v="Netherlands"/>
    <s v="P15322"/>
    <s v="Office Chair"/>
    <s v="Furniture"/>
    <s v="S882"/>
    <s v="Crescent Logistics"/>
    <s v="Asia"/>
    <s v="WH 08"/>
    <s v="Chicago"/>
    <x v="0"/>
    <n v="118"/>
    <n v="318.57"/>
    <n v="37591.26"/>
    <n v="15.82"/>
    <n v="4"/>
    <n v="9"/>
    <n v="1211"/>
    <x v="0"/>
    <x v="0"/>
    <n v="7087.07"/>
  </r>
  <r>
    <n v="100571"/>
    <d v="2025-08-16T00:00:00"/>
    <d v="2025-08-19T00:00:00"/>
    <d v="2025-08-20T00:00:00"/>
    <s v="C6991"/>
    <x v="0"/>
    <s v="Pakistan"/>
    <s v="P98147"/>
    <s v="Bluetooth Speaker"/>
    <s v="Electronics"/>
    <s v="S142"/>
    <s v="Crescent Logistics"/>
    <s v="North America"/>
    <s v="WH 09"/>
    <s v="Johannesburg"/>
    <x v="1"/>
    <n v="163"/>
    <n v="118.41"/>
    <n v="19300.830000000002"/>
    <n v="39.07"/>
    <n v="1"/>
    <n v="4"/>
    <n v="655"/>
    <x v="2"/>
    <x v="0"/>
    <n v="2305.3000000000002"/>
  </r>
  <r>
    <n v="100572"/>
    <d v="2025-04-11T00:00:00"/>
    <d v="2025-04-12T00:00:00"/>
    <d v="2025-04-18T00:00:00"/>
    <s v="C5566"/>
    <x v="1"/>
    <s v="Kenya"/>
    <s v="P12196"/>
    <s v="Sportswear Set"/>
    <s v="Apparel"/>
    <s v="S187"/>
    <s v="Evergreen Partners"/>
    <s v="Middle East"/>
    <s v="WH 07"/>
    <s v="Toronto"/>
    <x v="0"/>
    <n v="333"/>
    <n v="46.52"/>
    <n v="15491.16"/>
    <n v="21.91"/>
    <n v="6"/>
    <n v="7"/>
    <n v="939"/>
    <x v="2"/>
    <x v="0"/>
    <n v="2392.06"/>
  </r>
  <r>
    <n v="100573"/>
    <d v="2024-10-18T00:00:00"/>
    <d v="2024-10-22T00:00:00"/>
    <d v="2024-11-11T00:00:00"/>
    <s v="C2231"/>
    <x v="2"/>
    <s v="United States"/>
    <s v="P39377"/>
    <s v="Office Chair"/>
    <s v="Furniture"/>
    <s v="S435"/>
    <s v="Summit Supply Co"/>
    <s v="Asia"/>
    <s v="WH 10"/>
    <s v="Cairo"/>
    <x v="3"/>
    <n v="431"/>
    <n v="243.19"/>
    <n v="104814.89"/>
    <n v="21.17"/>
    <n v="20"/>
    <n v="24"/>
    <n v="996"/>
    <x v="1"/>
    <x v="1"/>
    <n v="-106.21"/>
  </r>
  <r>
    <n v="100574"/>
    <d v="2024-02-11T00:00:00"/>
    <d v="2024-02-14T00:00:00"/>
    <d v="2024-02-22T00:00:00"/>
    <s v="C7121"/>
    <x v="1"/>
    <s v="South Africa"/>
    <s v="P41629"/>
    <s v="Wireless Earbuds"/>
    <s v="Electronics"/>
    <s v="S815"/>
    <s v="Summit Supply Co"/>
    <s v="Asia"/>
    <s v="WH 05"/>
    <s v="Frankfurt"/>
    <x v="0"/>
    <n v="440"/>
    <n v="170.58"/>
    <n v="75055.199999999997"/>
    <n v="24.95"/>
    <n v="8"/>
    <n v="11"/>
    <n v="1489"/>
    <x v="0"/>
    <x v="0"/>
    <n v="12934.11"/>
  </r>
  <r>
    <n v="100575"/>
    <d v="2025-09-25T00:00:00"/>
    <d v="2025-09-26T00:00:00"/>
    <d v="2025-09-28T00:00:00"/>
    <s v="C9934"/>
    <x v="1"/>
    <s v="South Africa"/>
    <s v="P43734"/>
    <s v="Sportswear Set"/>
    <s v="Apparel"/>
    <s v="S407"/>
    <s v="Evergreen Partners"/>
    <s v="Middle East"/>
    <s v="WH 01"/>
    <s v="Karachi"/>
    <x v="1"/>
    <n v="100"/>
    <n v="43.3"/>
    <n v="4330"/>
    <n v="34.99"/>
    <n v="2"/>
    <n v="3"/>
    <n v="951"/>
    <x v="2"/>
    <x v="0"/>
    <n v="1089.5"/>
  </r>
  <r>
    <n v="100576"/>
    <d v="2024-12-21T00:00:00"/>
    <d v="2024-12-24T00:00:00"/>
    <d v="2025-01-04T00:00:00"/>
    <s v="C1104"/>
    <x v="3"/>
    <s v="Netherlands"/>
    <s v="P44815"/>
    <s v="Toothpaste Box"/>
    <s v="FMCG"/>
    <s v="S249"/>
    <s v="Evergreen Partners"/>
    <s v="Africa"/>
    <s v="WH 05"/>
    <s v="Frankfurt"/>
    <x v="3"/>
    <n v="155"/>
    <n v="42.07"/>
    <n v="6520.85"/>
    <n v="14.46"/>
    <n v="11"/>
    <n v="14"/>
    <n v="598"/>
    <x v="1"/>
    <x v="1"/>
    <n v="-68.47"/>
  </r>
  <r>
    <n v="100577"/>
    <d v="2025-04-08T00:00:00"/>
    <d v="2025-04-12T00:00:00"/>
    <d v="2025-05-07T00:00:00"/>
    <s v="C1486"/>
    <x v="2"/>
    <s v="Mexico"/>
    <s v="P33762"/>
    <s v="T Shirt Bundle"/>
    <s v="Apparel"/>
    <s v="S264"/>
    <s v="Summit Supply Co"/>
    <s v="Africa"/>
    <s v="WH 03"/>
    <s v="Dubai"/>
    <x v="2"/>
    <n v="134"/>
    <n v="75.569999999999993"/>
    <n v="10126.379999999999"/>
    <n v="10.46"/>
    <n v="25"/>
    <n v="29"/>
    <n v="879"/>
    <x v="1"/>
    <x v="2"/>
    <n v="2115.44"/>
  </r>
  <r>
    <n v="100578"/>
    <d v="2024-08-26T00:00:00"/>
    <d v="2024-08-29T00:00:00"/>
    <d v="2024-09-04T00:00:00"/>
    <s v="C2667"/>
    <x v="0"/>
    <s v="Pakistan"/>
    <s v="P87400"/>
    <s v="Thermometer"/>
    <s v="Healthcare"/>
    <s v="S501"/>
    <s v="Evergreen Partners"/>
    <s v="Africa"/>
    <s v="WH 09"/>
    <s v="Johannesburg"/>
    <x v="0"/>
    <n v="262"/>
    <n v="27.53"/>
    <n v="7212.86"/>
    <n v="19.899999999999999"/>
    <n v="6"/>
    <n v="9"/>
    <n v="3447"/>
    <x v="0"/>
    <x v="0"/>
    <n v="1019.65"/>
  </r>
  <r>
    <n v="100579"/>
    <d v="2025-09-28T00:00:00"/>
    <d v="2025-09-29T00:00:00"/>
    <d v="2025-10-01T00:00:00"/>
    <s v="C3440"/>
    <x v="2"/>
    <s v="United States"/>
    <s v="P47563"/>
    <s v="Denim Jeans"/>
    <s v="Apparel"/>
    <s v="S722"/>
    <s v="Evergreen Partners"/>
    <s v="Africa"/>
    <s v="WH 03"/>
    <s v="Dubai"/>
    <x v="0"/>
    <n v="280"/>
    <n v="119.97"/>
    <n v="33591.599999999999"/>
    <n v="20.41"/>
    <n v="2"/>
    <n v="3"/>
    <n v="2010"/>
    <x v="2"/>
    <x v="0"/>
    <n v="5383.19"/>
  </r>
  <r>
    <n v="100580"/>
    <d v="2024-08-23T00:00:00"/>
    <d v="2024-08-23T00:00:00"/>
    <d v="2024-09-12T00:00:00"/>
    <s v="C4262"/>
    <x v="3"/>
    <s v="France"/>
    <s v="P61259"/>
    <s v="Hand Sanitizer Case"/>
    <s v="Healthcare"/>
    <s v="S992"/>
    <s v="Atlas Sourcing"/>
    <s v="Asia"/>
    <s v="WH 03"/>
    <s v="Dubai"/>
    <x v="2"/>
    <n v="314"/>
    <n v="57.05"/>
    <n v="17913.7"/>
    <n v="13.74"/>
    <n v="20"/>
    <n v="20"/>
    <n v="2947"/>
    <x v="0"/>
    <x v="0"/>
    <n v="3086.57"/>
  </r>
  <r>
    <n v="100581"/>
    <d v="2024-01-14T00:00:00"/>
    <d v="2024-01-17T00:00:00"/>
    <d v="2024-01-22T00:00:00"/>
    <s v="C2689"/>
    <x v="1"/>
    <s v="Egypt"/>
    <s v="P52531"/>
    <s v="Vitamin Pack"/>
    <s v="Healthcare"/>
    <s v="S659"/>
    <s v="Nova Industrial"/>
    <s v="Asia"/>
    <s v="WH 05"/>
    <s v="Frankfurt"/>
    <x v="0"/>
    <n v="94"/>
    <n v="79.34"/>
    <n v="7457.96"/>
    <n v="15.14"/>
    <n v="5"/>
    <n v="8"/>
    <n v="3479"/>
    <x v="0"/>
    <x v="0"/>
    <n v="785.42"/>
  </r>
  <r>
    <n v="100582"/>
    <d v="2025-06-24T00:00:00"/>
    <d v="2025-06-25T00:00:00"/>
    <d v="2025-07-03T00:00:00"/>
    <s v="C4878"/>
    <x v="3"/>
    <s v="Poland"/>
    <s v="P71716"/>
    <s v="Face Mask Box"/>
    <s v="Healthcare"/>
    <s v="S164"/>
    <s v="Zenith Procurement"/>
    <s v="North America"/>
    <s v="WH 03"/>
    <s v="Dubai"/>
    <x v="0"/>
    <n v="280"/>
    <n v="33.909999999999997"/>
    <n v="9494.7999999999993"/>
    <n v="20.41"/>
    <n v="8"/>
    <n v="9"/>
    <n v="3409"/>
    <x v="0"/>
    <x v="0"/>
    <n v="1708.07"/>
  </r>
  <r>
    <n v="100583"/>
    <d v="2024-11-12T00:00:00"/>
    <d v="2024-11-13T00:00:00"/>
    <d v="2024-11-28T00:00:00"/>
    <s v="C9974"/>
    <x v="0"/>
    <s v="Bangladesh"/>
    <s v="P20974"/>
    <s v="Vitamin Pack"/>
    <s v="Healthcare"/>
    <s v="S634"/>
    <s v="Atlas Sourcing"/>
    <s v="North America"/>
    <s v="WH 08"/>
    <s v="Chicago"/>
    <x v="2"/>
    <n v="118"/>
    <n v="16.04"/>
    <n v="1892.72"/>
    <n v="10.17"/>
    <n v="15"/>
    <n v="16"/>
    <n v="4137"/>
    <x v="0"/>
    <x v="0"/>
    <n v="176.3"/>
  </r>
  <r>
    <n v="100584"/>
    <d v="2024-05-02T00:00:00"/>
    <d v="2024-05-02T00:00:00"/>
    <d v="2024-05-14T00:00:00"/>
    <s v="C7458"/>
    <x v="2"/>
    <s v="Mexico"/>
    <s v="P45524"/>
    <s v="Socks Pack"/>
    <s v="Apparel"/>
    <s v="S809"/>
    <s v="Crescent Logistics"/>
    <s v="Africa"/>
    <s v="WH 10"/>
    <s v="Cairo"/>
    <x v="3"/>
    <n v="39"/>
    <n v="16"/>
    <n v="624"/>
    <n v="11.64"/>
    <n v="12"/>
    <n v="12"/>
    <n v="3241"/>
    <x v="0"/>
    <x v="0"/>
    <n v="57.59"/>
  </r>
  <r>
    <n v="100585"/>
    <d v="2025-01-21T00:00:00"/>
    <d v="2025-01-21T00:00:00"/>
    <d v="2025-01-25T00:00:00"/>
    <s v="C9234"/>
    <x v="2"/>
    <s v="Canada"/>
    <s v="P57965"/>
    <s v="Shampoo Pack"/>
    <s v="FMCG"/>
    <s v="S377"/>
    <s v="Zenith Procurement"/>
    <s v="Europe"/>
    <s v="WH 04"/>
    <s v="Istanbul"/>
    <x v="1"/>
    <n v="335"/>
    <n v="15.53"/>
    <n v="5202.55"/>
    <n v="50.22"/>
    <n v="4"/>
    <n v="4"/>
    <n v="649"/>
    <x v="2"/>
    <x v="0"/>
    <n v="667.17"/>
  </r>
  <r>
    <n v="100586"/>
    <d v="2025-03-07T00:00:00"/>
    <d v="2025-03-08T00:00:00"/>
    <d v="2025-03-16T00:00:00"/>
    <s v="C4401"/>
    <x v="2"/>
    <s v="Canada"/>
    <s v="P56404"/>
    <s v="Snack Carton"/>
    <s v="FMCG"/>
    <s v="S213"/>
    <s v="Pioneer Distribution"/>
    <s v="Middle East"/>
    <s v="WH 08"/>
    <s v="Chicago"/>
    <x v="3"/>
    <n v="156"/>
    <n v="21.5"/>
    <n v="3354"/>
    <n v="14.48"/>
    <n v="8"/>
    <n v="9"/>
    <n v="1462"/>
    <x v="0"/>
    <x v="0"/>
    <n v="552.07000000000005"/>
  </r>
  <r>
    <n v="100587"/>
    <d v="2024-12-19T00:00:00"/>
    <d v="2024-12-20T00:00:00"/>
    <d v="2024-12-21T00:00:00"/>
    <s v="C7902"/>
    <x v="2"/>
    <s v="Canada"/>
    <s v="P17612"/>
    <s v="Vitamin Pack"/>
    <s v="Healthcare"/>
    <s v="S544"/>
    <s v="Crescent Logistics"/>
    <s v="Africa"/>
    <s v="WH 02"/>
    <s v="Lahore"/>
    <x v="1"/>
    <n v="335"/>
    <n v="13.88"/>
    <n v="4649.8"/>
    <n v="50.22"/>
    <n v="1"/>
    <n v="2"/>
    <n v="2103"/>
    <x v="2"/>
    <x v="0"/>
    <n v="692.25"/>
  </r>
  <r>
    <n v="100588"/>
    <d v="2025-04-21T00:00:00"/>
    <d v="2025-04-23T00:00:00"/>
    <d v="2025-04-24T00:00:00"/>
    <s v="C6247"/>
    <x v="3"/>
    <s v="Netherlands"/>
    <s v="P41385"/>
    <s v="Snack Carton"/>
    <s v="FMCG"/>
    <s v="S667"/>
    <s v="BlueRiver Trading"/>
    <s v="Asia"/>
    <s v="WH 01"/>
    <s v="Karachi"/>
    <x v="1"/>
    <n v="287"/>
    <n v="44.28"/>
    <n v="12708.36"/>
    <n v="47.11"/>
    <n v="1"/>
    <n v="3"/>
    <n v="980"/>
    <x v="2"/>
    <x v="0"/>
    <n v="1769.78"/>
  </r>
  <r>
    <n v="100589"/>
    <d v="2025-12-06T00:00:00"/>
    <d v="2025-12-06T00:00:00"/>
    <d v="2025-12-10T00:00:00"/>
    <s v="C3846"/>
    <x v="1"/>
    <s v="Morocco"/>
    <s v="P36708"/>
    <s v="Storage Cabinet"/>
    <s v="Furniture"/>
    <s v="S515"/>
    <s v="Atlas Sourcing"/>
    <s v="Asia"/>
    <s v="WH 09"/>
    <s v="Johannesburg"/>
    <x v="0"/>
    <n v="191"/>
    <n v="141.87"/>
    <n v="27097.17"/>
    <n v="17.89"/>
    <n v="4"/>
    <n v="4"/>
    <n v="876"/>
    <x v="2"/>
    <x v="0"/>
    <n v="4062.32"/>
  </r>
  <r>
    <n v="100590"/>
    <d v="2024-06-04T00:00:00"/>
    <d v="2024-06-08T00:00:00"/>
    <d v="2024-06-12T00:00:00"/>
    <s v="C3486"/>
    <x v="1"/>
    <s v="Morocco"/>
    <s v="P76691"/>
    <s v="Study Table"/>
    <s v="Furniture"/>
    <s v="S966"/>
    <s v="Zenith Procurement"/>
    <s v="Middle East"/>
    <s v="WH 04"/>
    <s v="Istanbul"/>
    <x v="1"/>
    <n v="391"/>
    <n v="332.39"/>
    <n v="129964.49"/>
    <n v="53.85"/>
    <n v="4"/>
    <n v="8"/>
    <n v="892"/>
    <x v="0"/>
    <x v="0"/>
    <n v="33050.36"/>
  </r>
  <r>
    <n v="100591"/>
    <d v="2024-11-26T00:00:00"/>
    <d v="2024-11-30T00:00:00"/>
    <d v="2024-12-01T00:00:00"/>
    <s v="C6393"/>
    <x v="3"/>
    <s v="Spain"/>
    <s v="P45233"/>
    <s v="Thermometer"/>
    <s v="Healthcare"/>
    <s v="S409"/>
    <s v="BlueRiver Trading"/>
    <s v="Middle East"/>
    <s v="WH 06"/>
    <s v="Amsterdam"/>
    <x v="1"/>
    <n v="40"/>
    <n v="74.150000000000006"/>
    <n v="2966"/>
    <n v="31.1"/>
    <n v="1"/>
    <n v="5"/>
    <n v="4481"/>
    <x v="2"/>
    <x v="0"/>
    <n v="339.15"/>
  </r>
  <r>
    <n v="100592"/>
    <d v="2024-01-19T00:00:00"/>
    <d v="2024-01-22T00:00:00"/>
    <d v="2024-01-31T00:00:00"/>
    <s v="C9130"/>
    <x v="3"/>
    <s v="Sweden"/>
    <s v="P60411"/>
    <s v="First Aid Kit"/>
    <s v="Healthcare"/>
    <s v="S953"/>
    <s v="Summit Supply Co"/>
    <s v="Europe"/>
    <s v="WH 08"/>
    <s v="Chicago"/>
    <x v="0"/>
    <n v="474"/>
    <n v="30.47"/>
    <n v="14442.78"/>
    <n v="19.190000000000001"/>
    <n v="9"/>
    <n v="12"/>
    <n v="2768"/>
    <x v="0"/>
    <x v="0"/>
    <n v="2827.78"/>
  </r>
  <r>
    <n v="100593"/>
    <d v="2024-10-17T00:00:00"/>
    <d v="2024-10-21T00:00:00"/>
    <d v="2024-11-14T00:00:00"/>
    <s v="C7791"/>
    <x v="3"/>
    <s v="Netherlands"/>
    <s v="P38314"/>
    <s v="First Aid Kit"/>
    <s v="Healthcare"/>
    <s v="S783"/>
    <s v="Pioneer Distribution"/>
    <s v="North America"/>
    <s v="WH 01"/>
    <s v="Karachi"/>
    <x v="2"/>
    <n v="433"/>
    <n v="16.11"/>
    <n v="6975.63"/>
    <n v="15.91"/>
    <n v="24"/>
    <n v="28"/>
    <n v="293"/>
    <x v="1"/>
    <x v="2"/>
    <n v="663.07"/>
  </r>
  <r>
    <n v="100594"/>
    <d v="2025-10-12T00:00:00"/>
    <d v="2025-10-16T00:00:00"/>
    <d v="2025-11-07T00:00:00"/>
    <s v="C1076"/>
    <x v="4"/>
    <s v="Saudi Arabia"/>
    <s v="P84495"/>
    <s v="Wireless Earbuds"/>
    <s v="Electronics"/>
    <s v="S509"/>
    <s v="Zenith Procurement"/>
    <s v="Europe"/>
    <s v="WH 01"/>
    <s v="Karachi"/>
    <x v="2"/>
    <n v="111"/>
    <n v="315.08999999999997"/>
    <n v="34974.99"/>
    <n v="10.039999999999999"/>
    <n v="22"/>
    <n v="26"/>
    <n v="600"/>
    <x v="0"/>
    <x v="0"/>
    <n v="7428"/>
  </r>
  <r>
    <n v="100595"/>
    <d v="2025-03-17T00:00:00"/>
    <d v="2025-03-20T00:00:00"/>
    <d v="2025-04-03T00:00:00"/>
    <s v="C8737"/>
    <x v="1"/>
    <s v="Nigeria"/>
    <s v="P27276"/>
    <s v="Floor Lamp"/>
    <s v="Furniture"/>
    <s v="S467"/>
    <s v="Pioneer Distribution"/>
    <s v="Asia"/>
    <s v="WH 01"/>
    <s v="Karachi"/>
    <x v="2"/>
    <n v="93"/>
    <n v="62.44"/>
    <n v="5806.92"/>
    <n v="9.7100000000000009"/>
    <n v="14"/>
    <n v="17"/>
    <n v="594"/>
    <x v="0"/>
    <x v="0"/>
    <n v="899.58"/>
  </r>
  <r>
    <n v="100596"/>
    <d v="2025-09-15T00:00:00"/>
    <d v="2025-09-16T00:00:00"/>
    <d v="2025-09-17T00:00:00"/>
    <s v="C8923"/>
    <x v="0"/>
    <s v="China"/>
    <s v="P80658"/>
    <s v="Hand Sanitizer Case"/>
    <s v="Healthcare"/>
    <s v="S736"/>
    <s v="Nova Industrial"/>
    <s v="Africa"/>
    <s v="WH 09"/>
    <s v="Johannesburg"/>
    <x v="1"/>
    <n v="277"/>
    <n v="80.78"/>
    <n v="22376.06"/>
    <n v="46.46"/>
    <n v="1"/>
    <n v="2"/>
    <n v="2424"/>
    <x v="2"/>
    <x v="0"/>
    <n v="4300.7"/>
  </r>
  <r>
    <n v="100597"/>
    <d v="2024-10-15T00:00:00"/>
    <d v="2024-10-20T00:00:00"/>
    <d v="2024-11-09T00:00:00"/>
    <s v="C5945"/>
    <x v="4"/>
    <s v="Oman"/>
    <s v="P78187"/>
    <s v="Socks Pack"/>
    <s v="Apparel"/>
    <s v="S609"/>
    <s v="BlueRiver Trading"/>
    <s v="Africa"/>
    <s v="WH 05"/>
    <s v="Frankfurt"/>
    <x v="2"/>
    <n v="288"/>
    <n v="102.68"/>
    <n v="29571.84"/>
    <n v="13.27"/>
    <n v="20"/>
    <n v="25"/>
    <n v="3027"/>
    <x v="0"/>
    <x v="0"/>
    <n v="3391.22"/>
  </r>
  <r>
    <n v="100598"/>
    <d v="2024-09-05T00:00:00"/>
    <d v="2024-09-10T00:00:00"/>
    <d v="2024-09-24T00:00:00"/>
    <s v="C2725"/>
    <x v="3"/>
    <s v="Netherlands"/>
    <s v="P68328"/>
    <s v="Bookshelf"/>
    <s v="Furniture"/>
    <s v="S663"/>
    <s v="Zenith Procurement"/>
    <s v="Middle East"/>
    <s v="WH 08"/>
    <s v="Chicago"/>
    <x v="3"/>
    <n v="447"/>
    <n v="81.069999999999993"/>
    <n v="36238.29"/>
    <n v="21.55"/>
    <n v="14"/>
    <n v="19"/>
    <n v="1924"/>
    <x v="0"/>
    <x v="0"/>
    <n v="9747.26"/>
  </r>
  <r>
    <n v="100599"/>
    <d v="2024-12-08T00:00:00"/>
    <d v="2024-12-12T00:00:00"/>
    <d v="2024-12-27T00:00:00"/>
    <s v="C6295"/>
    <x v="1"/>
    <s v="Kenya"/>
    <s v="P30460"/>
    <s v="Study Table"/>
    <s v="Furniture"/>
    <s v="S727"/>
    <s v="Atlas Sourcing"/>
    <s v="Asia"/>
    <s v="WH 09"/>
    <s v="Johannesburg"/>
    <x v="0"/>
    <n v="326"/>
    <n v="114.62"/>
    <n v="37366.120000000003"/>
    <n v="21.72"/>
    <n v="15"/>
    <n v="19"/>
    <n v="1204"/>
    <x v="1"/>
    <x v="3"/>
    <n v="10013.370000000001"/>
  </r>
  <r>
    <n v="100600"/>
    <d v="2024-12-26T00:00:00"/>
    <d v="2024-12-27T00:00:00"/>
    <d v="2024-12-30T00:00:00"/>
    <s v="C6606"/>
    <x v="3"/>
    <s v="France"/>
    <s v="P82302"/>
    <s v="Toothpaste Box"/>
    <s v="FMCG"/>
    <s v="S420"/>
    <s v="Zenith Procurement"/>
    <s v="Africa"/>
    <s v="WH 02"/>
    <s v="Lahore"/>
    <x v="1"/>
    <n v="228"/>
    <n v="34.76"/>
    <n v="7925.28"/>
    <n v="43.29"/>
    <n v="3"/>
    <n v="4"/>
    <n v="1948"/>
    <x v="2"/>
    <x v="0"/>
    <n v="751.88"/>
  </r>
  <r>
    <n v="100601"/>
    <d v="2024-04-20T00:00:00"/>
    <d v="2024-04-24T00:00:00"/>
    <d v="2024-05-10T00:00:00"/>
    <s v="C7265"/>
    <x v="4"/>
    <s v="Qatar"/>
    <s v="P79672"/>
    <s v="Power Bank"/>
    <s v="Electronics"/>
    <s v="S266"/>
    <s v="Pioneer Distribution"/>
    <s v="Middle East"/>
    <s v="WH 04"/>
    <s v="Istanbul"/>
    <x v="2"/>
    <n v="419"/>
    <n v="134.69"/>
    <n v="56435.11"/>
    <n v="11.6"/>
    <n v="16"/>
    <n v="20"/>
    <n v="328"/>
    <x v="1"/>
    <x v="1"/>
    <n v="-27.59"/>
  </r>
  <r>
    <n v="100602"/>
    <d v="2024-02-21T00:00:00"/>
    <d v="2024-02-21T00:00:00"/>
    <d v="2024-03-07T00:00:00"/>
    <s v="C6310"/>
    <x v="4"/>
    <s v="United Arab Emirates"/>
    <s v="P86850"/>
    <s v="Shampoo Pack"/>
    <s v="FMCG"/>
    <s v="S492"/>
    <s v="Crescent Logistics"/>
    <s v="Africa"/>
    <s v="WH 10"/>
    <s v="Cairo"/>
    <x v="2"/>
    <n v="150"/>
    <n v="32.17"/>
    <n v="4825.5"/>
    <n v="10.75"/>
    <n v="15"/>
    <n v="15"/>
    <n v="920"/>
    <x v="0"/>
    <x v="0"/>
    <n v="76.75"/>
  </r>
  <r>
    <n v="100603"/>
    <d v="2025-09-08T00:00:00"/>
    <d v="2025-09-09T00:00:00"/>
    <d v="2025-09-22T00:00:00"/>
    <s v="C7507"/>
    <x v="3"/>
    <s v="Poland"/>
    <s v="P67745"/>
    <s v="Vitamin Pack"/>
    <s v="Healthcare"/>
    <s v="S705"/>
    <s v="Vertex Manufacturing"/>
    <s v="Europe"/>
    <s v="WH 01"/>
    <s v="Karachi"/>
    <x v="2"/>
    <n v="238"/>
    <n v="78.760000000000005"/>
    <n v="18744.88"/>
    <n v="9.15"/>
    <n v="13"/>
    <n v="14"/>
    <n v="467"/>
    <x v="0"/>
    <x v="0"/>
    <n v="1346.83"/>
  </r>
  <r>
    <n v="100604"/>
    <d v="2025-05-25T00:00:00"/>
    <d v="2025-05-25T00:00:00"/>
    <d v="2025-06-06T00:00:00"/>
    <s v="C5784"/>
    <x v="2"/>
    <s v="United States"/>
    <s v="P85008"/>
    <s v="Face Mask Box"/>
    <s v="Healthcare"/>
    <s v="S308"/>
    <s v="Vertex Manufacturing"/>
    <s v="Africa"/>
    <s v="WH 01"/>
    <s v="Karachi"/>
    <x v="2"/>
    <n v="290"/>
    <n v="44.7"/>
    <n v="12963"/>
    <n v="13.3"/>
    <n v="12"/>
    <n v="12"/>
    <n v="816"/>
    <x v="0"/>
    <x v="0"/>
    <n v="1720.61"/>
  </r>
  <r>
    <n v="100605"/>
    <d v="2024-10-15T00:00:00"/>
    <d v="2024-10-16T00:00:00"/>
    <d v="2024-10-17T00:00:00"/>
    <s v="C2423"/>
    <x v="0"/>
    <s v="India"/>
    <s v="P39902"/>
    <s v="Storage Cabinet"/>
    <s v="Furniture"/>
    <s v="S957"/>
    <s v="Pioneer Distribution"/>
    <s v="Middle East"/>
    <s v="WH 03"/>
    <s v="Dubai"/>
    <x v="1"/>
    <n v="440"/>
    <n v="249.9"/>
    <n v="109956"/>
    <n v="57.02"/>
    <n v="1"/>
    <n v="2"/>
    <n v="319"/>
    <x v="2"/>
    <x v="0"/>
    <n v="21055.45"/>
  </r>
  <r>
    <n v="100606"/>
    <d v="2024-03-12T00:00:00"/>
    <d v="2024-03-13T00:00:00"/>
    <d v="2024-03-24T00:00:00"/>
    <s v="C3402"/>
    <x v="4"/>
    <s v="Turkey"/>
    <s v="P73190"/>
    <s v="Detergent Bag"/>
    <s v="FMCG"/>
    <s v="S596"/>
    <s v="Crescent Logistics"/>
    <s v="Africa"/>
    <s v="WH 09"/>
    <s v="Johannesburg"/>
    <x v="2"/>
    <n v="337"/>
    <n v="24.46"/>
    <n v="8243.02"/>
    <n v="14.16"/>
    <n v="11"/>
    <n v="12"/>
    <n v="1209"/>
    <x v="0"/>
    <x v="0"/>
    <n v="593.69000000000005"/>
  </r>
  <r>
    <n v="100607"/>
    <d v="2024-12-11T00:00:00"/>
    <d v="2024-12-11T00:00:00"/>
    <d v="2024-12-15T00:00:00"/>
    <s v="C2019"/>
    <x v="3"/>
    <s v="Poland"/>
    <s v="P54225"/>
    <s v="Sportswear Set"/>
    <s v="Apparel"/>
    <s v="S479"/>
    <s v="Vertex Manufacturing"/>
    <s v="Africa"/>
    <s v="WH 02"/>
    <s v="Lahore"/>
    <x v="1"/>
    <n v="412"/>
    <n v="12.02"/>
    <n v="4952.24"/>
    <n v="55.21"/>
    <n v="4"/>
    <n v="4"/>
    <n v="2797"/>
    <x v="2"/>
    <x v="0"/>
    <n v="477.63"/>
  </r>
  <r>
    <n v="100608"/>
    <d v="2025-08-07T00:00:00"/>
    <d v="2025-08-10T00:00:00"/>
    <d v="2025-09-04T00:00:00"/>
    <s v="C4088"/>
    <x v="4"/>
    <s v="Oman"/>
    <s v="P89198"/>
    <s v="Shampoo Pack"/>
    <s v="FMCG"/>
    <s v="S527"/>
    <s v="Orion Supplies"/>
    <s v="Europe"/>
    <s v="WH 09"/>
    <s v="Johannesburg"/>
    <x v="2"/>
    <n v="147"/>
    <n v="31.66"/>
    <n v="4654.0200000000004"/>
    <n v="10.7"/>
    <n v="25"/>
    <n v="28"/>
    <n v="2089"/>
    <x v="0"/>
    <x v="0"/>
    <n v="388.64"/>
  </r>
  <r>
    <n v="100609"/>
    <d v="2024-07-22T00:00:00"/>
    <d v="2024-07-26T00:00:00"/>
    <d v="2024-08-05T00:00:00"/>
    <s v="C4406"/>
    <x v="3"/>
    <s v="Netherlands"/>
    <s v="P31534"/>
    <s v="Smart Watch"/>
    <s v="Electronics"/>
    <s v="S234"/>
    <s v="Pioneer Distribution"/>
    <s v="Africa"/>
    <s v="WH 10"/>
    <s v="Cairo"/>
    <x v="3"/>
    <n v="67"/>
    <n v="319"/>
    <n v="21373"/>
    <n v="12.32"/>
    <n v="10"/>
    <n v="14"/>
    <n v="1595"/>
    <x v="0"/>
    <x v="0"/>
    <n v="3852.92"/>
  </r>
  <r>
    <n v="100610"/>
    <d v="2024-10-25T00:00:00"/>
    <d v="2024-10-29T00:00:00"/>
    <d v="2024-11-03T00:00:00"/>
    <s v="C7475"/>
    <x v="1"/>
    <s v="Morocco"/>
    <s v="P93694"/>
    <s v="Bluetooth Speaker"/>
    <s v="Electronics"/>
    <s v="S492"/>
    <s v="Pioneer Distribution"/>
    <s v="Europe"/>
    <s v="WH 10"/>
    <s v="Cairo"/>
    <x v="0"/>
    <n v="240"/>
    <n v="330.1"/>
    <n v="79224"/>
    <n v="19.28"/>
    <n v="5"/>
    <n v="9"/>
    <n v="141"/>
    <x v="0"/>
    <x v="0"/>
    <n v="11774.12"/>
  </r>
  <r>
    <n v="100611"/>
    <d v="2025-03-10T00:00:00"/>
    <d v="2025-03-11T00:00:00"/>
    <d v="2025-03-15T00:00:00"/>
    <s v="C8741"/>
    <x v="4"/>
    <s v="Turkey"/>
    <s v="P80641"/>
    <s v="Bookshelf"/>
    <s v="Furniture"/>
    <s v="S974"/>
    <s v="Orion Supplies"/>
    <s v="Africa"/>
    <s v="WH 07"/>
    <s v="Toronto"/>
    <x v="0"/>
    <n v="475"/>
    <n v="127.63"/>
    <n v="60624.25"/>
    <n v="25.94"/>
    <n v="4"/>
    <n v="5"/>
    <n v="1657"/>
    <x v="2"/>
    <x v="0"/>
    <n v="11967.4"/>
  </r>
  <r>
    <n v="100612"/>
    <d v="2024-11-08T00:00:00"/>
    <d v="2024-11-12T00:00:00"/>
    <d v="2024-11-30T00:00:00"/>
    <s v="C8436"/>
    <x v="4"/>
    <s v="Oman"/>
    <s v="P96713"/>
    <s v="Socks Pack"/>
    <s v="Apparel"/>
    <s v="S230"/>
    <s v="Vertex Manufacturing"/>
    <s v="Asia"/>
    <s v="WH 07"/>
    <s v="Toronto"/>
    <x v="2"/>
    <n v="300"/>
    <n v="24.58"/>
    <n v="7374"/>
    <n v="13.49"/>
    <n v="18"/>
    <n v="22"/>
    <n v="2005"/>
    <x v="1"/>
    <x v="2"/>
    <n v="1644.13"/>
  </r>
  <r>
    <n v="100613"/>
    <d v="2024-04-05T00:00:00"/>
    <d v="2024-04-10T00:00:00"/>
    <d v="2024-05-03T00:00:00"/>
    <s v="C1352"/>
    <x v="2"/>
    <s v="Canada"/>
    <s v="P66095"/>
    <s v="Shampoo Pack"/>
    <s v="FMCG"/>
    <s v="S535"/>
    <s v="Nova Industrial"/>
    <s v="Africa"/>
    <s v="WH 09"/>
    <s v="Johannesburg"/>
    <x v="2"/>
    <n v="92"/>
    <n v="9.68"/>
    <n v="890.56"/>
    <n v="9.6999999999999993"/>
    <n v="23"/>
    <n v="28"/>
    <n v="3328"/>
    <x v="0"/>
    <x v="0"/>
    <n v="130.08000000000001"/>
  </r>
  <r>
    <n v="100614"/>
    <d v="2025-01-24T00:00:00"/>
    <d v="2025-01-27T00:00:00"/>
    <d v="2025-02-08T00:00:00"/>
    <s v="C1865"/>
    <x v="2"/>
    <s v="United States"/>
    <s v="P21173"/>
    <s v="Bluetooth Speaker"/>
    <s v="Electronics"/>
    <s v="S637"/>
    <s v="Vertex Manufacturing"/>
    <s v="Africa"/>
    <s v="WH 02"/>
    <s v="Lahore"/>
    <x v="3"/>
    <n v="219"/>
    <n v="305.39999999999998"/>
    <n v="66882.600000000006"/>
    <n v="16.010000000000002"/>
    <n v="12"/>
    <n v="15"/>
    <n v="1064"/>
    <x v="0"/>
    <x v="0"/>
    <n v="11179.26"/>
  </r>
  <r>
    <n v="100615"/>
    <d v="2025-08-12T00:00:00"/>
    <d v="2025-08-15T00:00:00"/>
    <d v="2025-08-24T00:00:00"/>
    <s v="C9978"/>
    <x v="4"/>
    <s v="Saudi Arabia"/>
    <s v="P10148"/>
    <s v="Sportswear Set"/>
    <s v="Apparel"/>
    <s v="S830"/>
    <s v="Zenith Procurement"/>
    <s v="Asia"/>
    <s v="WH 03"/>
    <s v="Dubai"/>
    <x v="0"/>
    <n v="131"/>
    <n v="20.65"/>
    <n v="2705.15"/>
    <n v="16.190000000000001"/>
    <n v="9"/>
    <n v="12"/>
    <n v="2735"/>
    <x v="0"/>
    <x v="0"/>
    <n v="501.09"/>
  </r>
  <r>
    <n v="100616"/>
    <d v="2024-09-29T00:00:00"/>
    <d v="2024-10-02T00:00:00"/>
    <d v="2024-10-16T00:00:00"/>
    <s v="C3377"/>
    <x v="1"/>
    <s v="Nigeria"/>
    <s v="P21672"/>
    <s v="Socks Pack"/>
    <s v="Apparel"/>
    <s v="S422"/>
    <s v="Evergreen Partners"/>
    <s v="Africa"/>
    <s v="WH 06"/>
    <s v="Amsterdam"/>
    <x v="3"/>
    <n v="120"/>
    <n v="29.34"/>
    <n v="3520.8"/>
    <n v="10.08"/>
    <n v="14"/>
    <n v="17"/>
    <n v="3310"/>
    <x v="0"/>
    <x v="0"/>
    <n v="736.25"/>
  </r>
  <r>
    <n v="100617"/>
    <d v="2025-11-24T00:00:00"/>
    <d v="2025-11-24T00:00:00"/>
    <d v="2025-11-29T00:00:00"/>
    <s v="C4574"/>
    <x v="4"/>
    <s v="Saudi Arabia"/>
    <s v="P32211"/>
    <s v="Storage Cabinet"/>
    <s v="Furniture"/>
    <s v="S908"/>
    <s v="Summit Supply Co"/>
    <s v="Middle East"/>
    <s v="WH 03"/>
    <s v="Dubai"/>
    <x v="1"/>
    <n v="174"/>
    <n v="277.51"/>
    <n v="48286.74"/>
    <n v="29.47"/>
    <n v="5"/>
    <n v="5"/>
    <n v="1593"/>
    <x v="2"/>
    <x v="0"/>
    <n v="10678.13"/>
  </r>
  <r>
    <n v="100618"/>
    <d v="2025-09-05T00:00:00"/>
    <d v="2025-09-10T00:00:00"/>
    <d v="2025-09-11T00:00:00"/>
    <s v="C5893"/>
    <x v="1"/>
    <s v="Morocco"/>
    <s v="P19476"/>
    <s v="Bookshelf"/>
    <s v="Furniture"/>
    <s v="S986"/>
    <s v="Nova Industrial"/>
    <s v="Africa"/>
    <s v="WH 06"/>
    <s v="Amsterdam"/>
    <x v="1"/>
    <n v="232"/>
    <n v="166.06"/>
    <n v="38525.919999999998"/>
    <n v="32.26"/>
    <n v="1"/>
    <n v="6"/>
    <n v="336"/>
    <x v="2"/>
    <x v="0"/>
    <n v="10407.049999999999"/>
  </r>
  <r>
    <n v="100619"/>
    <d v="2024-01-23T00:00:00"/>
    <d v="2024-01-27T00:00:00"/>
    <d v="2024-02-07T00:00:00"/>
    <s v="C1680"/>
    <x v="3"/>
    <s v="Sweden"/>
    <s v="P63450"/>
    <s v="Smart Watch"/>
    <s v="Electronics"/>
    <s v="S424"/>
    <s v="Pioneer Distribution"/>
    <s v="Europe"/>
    <s v="WH 02"/>
    <s v="Lahore"/>
    <x v="3"/>
    <n v="322"/>
    <n v="99.45"/>
    <n v="32022.9"/>
    <n v="13.72"/>
    <n v="11"/>
    <n v="15"/>
    <n v="376"/>
    <x v="0"/>
    <x v="0"/>
    <n v="3645.22"/>
  </r>
  <r>
    <n v="100620"/>
    <d v="2024-12-30T00:00:00"/>
    <d v="2024-12-31T00:00:00"/>
    <d v="2025-01-15T00:00:00"/>
    <s v="C8939"/>
    <x v="1"/>
    <s v="Egypt"/>
    <s v="P89472"/>
    <s v="Socks Pack"/>
    <s v="Apparel"/>
    <s v="S145"/>
    <s v="Vertex Manufacturing"/>
    <s v="Asia"/>
    <s v="WH 03"/>
    <s v="Dubai"/>
    <x v="2"/>
    <n v="283"/>
    <n v="71.77"/>
    <n v="20310.91"/>
    <n v="13.18"/>
    <n v="15"/>
    <n v="16"/>
    <n v="2102"/>
    <x v="1"/>
    <x v="2"/>
    <n v="4227.24"/>
  </r>
  <r>
    <n v="100621"/>
    <d v="2024-02-29T00:00:00"/>
    <d v="2024-02-29T00:00:00"/>
    <d v="2024-03-06T00:00:00"/>
    <s v="C3829"/>
    <x v="0"/>
    <s v="Vietnam"/>
    <s v="P35017"/>
    <s v="Smart Watch"/>
    <s v="Electronics"/>
    <s v="S316"/>
    <s v="Pioneer Distribution"/>
    <s v="Africa"/>
    <s v="WH 07"/>
    <s v="Toronto"/>
    <x v="3"/>
    <n v="408"/>
    <n v="437.56"/>
    <n v="178524.48"/>
    <n v="20.61"/>
    <n v="6"/>
    <n v="6"/>
    <n v="1791"/>
    <x v="2"/>
    <x v="0"/>
    <n v="27556.18"/>
  </r>
  <r>
    <n v="100622"/>
    <d v="2024-03-31T00:00:00"/>
    <d v="2024-04-01T00:00:00"/>
    <d v="2024-04-03T00:00:00"/>
    <s v="C8928"/>
    <x v="0"/>
    <s v="Bangladesh"/>
    <s v="P24080"/>
    <s v="Snack Carton"/>
    <s v="FMCG"/>
    <s v="S846"/>
    <s v="BlueRiver Trading"/>
    <s v="Africa"/>
    <s v="WH 01"/>
    <s v="Karachi"/>
    <x v="0"/>
    <n v="315"/>
    <n v="46.82"/>
    <n v="14748.3"/>
    <n v="21.4"/>
    <n v="2"/>
    <n v="3"/>
    <n v="4790"/>
    <x v="2"/>
    <x v="0"/>
    <n v="264.87"/>
  </r>
  <r>
    <n v="100623"/>
    <d v="2024-05-20T00:00:00"/>
    <d v="2024-05-20T00:00:00"/>
    <d v="2024-06-03T00:00:00"/>
    <s v="C5725"/>
    <x v="4"/>
    <s v="Turkey"/>
    <s v="P53205"/>
    <s v="Hand Sanitizer Case"/>
    <s v="Healthcare"/>
    <s v="S304"/>
    <s v="Vertex Manufacturing"/>
    <s v="Asia"/>
    <s v="WH 03"/>
    <s v="Dubai"/>
    <x v="3"/>
    <n v="223"/>
    <n v="74.08"/>
    <n v="16519.84"/>
    <n v="16.11"/>
    <n v="14"/>
    <n v="14"/>
    <n v="1081"/>
    <x v="0"/>
    <x v="0"/>
    <n v="3063.75"/>
  </r>
  <r>
    <n v="100624"/>
    <d v="2024-10-14T00:00:00"/>
    <d v="2024-10-15T00:00:00"/>
    <d v="2024-10-28T00:00:00"/>
    <s v="C5593"/>
    <x v="4"/>
    <s v="United Arab Emirates"/>
    <s v="P90720"/>
    <s v="Detergent Bag"/>
    <s v="FMCG"/>
    <s v="S159"/>
    <s v="Nova Industrial"/>
    <s v="Europe"/>
    <s v="WH 01"/>
    <s v="Karachi"/>
    <x v="3"/>
    <n v="406"/>
    <n v="39.130000000000003"/>
    <n v="15886.78"/>
    <n v="20.56"/>
    <n v="13"/>
    <n v="14"/>
    <n v="337"/>
    <x v="1"/>
    <x v="3"/>
    <n v="989.73"/>
  </r>
  <r>
    <n v="100625"/>
    <d v="2024-12-22T00:00:00"/>
    <d v="2024-12-22T00:00:00"/>
    <d v="2025-01-14T00:00:00"/>
    <s v="C6167"/>
    <x v="1"/>
    <s v="Kenya"/>
    <s v="P10432"/>
    <s v="Wireless Earbuds"/>
    <s v="Electronics"/>
    <s v="S530"/>
    <s v="Atlas Sourcing"/>
    <s v="Asia"/>
    <s v="WH 03"/>
    <s v="Dubai"/>
    <x v="2"/>
    <n v="65"/>
    <n v="388.56"/>
    <n v="25256.400000000001"/>
    <n v="9.1999999999999993"/>
    <n v="23"/>
    <n v="23"/>
    <n v="118"/>
    <x v="0"/>
    <x v="0"/>
    <n v="2238.5"/>
  </r>
  <r>
    <n v="100626"/>
    <d v="2025-05-04T00:00:00"/>
    <d v="2025-05-05T00:00:00"/>
    <d v="2025-05-09T00:00:00"/>
    <s v="C3460"/>
    <x v="2"/>
    <s v="Canada"/>
    <s v="P47297"/>
    <s v="Sportswear Set"/>
    <s v="Apparel"/>
    <s v="S101"/>
    <s v="Evergreen Partners"/>
    <s v="Africa"/>
    <s v="WH 04"/>
    <s v="Istanbul"/>
    <x v="0"/>
    <n v="338"/>
    <n v="24.19"/>
    <n v="8176.22"/>
    <n v="22.06"/>
    <n v="4"/>
    <n v="5"/>
    <n v="2129"/>
    <x v="2"/>
    <x v="0"/>
    <n v="1891.13"/>
  </r>
  <r>
    <n v="100627"/>
    <d v="2025-03-09T00:00:00"/>
    <d v="2025-03-11T00:00:00"/>
    <d v="2025-03-21T00:00:00"/>
    <s v="C1976"/>
    <x v="0"/>
    <s v="Pakistan"/>
    <s v="P42813"/>
    <s v="Hand Sanitizer Case"/>
    <s v="Healthcare"/>
    <s v="S269"/>
    <s v="Summit Supply Co"/>
    <s v="Africa"/>
    <s v="WH 06"/>
    <s v="Amsterdam"/>
    <x v="0"/>
    <n v="280"/>
    <n v="71.2"/>
    <n v="19936"/>
    <n v="20.41"/>
    <n v="10"/>
    <n v="12"/>
    <n v="446"/>
    <x v="1"/>
    <x v="1"/>
    <n v="-155.63999999999999"/>
  </r>
  <r>
    <n v="100628"/>
    <d v="2024-03-05T00:00:00"/>
    <d v="2024-03-05T00:00:00"/>
    <d v="2024-03-09T00:00:00"/>
    <s v="C4644"/>
    <x v="2"/>
    <s v="United States"/>
    <s v="P91678"/>
    <s v="First Aid Kit"/>
    <s v="Healthcare"/>
    <s v="S705"/>
    <s v="Pioneer Distribution"/>
    <s v="Middle East"/>
    <s v="WH 10"/>
    <s v="Cairo"/>
    <x v="1"/>
    <n v="316"/>
    <n v="23.89"/>
    <n v="7549.24"/>
    <n v="48.99"/>
    <n v="4"/>
    <n v="4"/>
    <n v="2308"/>
    <x v="2"/>
    <x v="0"/>
    <n v="1042.28"/>
  </r>
  <r>
    <n v="100629"/>
    <d v="2024-08-24T00:00:00"/>
    <d v="2024-08-26T00:00:00"/>
    <d v="2024-09-07T00:00:00"/>
    <s v="C8939"/>
    <x v="2"/>
    <s v="United States"/>
    <s v="P37610"/>
    <s v="Storage Cabinet"/>
    <s v="Furniture"/>
    <s v="S919"/>
    <s v="BlueRiver Trading"/>
    <s v="Africa"/>
    <s v="WH 02"/>
    <s v="Lahore"/>
    <x v="0"/>
    <n v="256"/>
    <n v="337.78"/>
    <n v="86471.679999999993"/>
    <n v="19.73"/>
    <n v="12"/>
    <n v="14"/>
    <n v="161"/>
    <x v="1"/>
    <x v="3"/>
    <n v="21836.1"/>
  </r>
  <r>
    <n v="100630"/>
    <d v="2024-01-17T00:00:00"/>
    <d v="2024-01-21T00:00:00"/>
    <d v="2024-01-24T00:00:00"/>
    <s v="C2509"/>
    <x v="2"/>
    <s v="United States"/>
    <s v="P99493"/>
    <s v="Hand Sanitizer Case"/>
    <s v="Healthcare"/>
    <s v="S216"/>
    <s v="Summit Supply Co"/>
    <s v="Africa"/>
    <s v="WH 05"/>
    <s v="Frankfurt"/>
    <x v="1"/>
    <n v="52"/>
    <n v="71.739999999999995"/>
    <n v="3730.48"/>
    <n v="31.88"/>
    <n v="3"/>
    <n v="7"/>
    <n v="1772"/>
    <x v="1"/>
    <x v="2"/>
    <n v="307.89999999999998"/>
  </r>
  <r>
    <n v="100631"/>
    <d v="2024-05-26T00:00:00"/>
    <d v="2024-05-27T00:00:00"/>
    <d v="2024-05-31T00:00:00"/>
    <s v="C3709"/>
    <x v="4"/>
    <s v="Turkey"/>
    <s v="P40782"/>
    <s v="Study Table"/>
    <s v="Furniture"/>
    <s v="S603"/>
    <s v="Zenith Procurement"/>
    <s v="Middle East"/>
    <s v="WH 08"/>
    <s v="Chicago"/>
    <x v="3"/>
    <n v="165"/>
    <n v="180.69"/>
    <n v="29813.85"/>
    <n v="10.89"/>
    <n v="4"/>
    <n v="5"/>
    <n v="1494"/>
    <x v="2"/>
    <x v="0"/>
    <n v="4302.09"/>
  </r>
  <r>
    <n v="100632"/>
    <d v="2025-04-03T00:00:00"/>
    <d v="2025-04-07T00:00:00"/>
    <d v="2025-04-10T00:00:00"/>
    <s v="C1071"/>
    <x v="4"/>
    <s v="United Arab Emirates"/>
    <s v="P48314"/>
    <s v="T Shirt Bundle"/>
    <s v="Apparel"/>
    <s v="S737"/>
    <s v="Evergreen Partners"/>
    <s v="Europe"/>
    <s v="WH 04"/>
    <s v="Istanbul"/>
    <x v="0"/>
    <n v="179"/>
    <n v="42.82"/>
    <n v="7664.78"/>
    <n v="17.55"/>
    <n v="3"/>
    <n v="7"/>
    <n v="2534"/>
    <x v="2"/>
    <x v="0"/>
    <n v="1366.38"/>
  </r>
  <r>
    <n v="100633"/>
    <d v="2025-07-19T00:00:00"/>
    <d v="2025-07-24T00:00:00"/>
    <d v="2025-07-26T00:00:00"/>
    <s v="C5865"/>
    <x v="4"/>
    <s v="Qatar"/>
    <s v="P45057"/>
    <s v="Thermometer"/>
    <s v="Healthcare"/>
    <s v="S302"/>
    <s v="Orion Supplies"/>
    <s v="North America"/>
    <s v="WH 04"/>
    <s v="Istanbul"/>
    <x v="1"/>
    <n v="40"/>
    <n v="15.77"/>
    <n v="630.79999999999995"/>
    <n v="31.1"/>
    <n v="2"/>
    <n v="7"/>
    <n v="3351"/>
    <x v="1"/>
    <x v="1"/>
    <n v="-29.22"/>
  </r>
  <r>
    <n v="100634"/>
    <d v="2025-11-18T00:00:00"/>
    <d v="2025-11-23T00:00:00"/>
    <d v="2025-11-27T00:00:00"/>
    <s v="C9655"/>
    <x v="0"/>
    <s v="Malaysia"/>
    <s v="P48736"/>
    <s v="T Shirt Bundle"/>
    <s v="Apparel"/>
    <s v="S222"/>
    <s v="Summit Supply Co"/>
    <s v="Europe"/>
    <s v="WH 08"/>
    <s v="Chicago"/>
    <x v="1"/>
    <n v="483"/>
    <n v="85.46"/>
    <n v="41277.18"/>
    <n v="59.81"/>
    <n v="4"/>
    <n v="9"/>
    <n v="990"/>
    <x v="0"/>
    <x v="0"/>
    <n v="8793.3799999999992"/>
  </r>
  <r>
    <n v="100635"/>
    <d v="2024-08-22T00:00:00"/>
    <d v="2024-08-25T00:00:00"/>
    <d v="2024-08-28T00:00:00"/>
    <s v="C5311"/>
    <x v="2"/>
    <s v="United States"/>
    <s v="P66888"/>
    <s v="Hand Sanitizer Case"/>
    <s v="Healthcare"/>
    <s v="S756"/>
    <s v="Crescent Logistics"/>
    <s v="Europe"/>
    <s v="WH 08"/>
    <s v="Chicago"/>
    <x v="1"/>
    <n v="432"/>
    <n v="42.78"/>
    <n v="18480.96"/>
    <n v="56.51"/>
    <n v="3"/>
    <n v="6"/>
    <n v="756"/>
    <x v="2"/>
    <x v="0"/>
    <n v="2403"/>
  </r>
  <r>
    <n v="100636"/>
    <d v="2024-03-07T00:00:00"/>
    <d v="2024-03-11T00:00:00"/>
    <d v="2024-03-24T00:00:00"/>
    <s v="C5927"/>
    <x v="3"/>
    <s v="Poland"/>
    <s v="P36855"/>
    <s v="Snack Carton"/>
    <s v="FMCG"/>
    <s v="S936"/>
    <s v="Atlas Sourcing"/>
    <s v="Europe"/>
    <s v="WH 04"/>
    <s v="Istanbul"/>
    <x v="2"/>
    <n v="77"/>
    <n v="22.57"/>
    <n v="1737.89"/>
    <n v="6.98"/>
    <n v="13"/>
    <n v="17"/>
    <n v="1374"/>
    <x v="1"/>
    <x v="3"/>
    <n v="199.01"/>
  </r>
  <r>
    <n v="100637"/>
    <d v="2025-08-08T00:00:00"/>
    <d v="2025-08-09T00:00:00"/>
    <d v="2025-08-26T00:00:00"/>
    <s v="C3176"/>
    <x v="1"/>
    <s v="Nigeria"/>
    <s v="P94258"/>
    <s v="Shampoo Pack"/>
    <s v="FMCG"/>
    <s v="S931"/>
    <s v="BlueRiver Trading"/>
    <s v="Asia"/>
    <s v="WH 08"/>
    <s v="Chicago"/>
    <x v="2"/>
    <n v="195"/>
    <n v="14.47"/>
    <n v="2821.65"/>
    <n v="11.57"/>
    <n v="17"/>
    <n v="18"/>
    <n v="2839"/>
    <x v="0"/>
    <x v="0"/>
    <n v="127.8"/>
  </r>
  <r>
    <n v="100638"/>
    <d v="2025-01-22T00:00:00"/>
    <d v="2025-01-22T00:00:00"/>
    <d v="2025-01-25T00:00:00"/>
    <s v="C5482"/>
    <x v="1"/>
    <s v="South Africa"/>
    <s v="P82936"/>
    <s v="Bookshelf"/>
    <s v="Furniture"/>
    <s v="S762"/>
    <s v="Vertex Manufacturing"/>
    <s v="North America"/>
    <s v="WH 08"/>
    <s v="Chicago"/>
    <x v="0"/>
    <n v="461"/>
    <n v="241.76"/>
    <n v="111451.36"/>
    <n v="25.54"/>
    <n v="3"/>
    <n v="3"/>
    <n v="1808"/>
    <x v="2"/>
    <x v="0"/>
    <n v="18125.400000000001"/>
  </r>
  <r>
    <n v="100639"/>
    <d v="2025-06-24T00:00:00"/>
    <d v="2025-06-27T00:00:00"/>
    <d v="2025-06-30T00:00:00"/>
    <s v="C4218"/>
    <x v="4"/>
    <s v="Saudi Arabia"/>
    <s v="P95677"/>
    <s v="Hand Sanitizer Case"/>
    <s v="Healthcare"/>
    <s v="S889"/>
    <s v="Evergreen Partners"/>
    <s v="Europe"/>
    <s v="WH 10"/>
    <s v="Cairo"/>
    <x v="1"/>
    <n v="343"/>
    <n v="58.1"/>
    <n v="19928.3"/>
    <n v="50.74"/>
    <n v="3"/>
    <n v="6"/>
    <n v="4439"/>
    <x v="2"/>
    <x v="0"/>
    <n v="3505.98"/>
  </r>
  <r>
    <n v="100640"/>
    <d v="2025-02-26T00:00:00"/>
    <d v="2025-02-26T00:00:00"/>
    <d v="2025-03-08T00:00:00"/>
    <s v="C6790"/>
    <x v="0"/>
    <s v="Indonesia"/>
    <s v="P46943"/>
    <s v="Floor Lamp"/>
    <s v="Furniture"/>
    <s v="S130"/>
    <s v="Summit Supply Co"/>
    <s v="Asia"/>
    <s v="WH 09"/>
    <s v="Johannesburg"/>
    <x v="2"/>
    <n v="482"/>
    <n v="220.6"/>
    <n v="106329.2"/>
    <n v="12.45"/>
    <n v="10"/>
    <n v="10"/>
    <n v="914"/>
    <x v="0"/>
    <x v="0"/>
    <n v="12964.23"/>
  </r>
  <r>
    <n v="100641"/>
    <d v="2025-01-21T00:00:00"/>
    <d v="2025-01-23T00:00:00"/>
    <d v="2025-01-27T00:00:00"/>
    <s v="C4483"/>
    <x v="4"/>
    <s v="Saudi Arabia"/>
    <s v="P30946"/>
    <s v="Office Chair"/>
    <s v="Furniture"/>
    <s v="S698"/>
    <s v="Summit Supply Co"/>
    <s v="Middle East"/>
    <s v="WH 06"/>
    <s v="Amsterdam"/>
    <x v="1"/>
    <n v="118"/>
    <n v="165.13"/>
    <n v="19485.34"/>
    <n v="26.78"/>
    <n v="4"/>
    <n v="6"/>
    <n v="1654"/>
    <x v="2"/>
    <x v="0"/>
    <n v="5221.26"/>
  </r>
  <r>
    <n v="100642"/>
    <d v="2025-05-07T00:00:00"/>
    <d v="2025-05-11T00:00:00"/>
    <d v="2025-05-19T00:00:00"/>
    <s v="C2631"/>
    <x v="0"/>
    <s v="China"/>
    <s v="P49220"/>
    <s v="Bottled Water Case"/>
    <s v="FMCG"/>
    <s v="S874"/>
    <s v="Vertex Manufacturing"/>
    <s v="Asia"/>
    <s v="WH 06"/>
    <s v="Amsterdam"/>
    <x v="0"/>
    <n v="106"/>
    <n v="43.26"/>
    <n v="4585.5600000000004"/>
    <n v="11.47"/>
    <n v="8"/>
    <n v="12"/>
    <n v="2803"/>
    <x v="0"/>
    <x v="0"/>
    <n v="796.95"/>
  </r>
  <r>
    <n v="100643"/>
    <d v="2025-04-26T00:00:00"/>
    <d v="2025-04-27T00:00:00"/>
    <d v="2025-04-29T00:00:00"/>
    <s v="C7655"/>
    <x v="1"/>
    <s v="Nigeria"/>
    <s v="P76720"/>
    <s v="Detergent Bag"/>
    <s v="FMCG"/>
    <s v="S388"/>
    <s v="Nova Industrial"/>
    <s v="Europe"/>
    <s v="WH 05"/>
    <s v="Frankfurt"/>
    <x v="1"/>
    <n v="209"/>
    <n v="42.66"/>
    <n v="8915.94"/>
    <n v="42.06"/>
    <n v="2"/>
    <n v="3"/>
    <n v="1216"/>
    <x v="2"/>
    <x v="0"/>
    <n v="1518.3"/>
  </r>
  <r>
    <n v="100644"/>
    <d v="2024-03-22T00:00:00"/>
    <d v="2024-03-27T00:00:00"/>
    <d v="2024-04-03T00:00:00"/>
    <s v="C5928"/>
    <x v="1"/>
    <s v="Nigeria"/>
    <s v="P91641"/>
    <s v="Denim Jeans"/>
    <s v="Apparel"/>
    <s v="S940"/>
    <s v="Pioneer Distribution"/>
    <s v="Middle East"/>
    <s v="WH 04"/>
    <s v="Istanbul"/>
    <x v="3"/>
    <n v="140"/>
    <n v="45.71"/>
    <n v="6399.4"/>
    <n v="14.09"/>
    <n v="7"/>
    <n v="12"/>
    <n v="1391"/>
    <x v="0"/>
    <x v="0"/>
    <n v="1558.39"/>
  </r>
  <r>
    <n v="100645"/>
    <d v="2025-01-21T00:00:00"/>
    <d v="2025-01-22T00:00:00"/>
    <d v="2025-01-26T00:00:00"/>
    <s v="C1897"/>
    <x v="2"/>
    <s v="Canada"/>
    <s v="P92630"/>
    <s v="Bookshelf"/>
    <s v="Furniture"/>
    <s v="S723"/>
    <s v="Pioneer Distribution"/>
    <s v="Europe"/>
    <s v="WH 10"/>
    <s v="Cairo"/>
    <x v="3"/>
    <n v="136"/>
    <n v="159.09"/>
    <n v="21636.240000000002"/>
    <n v="14"/>
    <n v="4"/>
    <n v="5"/>
    <n v="967"/>
    <x v="2"/>
    <x v="0"/>
    <n v="5010.08"/>
  </r>
  <r>
    <n v="100646"/>
    <d v="2025-04-12T00:00:00"/>
    <d v="2025-04-13T00:00:00"/>
    <d v="2025-04-27T00:00:00"/>
    <s v="C7616"/>
    <x v="1"/>
    <s v="Kenya"/>
    <s v="P92912"/>
    <s v="Wireless Earbuds"/>
    <s v="Electronics"/>
    <s v="S357"/>
    <s v="Atlas Sourcing"/>
    <s v="Africa"/>
    <s v="WH 07"/>
    <s v="Toronto"/>
    <x v="2"/>
    <n v="284"/>
    <n v="290.45999999999998"/>
    <n v="82490.64"/>
    <n v="9.77"/>
    <n v="14"/>
    <n v="15"/>
    <n v="1563"/>
    <x v="0"/>
    <x v="0"/>
    <n v="11889.98"/>
  </r>
  <r>
    <n v="100647"/>
    <d v="2025-12-08T00:00:00"/>
    <d v="2025-12-13T00:00:00"/>
    <d v="2025-12-20T00:00:00"/>
    <s v="C6969"/>
    <x v="3"/>
    <s v="France"/>
    <s v="P14535"/>
    <s v="Bottled Water Case"/>
    <s v="FMCG"/>
    <s v="S839"/>
    <s v="Orion Supplies"/>
    <s v="Europe"/>
    <s v="WH 07"/>
    <s v="Toronto"/>
    <x v="3"/>
    <n v="457"/>
    <n v="25.92"/>
    <n v="11845.44"/>
    <n v="16.149999999999999"/>
    <n v="7"/>
    <n v="12"/>
    <n v="1034"/>
    <x v="0"/>
    <x v="0"/>
    <n v="1411.64"/>
  </r>
  <r>
    <n v="100648"/>
    <d v="2025-10-01T00:00:00"/>
    <d v="2025-10-02T00:00:00"/>
    <d v="2025-10-19T00:00:00"/>
    <s v="C4872"/>
    <x v="3"/>
    <s v="Sweden"/>
    <s v="P43822"/>
    <s v="Thermometer"/>
    <s v="Healthcare"/>
    <s v="S480"/>
    <s v="Zenith Procurement"/>
    <s v="Middle East"/>
    <s v="WH 05"/>
    <s v="Frankfurt"/>
    <x v="3"/>
    <n v="277"/>
    <n v="36.049999999999997"/>
    <n v="9985.85"/>
    <n v="17.420000000000002"/>
    <n v="17"/>
    <n v="18"/>
    <n v="1792"/>
    <x v="1"/>
    <x v="3"/>
    <n v="730.53"/>
  </r>
  <r>
    <n v="100649"/>
    <d v="2024-07-02T00:00:00"/>
    <d v="2024-07-07T00:00:00"/>
    <d v="2024-07-08T00:00:00"/>
    <s v="C3239"/>
    <x v="1"/>
    <s v="Morocco"/>
    <s v="P86095"/>
    <s v="Power Bank"/>
    <s v="Electronics"/>
    <s v="S801"/>
    <s v="BlueRiver Trading"/>
    <s v="Europe"/>
    <s v="WH 01"/>
    <s v="Karachi"/>
    <x v="1"/>
    <n v="77"/>
    <n v="286.51"/>
    <n v="22061.27"/>
    <n v="33.5"/>
    <n v="1"/>
    <n v="6"/>
    <n v="686"/>
    <x v="2"/>
    <x v="0"/>
    <n v="3678.59"/>
  </r>
  <r>
    <n v="100650"/>
    <d v="2025-10-22T00:00:00"/>
    <d v="2025-10-27T00:00:00"/>
    <d v="2025-11-14T00:00:00"/>
    <s v="C6914"/>
    <x v="2"/>
    <s v="Canada"/>
    <s v="P47136"/>
    <s v="Power Bank"/>
    <s v="Electronics"/>
    <s v="S912"/>
    <s v="Zenith Procurement"/>
    <s v="North America"/>
    <s v="WH 06"/>
    <s v="Amsterdam"/>
    <x v="2"/>
    <n v="17"/>
    <n v="146.61000000000001"/>
    <n v="2492.37"/>
    <n v="6.17"/>
    <n v="18"/>
    <n v="23"/>
    <n v="1710"/>
    <x v="1"/>
    <x v="2"/>
    <n v="260.22000000000003"/>
  </r>
  <r>
    <n v="100651"/>
    <d v="2025-03-18T00:00:00"/>
    <d v="2025-03-19T00:00:00"/>
    <d v="2025-03-24T00:00:00"/>
    <s v="C2461"/>
    <x v="1"/>
    <s v="Morocco"/>
    <s v="P43927"/>
    <s v="Hoodie"/>
    <s v="Apparel"/>
    <s v="S486"/>
    <s v="Orion Supplies"/>
    <s v="Middle East"/>
    <s v="WH 02"/>
    <s v="Lahore"/>
    <x v="1"/>
    <n v="34"/>
    <n v="90.83"/>
    <n v="3088.22"/>
    <n v="30.72"/>
    <n v="5"/>
    <n v="6"/>
    <n v="1868"/>
    <x v="2"/>
    <x v="0"/>
    <n v="636.48"/>
  </r>
  <r>
    <n v="100652"/>
    <d v="2024-05-25T00:00:00"/>
    <d v="2024-05-29T00:00:00"/>
    <d v="2024-05-30T00:00:00"/>
    <s v="C7142"/>
    <x v="1"/>
    <s v="Kenya"/>
    <s v="P48735"/>
    <s v="Thermometer"/>
    <s v="Healthcare"/>
    <s v="S594"/>
    <s v="Summit Supply Co"/>
    <s v="Europe"/>
    <s v="WH 05"/>
    <s v="Frankfurt"/>
    <x v="1"/>
    <n v="47"/>
    <n v="74.069999999999993"/>
    <n v="3481.29"/>
    <n v="31.56"/>
    <n v="1"/>
    <n v="5"/>
    <n v="4117"/>
    <x v="2"/>
    <x v="0"/>
    <n v="293.07"/>
  </r>
  <r>
    <n v="100653"/>
    <d v="2025-07-03T00:00:00"/>
    <d v="2025-07-08T00:00:00"/>
    <d v="2025-07-17T00:00:00"/>
    <s v="C1656"/>
    <x v="2"/>
    <s v="Mexico"/>
    <s v="P54772"/>
    <s v="Face Mask Box"/>
    <s v="Healthcare"/>
    <s v="S675"/>
    <s v="Pioneer Distribution"/>
    <s v="Asia"/>
    <s v="WH 07"/>
    <s v="Toronto"/>
    <x v="1"/>
    <n v="356"/>
    <n v="43.92"/>
    <n v="15635.52"/>
    <n v="51.58"/>
    <n v="9"/>
    <n v="14"/>
    <n v="4111"/>
    <x v="1"/>
    <x v="2"/>
    <n v="2525.7399999999998"/>
  </r>
  <r>
    <n v="100654"/>
    <d v="2024-08-01T00:00:00"/>
    <d v="2024-08-02T00:00:00"/>
    <d v="2024-08-06T00:00:00"/>
    <s v="C5817"/>
    <x v="4"/>
    <s v="Saudi Arabia"/>
    <s v="P21292"/>
    <s v="Snack Carton"/>
    <s v="FMCG"/>
    <s v="S138"/>
    <s v="Evergreen Partners"/>
    <s v="Africa"/>
    <s v="WH 10"/>
    <s v="Cairo"/>
    <x v="1"/>
    <n v="356"/>
    <n v="26.99"/>
    <n v="9608.44"/>
    <n v="51.58"/>
    <n v="4"/>
    <n v="5"/>
    <n v="1340"/>
    <x v="2"/>
    <x v="0"/>
    <n v="1475.43"/>
  </r>
  <r>
    <n v="100655"/>
    <d v="2025-08-28T00:00:00"/>
    <d v="2025-08-29T00:00:00"/>
    <d v="2025-09-08T00:00:00"/>
    <s v="C3520"/>
    <x v="0"/>
    <s v="Pakistan"/>
    <s v="P73308"/>
    <s v="Snack Carton"/>
    <s v="FMCG"/>
    <s v="S883"/>
    <s v="Atlas Sourcing"/>
    <s v="North America"/>
    <s v="WH 06"/>
    <s v="Amsterdam"/>
    <x v="3"/>
    <n v="50"/>
    <n v="24.72"/>
    <n v="1236"/>
    <n v="11.91"/>
    <n v="10"/>
    <n v="11"/>
    <n v="4712"/>
    <x v="0"/>
    <x v="0"/>
    <n v="69.150000000000006"/>
  </r>
  <r>
    <n v="100656"/>
    <d v="2024-09-14T00:00:00"/>
    <d v="2024-09-15T00:00:00"/>
    <d v="2024-09-20T00:00:00"/>
    <s v="C2868"/>
    <x v="2"/>
    <s v="Mexico"/>
    <s v="P93591"/>
    <s v="Bookshelf"/>
    <s v="Furniture"/>
    <s v="S158"/>
    <s v="Pioneer Distribution"/>
    <s v="North America"/>
    <s v="WH 10"/>
    <s v="Cairo"/>
    <x v="1"/>
    <n v="202"/>
    <n v="273.52999999999997"/>
    <n v="55253.06"/>
    <n v="30.82"/>
    <n v="5"/>
    <n v="6"/>
    <n v="2046"/>
    <x v="2"/>
    <x v="0"/>
    <n v="14113.41"/>
  </r>
  <r>
    <n v="100657"/>
    <d v="2025-05-25T00:00:00"/>
    <d v="2025-05-29T00:00:00"/>
    <d v="2025-06-06T00:00:00"/>
    <s v="C7034"/>
    <x v="4"/>
    <s v="Saudi Arabia"/>
    <s v="P54239"/>
    <s v="Shampoo Pack"/>
    <s v="FMCG"/>
    <s v="S312"/>
    <s v="Crescent Logistics"/>
    <s v="Europe"/>
    <s v="WH 05"/>
    <s v="Frankfurt"/>
    <x v="3"/>
    <n v="331"/>
    <n v="42.61"/>
    <n v="14103.91"/>
    <n v="18.739999999999998"/>
    <n v="8"/>
    <n v="12"/>
    <n v="2640"/>
    <x v="0"/>
    <x v="0"/>
    <n v="1715.71"/>
  </r>
  <r>
    <n v="100658"/>
    <d v="2025-03-02T00:00:00"/>
    <d v="2025-03-03T00:00:00"/>
    <d v="2025-03-12T00:00:00"/>
    <s v="C4593"/>
    <x v="3"/>
    <s v="France"/>
    <s v="P84142"/>
    <s v="Office Chair"/>
    <s v="Furniture"/>
    <s v="S452"/>
    <s v="BlueRiver Trading"/>
    <s v="Asia"/>
    <s v="WH 08"/>
    <s v="Chicago"/>
    <x v="0"/>
    <n v="166"/>
    <n v="130.38999999999999"/>
    <n v="21644.74"/>
    <n v="17.18"/>
    <n v="9"/>
    <n v="10"/>
    <n v="818"/>
    <x v="0"/>
    <x v="0"/>
    <n v="4415.2299999999996"/>
  </r>
  <r>
    <n v="100659"/>
    <d v="2024-08-19T00:00:00"/>
    <d v="2024-08-21T00:00:00"/>
    <d v="2024-08-29T00:00:00"/>
    <s v="C5522"/>
    <x v="0"/>
    <s v="Vietnam"/>
    <s v="P60624"/>
    <s v="Storage Cabinet"/>
    <s v="Furniture"/>
    <s v="S512"/>
    <s v="BlueRiver Trading"/>
    <s v="Asia"/>
    <s v="WH 05"/>
    <s v="Frankfurt"/>
    <x v="0"/>
    <n v="339"/>
    <n v="268.89"/>
    <n v="91153.71"/>
    <n v="16.36"/>
    <n v="8"/>
    <n v="10"/>
    <n v="1220"/>
    <x v="0"/>
    <x v="0"/>
    <n v="12772.05"/>
  </r>
  <r>
    <n v="100660"/>
    <d v="2024-12-30T00:00:00"/>
    <d v="2024-12-31T00:00:00"/>
    <d v="2025-01-25T00:00:00"/>
    <s v="C2100"/>
    <x v="0"/>
    <s v="China"/>
    <s v="P51632"/>
    <s v="Bookshelf"/>
    <s v="Furniture"/>
    <s v="S616"/>
    <s v="Atlas Sourcing"/>
    <s v="Europe"/>
    <s v="WH 05"/>
    <s v="Frankfurt"/>
    <x v="2"/>
    <n v="494"/>
    <n v="50.4"/>
    <n v="24897.599999999999"/>
    <n v="17.02"/>
    <n v="25"/>
    <n v="26"/>
    <n v="831"/>
    <x v="0"/>
    <x v="0"/>
    <n v="2663.85"/>
  </r>
  <r>
    <n v="100661"/>
    <d v="2025-08-29T00:00:00"/>
    <d v="2025-08-29T00:00:00"/>
    <d v="2025-09-06T00:00:00"/>
    <s v="C1502"/>
    <x v="3"/>
    <s v="France"/>
    <s v="P52299"/>
    <s v="First Aid Kit"/>
    <s v="Healthcare"/>
    <s v="S913"/>
    <s v="Orion Supplies"/>
    <s v="Asia"/>
    <s v="WH 06"/>
    <s v="Amsterdam"/>
    <x v="3"/>
    <n v="319"/>
    <n v="55.71"/>
    <n v="17771.490000000002"/>
    <n v="18.440000000000001"/>
    <n v="8"/>
    <n v="8"/>
    <n v="2086"/>
    <x v="0"/>
    <x v="0"/>
    <n v="3356.37"/>
  </r>
  <r>
    <n v="100662"/>
    <d v="2024-11-01T00:00:00"/>
    <d v="2024-11-04T00:00:00"/>
    <d v="2024-11-07T00:00:00"/>
    <s v="C9095"/>
    <x v="4"/>
    <s v="Oman"/>
    <s v="P47909"/>
    <s v="Hand Sanitizer Case"/>
    <s v="Healthcare"/>
    <s v="S979"/>
    <s v="Summit Supply Co"/>
    <s v="Middle East"/>
    <s v="WH 03"/>
    <s v="Dubai"/>
    <x v="1"/>
    <n v="486"/>
    <n v="84.12"/>
    <n v="40882.32"/>
    <n v="44.45"/>
    <n v="3"/>
    <n v="6"/>
    <n v="1773"/>
    <x v="2"/>
    <x v="0"/>
    <n v="7779.54"/>
  </r>
  <r>
    <n v="100663"/>
    <d v="2024-03-26T00:00:00"/>
    <d v="2024-03-29T00:00:00"/>
    <d v="2024-04-21T00:00:00"/>
    <s v="C8041"/>
    <x v="1"/>
    <s v="Morocco"/>
    <s v="P94303"/>
    <s v="Storage Cabinet"/>
    <s v="Furniture"/>
    <s v="S706"/>
    <s v="Evergreen Partners"/>
    <s v="Africa"/>
    <s v="WH 09"/>
    <s v="Johannesburg"/>
    <x v="2"/>
    <n v="335"/>
    <n v="214.8"/>
    <n v="71958"/>
    <n v="10.46"/>
    <n v="23"/>
    <n v="26"/>
    <n v="651"/>
    <x v="1"/>
    <x v="3"/>
    <n v="16283.97"/>
  </r>
  <r>
    <n v="100664"/>
    <d v="2025-09-15T00:00:00"/>
    <d v="2025-09-18T00:00:00"/>
    <d v="2025-09-23T00:00:00"/>
    <s v="C9370"/>
    <x v="2"/>
    <s v="Canada"/>
    <s v="P61999"/>
    <s v="First Aid Kit"/>
    <s v="Healthcare"/>
    <s v="S533"/>
    <s v="BlueRiver Trading"/>
    <s v="Middle East"/>
    <s v="WH 05"/>
    <s v="Frankfurt"/>
    <x v="1"/>
    <n v="434"/>
    <n v="44.47"/>
    <n v="19299.98"/>
    <n v="56.64"/>
    <n v="5"/>
    <n v="8"/>
    <n v="1412"/>
    <x v="0"/>
    <x v="0"/>
    <n v="1691.49"/>
  </r>
  <r>
    <n v="100665"/>
    <d v="2024-09-11T00:00:00"/>
    <d v="2024-09-14T00:00:00"/>
    <d v="2024-09-15T00:00:00"/>
    <s v="C6137"/>
    <x v="4"/>
    <s v="Qatar"/>
    <s v="P31573"/>
    <s v="Snack Carton"/>
    <s v="FMCG"/>
    <s v="S437"/>
    <s v="Orion Supplies"/>
    <s v="Asia"/>
    <s v="WH 09"/>
    <s v="Johannesburg"/>
    <x v="1"/>
    <n v="125"/>
    <n v="5.65"/>
    <n v="706.25"/>
    <n v="36.61"/>
    <n v="1"/>
    <n v="4"/>
    <n v="2803"/>
    <x v="2"/>
    <x v="0"/>
    <n v="84.66"/>
  </r>
  <r>
    <n v="100666"/>
    <d v="2025-12-11T00:00:00"/>
    <d v="2025-12-11T00:00:00"/>
    <d v="2025-12-22T00:00:00"/>
    <s v="C9494"/>
    <x v="2"/>
    <s v="Canada"/>
    <s v="P30566"/>
    <s v="Storage Cabinet"/>
    <s v="Furniture"/>
    <s v="S929"/>
    <s v="Orion Supplies"/>
    <s v="Middle East"/>
    <s v="WH 08"/>
    <s v="Chicago"/>
    <x v="2"/>
    <n v="447"/>
    <n v="259.72000000000003"/>
    <n v="116094.84"/>
    <n v="16.170000000000002"/>
    <n v="11"/>
    <n v="11"/>
    <n v="882"/>
    <x v="0"/>
    <x v="0"/>
    <n v="18183.900000000001"/>
  </r>
  <r>
    <n v="100667"/>
    <d v="2024-04-10T00:00:00"/>
    <d v="2024-04-15T00:00:00"/>
    <d v="2024-04-18T00:00:00"/>
    <s v="C5233"/>
    <x v="0"/>
    <s v="Vietnam"/>
    <s v="P18007"/>
    <s v="Bookshelf"/>
    <s v="Furniture"/>
    <s v="S327"/>
    <s v="Vertex Manufacturing"/>
    <s v="Europe"/>
    <s v="WH 01"/>
    <s v="Karachi"/>
    <x v="1"/>
    <n v="290"/>
    <n v="237.92"/>
    <n v="68996.800000000003"/>
    <n v="47.3"/>
    <n v="3"/>
    <n v="8"/>
    <n v="480"/>
    <x v="0"/>
    <x v="0"/>
    <n v="12007.1"/>
  </r>
  <r>
    <n v="100668"/>
    <d v="2024-09-09T00:00:00"/>
    <d v="2024-09-13T00:00:00"/>
    <d v="2024-09-14T00:00:00"/>
    <s v="C9635"/>
    <x v="3"/>
    <s v="Spain"/>
    <s v="P95024"/>
    <s v="Face Mask Box"/>
    <s v="Healthcare"/>
    <s v="S359"/>
    <s v="Evergreen Partners"/>
    <s v="Europe"/>
    <s v="WH 03"/>
    <s v="Dubai"/>
    <x v="1"/>
    <n v="243"/>
    <n v="61.49"/>
    <n v="14942.07"/>
    <n v="32.78"/>
    <n v="1"/>
    <n v="5"/>
    <n v="1531"/>
    <x v="2"/>
    <x v="0"/>
    <n v="1298.5"/>
  </r>
  <r>
    <n v="100669"/>
    <d v="2024-12-29T00:00:00"/>
    <d v="2025-01-03T00:00:00"/>
    <d v="2025-01-13T00:00:00"/>
    <s v="C3793"/>
    <x v="4"/>
    <s v="Saudi Arabia"/>
    <s v="P12892"/>
    <s v="T Shirt Bundle"/>
    <s v="Apparel"/>
    <s v="S274"/>
    <s v="Evergreen Partners"/>
    <s v="Europe"/>
    <s v="WH 09"/>
    <s v="Johannesburg"/>
    <x v="3"/>
    <n v="341"/>
    <n v="51.94"/>
    <n v="17711.54"/>
    <n v="18.98"/>
    <n v="10"/>
    <n v="15"/>
    <n v="1844"/>
    <x v="0"/>
    <x v="0"/>
    <n v="1032.54"/>
  </r>
  <r>
    <n v="100670"/>
    <d v="2025-02-05T00:00:00"/>
    <d v="2025-02-05T00:00:00"/>
    <d v="2025-02-06T00:00:00"/>
    <s v="C2892"/>
    <x v="2"/>
    <s v="Mexico"/>
    <s v="P39754"/>
    <s v="Hand Sanitizer Case"/>
    <s v="Healthcare"/>
    <s v="S991"/>
    <s v="Evergreen Partners"/>
    <s v="Europe"/>
    <s v="WH 02"/>
    <s v="Lahore"/>
    <x v="1"/>
    <n v="395"/>
    <n v="85.12"/>
    <n v="33622.400000000001"/>
    <n v="54.11"/>
    <n v="1"/>
    <n v="1"/>
    <n v="1458"/>
    <x v="2"/>
    <x v="0"/>
    <n v="3848.61"/>
  </r>
  <r>
    <n v="100671"/>
    <d v="2025-11-09T00:00:00"/>
    <d v="2025-11-10T00:00:00"/>
    <d v="2025-11-25T00:00:00"/>
    <s v="C3314"/>
    <x v="3"/>
    <s v="Italy"/>
    <s v="P47180"/>
    <s v="Power Bank"/>
    <s v="Electronics"/>
    <s v="S911"/>
    <s v="Vertex Manufacturing"/>
    <s v="Middle East"/>
    <s v="WH 05"/>
    <s v="Frankfurt"/>
    <x v="2"/>
    <n v="130"/>
    <n v="213.03"/>
    <n v="27693.9"/>
    <n v="10.39"/>
    <n v="15"/>
    <n v="16"/>
    <n v="1505"/>
    <x v="0"/>
    <x v="0"/>
    <n v="3004.6"/>
  </r>
  <r>
    <n v="100672"/>
    <d v="2025-12-03T00:00:00"/>
    <d v="2025-12-03T00:00:00"/>
    <d v="2025-12-09T00:00:00"/>
    <s v="C6520"/>
    <x v="3"/>
    <s v="Italy"/>
    <s v="P71821"/>
    <s v="Smart Watch"/>
    <s v="Electronics"/>
    <s v="S817"/>
    <s v="Orion Supplies"/>
    <s v="Africa"/>
    <s v="WH 01"/>
    <s v="Karachi"/>
    <x v="3"/>
    <n v="114"/>
    <n v="281.64"/>
    <n v="32106.959999999999"/>
    <n v="13.46"/>
    <n v="6"/>
    <n v="6"/>
    <n v="1323"/>
    <x v="2"/>
    <x v="0"/>
    <n v="5612.75"/>
  </r>
  <r>
    <n v="100673"/>
    <d v="2024-09-12T00:00:00"/>
    <d v="2024-09-14T00:00:00"/>
    <d v="2024-09-29T00:00:00"/>
    <s v="C1390"/>
    <x v="0"/>
    <s v="Bangladesh"/>
    <s v="P38460"/>
    <s v="Denim Jeans"/>
    <s v="Apparel"/>
    <s v="S775"/>
    <s v="Pioneer Distribution"/>
    <s v="Asia"/>
    <s v="WH 04"/>
    <s v="Istanbul"/>
    <x v="2"/>
    <n v="178"/>
    <n v="43.35"/>
    <n v="7716.3"/>
    <n v="8.34"/>
    <n v="15"/>
    <n v="17"/>
    <n v="382"/>
    <x v="0"/>
    <x v="0"/>
    <n v="1553.9"/>
  </r>
  <r>
    <n v="100674"/>
    <d v="2024-08-21T00:00:00"/>
    <d v="2024-08-25T00:00:00"/>
    <d v="2024-09-03T00:00:00"/>
    <s v="C1889"/>
    <x v="3"/>
    <s v="Germany"/>
    <s v="P55647"/>
    <s v="Study Table"/>
    <s v="Furniture"/>
    <s v="S845"/>
    <s v="Zenith Procurement"/>
    <s v="Middle East"/>
    <s v="WH 05"/>
    <s v="Frankfurt"/>
    <x v="0"/>
    <n v="390"/>
    <n v="218.2"/>
    <n v="85098"/>
    <n v="23.53"/>
    <n v="9"/>
    <n v="13"/>
    <n v="781"/>
    <x v="0"/>
    <x v="0"/>
    <n v="14896.92"/>
  </r>
  <r>
    <n v="100675"/>
    <d v="2024-05-14T00:00:00"/>
    <d v="2024-05-15T00:00:00"/>
    <d v="2024-05-26T00:00:00"/>
    <s v="C4718"/>
    <x v="2"/>
    <s v="Canada"/>
    <s v="P46135"/>
    <s v="Wireless Earbuds"/>
    <s v="Electronics"/>
    <s v="S102"/>
    <s v="BlueRiver Trading"/>
    <s v="Europe"/>
    <s v="WH 01"/>
    <s v="Karachi"/>
    <x v="3"/>
    <n v="410"/>
    <n v="268.85000000000002"/>
    <n v="110228.5"/>
    <n v="20.66"/>
    <n v="11"/>
    <n v="12"/>
    <n v="1183"/>
    <x v="1"/>
    <x v="1"/>
    <n v="-103.27"/>
  </r>
  <r>
    <n v="100676"/>
    <d v="2024-06-14T00:00:00"/>
    <d v="2024-06-15T00:00:00"/>
    <d v="2024-06-23T00:00:00"/>
    <s v="C5578"/>
    <x v="4"/>
    <s v="United Arab Emirates"/>
    <s v="P78126"/>
    <s v="Face Mask Box"/>
    <s v="Healthcare"/>
    <s v="S304"/>
    <s v="Crescent Logistics"/>
    <s v="Europe"/>
    <s v="WH 05"/>
    <s v="Frankfurt"/>
    <x v="1"/>
    <n v="428"/>
    <n v="25.22"/>
    <n v="10794.16"/>
    <n v="56.25"/>
    <n v="8"/>
    <n v="9"/>
    <n v="2866"/>
    <x v="0"/>
    <x v="0"/>
    <n v="1500.89"/>
  </r>
  <r>
    <n v="100677"/>
    <d v="2024-06-11T00:00:00"/>
    <d v="2024-06-14T00:00:00"/>
    <d v="2024-06-23T00:00:00"/>
    <s v="C4430"/>
    <x v="0"/>
    <s v="Pakistan"/>
    <s v="P24716"/>
    <s v="Bottled Water Case"/>
    <s v="FMCG"/>
    <s v="S969"/>
    <s v="Pioneer Distribution"/>
    <s v="Europe"/>
    <s v="WH 01"/>
    <s v="Karachi"/>
    <x v="3"/>
    <n v="402"/>
    <n v="22.96"/>
    <n v="9229.92"/>
    <n v="20.46"/>
    <n v="9"/>
    <n v="12"/>
    <n v="4191"/>
    <x v="0"/>
    <x v="0"/>
    <n v="1378.97"/>
  </r>
  <r>
    <n v="100678"/>
    <d v="2024-05-06T00:00:00"/>
    <d v="2024-05-09T00:00:00"/>
    <d v="2024-05-19T00:00:00"/>
    <s v="C9015"/>
    <x v="4"/>
    <s v="United Arab Emirates"/>
    <s v="P85160"/>
    <s v="First Aid Kit"/>
    <s v="Healthcare"/>
    <s v="S602"/>
    <s v="Pioneer Distribution"/>
    <s v="Middle East"/>
    <s v="WH 05"/>
    <s v="Frankfurt"/>
    <x v="2"/>
    <n v="224"/>
    <n v="15.18"/>
    <n v="3400.32"/>
    <n v="8.9600000000000009"/>
    <n v="10"/>
    <n v="13"/>
    <n v="3309"/>
    <x v="0"/>
    <x v="0"/>
    <n v="529.53"/>
  </r>
  <r>
    <n v="100679"/>
    <d v="2025-12-13T00:00:00"/>
    <d v="2025-12-17T00:00:00"/>
    <d v="2025-12-19T00:00:00"/>
    <s v="C1234"/>
    <x v="3"/>
    <s v="Poland"/>
    <s v="P56835"/>
    <s v="Router"/>
    <s v="Electronics"/>
    <s v="S969"/>
    <s v="Summit Supply Co"/>
    <s v="Asia"/>
    <s v="WH 05"/>
    <s v="Frankfurt"/>
    <x v="1"/>
    <n v="490"/>
    <n v="230.14"/>
    <n v="112768.6"/>
    <n v="60.26"/>
    <n v="2"/>
    <n v="6"/>
    <n v="1424"/>
    <x v="2"/>
    <x v="0"/>
    <n v="10217.73"/>
  </r>
  <r>
    <n v="100680"/>
    <d v="2024-02-05T00:00:00"/>
    <d v="2024-02-07T00:00:00"/>
    <d v="2024-02-17T00:00:00"/>
    <s v="C3670"/>
    <x v="2"/>
    <s v="United States"/>
    <s v="P46519"/>
    <s v="T Shirt Bundle"/>
    <s v="Apparel"/>
    <s v="S580"/>
    <s v="Atlas Sourcing"/>
    <s v="Asia"/>
    <s v="WH 04"/>
    <s v="Istanbul"/>
    <x v="3"/>
    <n v="477"/>
    <n v="100.4"/>
    <n v="47890.8"/>
    <n v="22.28"/>
    <n v="10"/>
    <n v="12"/>
    <n v="2906"/>
    <x v="0"/>
    <x v="0"/>
    <n v="5124.57"/>
  </r>
  <r>
    <n v="100681"/>
    <d v="2025-06-14T00:00:00"/>
    <d v="2025-06-18T00:00:00"/>
    <d v="2025-06-27T00:00:00"/>
    <s v="C3198"/>
    <x v="2"/>
    <s v="United States"/>
    <s v="P73753"/>
    <s v="Snack Carton"/>
    <s v="FMCG"/>
    <s v="S793"/>
    <s v="Vertex Manufacturing"/>
    <s v="Asia"/>
    <s v="WH 07"/>
    <s v="Toronto"/>
    <x v="3"/>
    <n v="114"/>
    <n v="14.43"/>
    <n v="1645.02"/>
    <n v="13.46"/>
    <n v="9"/>
    <n v="13"/>
    <n v="1212"/>
    <x v="0"/>
    <x v="0"/>
    <n v="202.44"/>
  </r>
  <r>
    <n v="100682"/>
    <d v="2024-11-06T00:00:00"/>
    <d v="2024-11-08T00:00:00"/>
    <d v="2024-11-30T00:00:00"/>
    <s v="C1658"/>
    <x v="0"/>
    <s v="Pakistan"/>
    <s v="P14761"/>
    <s v="Face Mask Box"/>
    <s v="Healthcare"/>
    <s v="S562"/>
    <s v="Vertex Manufacturing"/>
    <s v="Europe"/>
    <s v="WH 06"/>
    <s v="Amsterdam"/>
    <x v="2"/>
    <n v="376"/>
    <n v="12.68"/>
    <n v="4767.68"/>
    <n v="14.87"/>
    <n v="22"/>
    <n v="24"/>
    <n v="842"/>
    <x v="0"/>
    <x v="0"/>
    <n v="864.25"/>
  </r>
  <r>
    <n v="100683"/>
    <d v="2025-11-13T00:00:00"/>
    <d v="2025-11-14T00:00:00"/>
    <d v="2025-11-22T00:00:00"/>
    <s v="C1755"/>
    <x v="3"/>
    <s v="France"/>
    <s v="P19638"/>
    <s v="Office Chair"/>
    <s v="Furniture"/>
    <s v="S935"/>
    <s v="Vertex Manufacturing"/>
    <s v="North America"/>
    <s v="WH 01"/>
    <s v="Karachi"/>
    <x v="0"/>
    <n v="137"/>
    <n v="225.47"/>
    <n v="30889.39"/>
    <n v="16.36"/>
    <n v="8"/>
    <n v="9"/>
    <n v="182"/>
    <x v="1"/>
    <x v="1"/>
    <n v="-234.6"/>
  </r>
  <r>
    <n v="100684"/>
    <d v="2024-10-19T00:00:00"/>
    <d v="2024-10-21T00:00:00"/>
    <d v="2024-10-25T00:00:00"/>
    <s v="C2145"/>
    <x v="2"/>
    <s v="Mexico"/>
    <s v="P63546"/>
    <s v="Detergent Bag"/>
    <s v="FMCG"/>
    <s v="S874"/>
    <s v="BlueRiver Trading"/>
    <s v="Europe"/>
    <s v="WH 08"/>
    <s v="Chicago"/>
    <x v="0"/>
    <n v="390"/>
    <n v="20.84"/>
    <n v="8127.6"/>
    <n v="23.53"/>
    <n v="4"/>
    <n v="6"/>
    <n v="2164"/>
    <x v="2"/>
    <x v="0"/>
    <n v="1132.1600000000001"/>
  </r>
  <r>
    <n v="100685"/>
    <d v="2024-08-08T00:00:00"/>
    <d v="2024-08-10T00:00:00"/>
    <d v="2024-08-30T00:00:00"/>
    <s v="C3515"/>
    <x v="2"/>
    <s v="Mexico"/>
    <s v="P93337"/>
    <s v="Sportswear Set"/>
    <s v="Apparel"/>
    <s v="S368"/>
    <s v="Atlas Sourcing"/>
    <s v="Asia"/>
    <s v="WH 07"/>
    <s v="Toronto"/>
    <x v="2"/>
    <n v="200"/>
    <n v="102.29"/>
    <n v="20458"/>
    <n v="11.66"/>
    <n v="20"/>
    <n v="22"/>
    <n v="2258"/>
    <x v="0"/>
    <x v="0"/>
    <n v="4713.22"/>
  </r>
  <r>
    <n v="100686"/>
    <d v="2025-12-16T00:00:00"/>
    <d v="2025-12-18T00:00:00"/>
    <d v="2025-12-20T00:00:00"/>
    <s v="C7337"/>
    <x v="3"/>
    <s v="Italy"/>
    <s v="P79506"/>
    <s v="Power Bank"/>
    <s v="Electronics"/>
    <s v="S435"/>
    <s v="Pioneer Distribution"/>
    <s v="Africa"/>
    <s v="WH 05"/>
    <s v="Frankfurt"/>
    <x v="1"/>
    <n v="444"/>
    <n v="237.58"/>
    <n v="105485.52"/>
    <n v="57.28"/>
    <n v="2"/>
    <n v="4"/>
    <n v="1322"/>
    <x v="2"/>
    <x v="0"/>
    <n v="19242.47"/>
  </r>
  <r>
    <n v="100687"/>
    <d v="2025-10-12T00:00:00"/>
    <d v="2025-10-16T00:00:00"/>
    <d v="2025-10-20T00:00:00"/>
    <s v="C5374"/>
    <x v="3"/>
    <s v="Netherlands"/>
    <s v="P83143"/>
    <s v="Detergent Bag"/>
    <s v="FMCG"/>
    <s v="S915"/>
    <s v="Zenith Procurement"/>
    <s v="North America"/>
    <s v="WH 08"/>
    <s v="Chicago"/>
    <x v="3"/>
    <n v="285"/>
    <n v="16.579999999999998"/>
    <n v="4725.3"/>
    <n v="17.62"/>
    <n v="4"/>
    <n v="8"/>
    <n v="1222"/>
    <x v="0"/>
    <x v="0"/>
    <n v="736.51"/>
  </r>
  <r>
    <n v="100688"/>
    <d v="2024-08-23T00:00:00"/>
    <d v="2024-08-28T00:00:00"/>
    <d v="2024-08-30T00:00:00"/>
    <s v="C2673"/>
    <x v="1"/>
    <s v="Morocco"/>
    <s v="P63739"/>
    <s v="Shampoo Pack"/>
    <s v="FMCG"/>
    <s v="S120"/>
    <s v="Summit Supply Co"/>
    <s v="Europe"/>
    <s v="WH 08"/>
    <s v="Chicago"/>
    <x v="1"/>
    <n v="243"/>
    <n v="27.4"/>
    <n v="6658.2"/>
    <n v="44.26"/>
    <n v="2"/>
    <n v="7"/>
    <n v="1966"/>
    <x v="2"/>
    <x v="0"/>
    <n v="798.6"/>
  </r>
  <r>
    <n v="100689"/>
    <d v="2024-06-10T00:00:00"/>
    <d v="2024-06-14T00:00:00"/>
    <d v="2024-06-18T00:00:00"/>
    <s v="C8238"/>
    <x v="2"/>
    <s v="Mexico"/>
    <s v="P33365"/>
    <s v="Sportswear Set"/>
    <s v="Apparel"/>
    <s v="S975"/>
    <s v="Orion Supplies"/>
    <s v="Africa"/>
    <s v="WH 07"/>
    <s v="Toronto"/>
    <x v="1"/>
    <n v="475"/>
    <n v="51.6"/>
    <n v="24510"/>
    <n v="59.29"/>
    <n v="4"/>
    <n v="8"/>
    <n v="3442"/>
    <x v="0"/>
    <x v="0"/>
    <n v="6201.57"/>
  </r>
  <r>
    <n v="100690"/>
    <d v="2025-06-05T00:00:00"/>
    <d v="2025-06-07T00:00:00"/>
    <d v="2025-06-30T00:00:00"/>
    <s v="C1761"/>
    <x v="0"/>
    <s v="Indonesia"/>
    <s v="P59177"/>
    <s v="Socks Pack"/>
    <s v="Apparel"/>
    <s v="S882"/>
    <s v="Atlas Sourcing"/>
    <s v="North America"/>
    <s v="WH 02"/>
    <s v="Lahore"/>
    <x v="2"/>
    <n v="42"/>
    <n v="21.08"/>
    <n v="885.36"/>
    <n v="8.7799999999999994"/>
    <n v="23"/>
    <n v="25"/>
    <n v="1988"/>
    <x v="1"/>
    <x v="3"/>
    <n v="163.26"/>
  </r>
  <r>
    <n v="100691"/>
    <d v="2025-05-16T00:00:00"/>
    <d v="2025-05-16T00:00:00"/>
    <d v="2025-05-22T00:00:00"/>
    <s v="C2055"/>
    <x v="3"/>
    <s v="Netherlands"/>
    <s v="P85582"/>
    <s v="Storage Cabinet"/>
    <s v="Furniture"/>
    <s v="S111"/>
    <s v="Crescent Logistics"/>
    <s v="Africa"/>
    <s v="WH 05"/>
    <s v="Frankfurt"/>
    <x v="3"/>
    <n v="328"/>
    <n v="288.43"/>
    <n v="94605.04"/>
    <n v="18.66"/>
    <n v="6"/>
    <n v="6"/>
    <n v="2098"/>
    <x v="2"/>
    <x v="0"/>
    <n v="21063.49"/>
  </r>
  <r>
    <n v="100692"/>
    <d v="2024-11-19T00:00:00"/>
    <d v="2024-11-22T00:00:00"/>
    <d v="2024-11-26T00:00:00"/>
    <s v="C3810"/>
    <x v="4"/>
    <s v="Qatar"/>
    <s v="P29476"/>
    <s v="Bluetooth Speaker"/>
    <s v="Electronics"/>
    <s v="S204"/>
    <s v="Summit Supply Co"/>
    <s v="Asia"/>
    <s v="WH 01"/>
    <s v="Karachi"/>
    <x v="1"/>
    <n v="75"/>
    <n v="247.64"/>
    <n v="18573"/>
    <n v="33.369999999999997"/>
    <n v="4"/>
    <n v="7"/>
    <n v="98"/>
    <x v="2"/>
    <x v="0"/>
    <n v="2078.81"/>
  </r>
  <r>
    <n v="100693"/>
    <d v="2025-07-31T00:00:00"/>
    <d v="2025-08-04T00:00:00"/>
    <d v="2025-08-28T00:00:00"/>
    <s v="C5053"/>
    <x v="3"/>
    <s v="Sweden"/>
    <s v="P72137"/>
    <s v="Smart Watch"/>
    <s v="Electronics"/>
    <s v="S965"/>
    <s v="BlueRiver Trading"/>
    <s v="Middle East"/>
    <s v="WH 04"/>
    <s v="Istanbul"/>
    <x v="2"/>
    <n v="389"/>
    <n v="288.23"/>
    <n v="112121.47"/>
    <n v="15.11"/>
    <n v="24"/>
    <n v="28"/>
    <n v="832"/>
    <x v="0"/>
    <x v="0"/>
    <n v="14628.53"/>
  </r>
  <r>
    <n v="100694"/>
    <d v="2025-09-17T00:00:00"/>
    <d v="2025-09-20T00:00:00"/>
    <d v="2025-09-30T00:00:00"/>
    <s v="C6938"/>
    <x v="0"/>
    <s v="Indonesia"/>
    <s v="P71536"/>
    <s v="Floor Lamp"/>
    <s v="Furniture"/>
    <s v="S986"/>
    <s v="Summit Supply Co"/>
    <s v="Africa"/>
    <s v="WH 10"/>
    <s v="Cairo"/>
    <x v="0"/>
    <n v="104"/>
    <n v="303.62"/>
    <n v="31576.48"/>
    <n v="15.42"/>
    <n v="10"/>
    <n v="13"/>
    <n v="1409"/>
    <x v="0"/>
    <x v="0"/>
    <n v="6013.52"/>
  </r>
  <r>
    <n v="100695"/>
    <d v="2024-09-18T00:00:00"/>
    <d v="2024-09-19T00:00:00"/>
    <d v="2024-09-22T00:00:00"/>
    <s v="C1770"/>
    <x v="0"/>
    <s v="Bangladesh"/>
    <s v="P11843"/>
    <s v="Detergent Bag"/>
    <s v="FMCG"/>
    <s v="S173"/>
    <s v="BlueRiver Trading"/>
    <s v="Asia"/>
    <s v="WH 04"/>
    <s v="Istanbul"/>
    <x v="1"/>
    <n v="134"/>
    <n v="38.67"/>
    <n v="5181.78"/>
    <n v="27.55"/>
    <n v="3"/>
    <n v="4"/>
    <n v="1119"/>
    <x v="2"/>
    <x v="0"/>
    <n v="334.4"/>
  </r>
  <r>
    <n v="100696"/>
    <d v="2025-03-30T00:00:00"/>
    <d v="2025-03-31T00:00:00"/>
    <d v="2025-04-06T00:00:00"/>
    <s v="C9419"/>
    <x v="0"/>
    <s v="Malaysia"/>
    <s v="P12881"/>
    <s v="Wireless Earbuds"/>
    <s v="Electronics"/>
    <s v="S957"/>
    <s v="Summit Supply Co"/>
    <s v="Middle East"/>
    <s v="WH 06"/>
    <s v="Amsterdam"/>
    <x v="3"/>
    <n v="254"/>
    <n v="327.06"/>
    <n v="83073.240000000005"/>
    <n v="16.86"/>
    <n v="6"/>
    <n v="7"/>
    <n v="1067"/>
    <x v="2"/>
    <x v="0"/>
    <n v="14344.07"/>
  </r>
  <r>
    <n v="100697"/>
    <d v="2024-01-19T00:00:00"/>
    <d v="2024-01-20T00:00:00"/>
    <d v="2024-01-28T00:00:00"/>
    <s v="C9594"/>
    <x v="1"/>
    <s v="Nigeria"/>
    <s v="P87711"/>
    <s v="Vitamin Pack"/>
    <s v="Healthcare"/>
    <s v="S921"/>
    <s v="BlueRiver Trading"/>
    <s v="North America"/>
    <s v="WH 02"/>
    <s v="Lahore"/>
    <x v="0"/>
    <n v="418"/>
    <n v="73.099999999999994"/>
    <n v="30555.8"/>
    <n v="24.32"/>
    <n v="8"/>
    <n v="9"/>
    <n v="3678"/>
    <x v="0"/>
    <x v="0"/>
    <n v="4716.18"/>
  </r>
  <r>
    <n v="100698"/>
    <d v="2025-02-17T00:00:00"/>
    <d v="2025-02-21T00:00:00"/>
    <d v="2025-03-13T00:00:00"/>
    <s v="C6731"/>
    <x v="1"/>
    <s v="South Africa"/>
    <s v="P56433"/>
    <s v="Smart Watch"/>
    <s v="Electronics"/>
    <s v="S492"/>
    <s v="Summit Supply Co"/>
    <s v="Middle East"/>
    <s v="WH 04"/>
    <s v="Istanbul"/>
    <x v="2"/>
    <n v="213"/>
    <n v="297.33999999999997"/>
    <n v="63333.42"/>
    <n v="11.9"/>
    <n v="20"/>
    <n v="24"/>
    <n v="1590"/>
    <x v="0"/>
    <x v="0"/>
    <n v="6238.86"/>
  </r>
  <r>
    <n v="100699"/>
    <d v="2024-09-09T00:00:00"/>
    <d v="2024-09-09T00:00:00"/>
    <d v="2024-10-01T00:00:00"/>
    <s v="C6327"/>
    <x v="1"/>
    <s v="Kenya"/>
    <s v="P15097"/>
    <s v="First Aid Kit"/>
    <s v="Healthcare"/>
    <s v="S736"/>
    <s v="Summit Supply Co"/>
    <s v="Africa"/>
    <s v="WH 07"/>
    <s v="Toronto"/>
    <x v="2"/>
    <n v="243"/>
    <n v="41.03"/>
    <n v="9970.2900000000009"/>
    <n v="9.2200000000000006"/>
    <n v="22"/>
    <n v="22"/>
    <n v="465"/>
    <x v="0"/>
    <x v="0"/>
    <n v="717.48"/>
  </r>
  <r>
    <n v="100700"/>
    <d v="2025-03-15T00:00:00"/>
    <d v="2025-03-17T00:00:00"/>
    <d v="2025-03-27T00:00:00"/>
    <s v="C7065"/>
    <x v="1"/>
    <s v="Nigeria"/>
    <s v="P54028"/>
    <s v="Floor Lamp"/>
    <s v="Furniture"/>
    <s v="S231"/>
    <s v="BlueRiver Trading"/>
    <s v="Europe"/>
    <s v="WH 03"/>
    <s v="Dubai"/>
    <x v="0"/>
    <n v="369"/>
    <n v="317.64999999999998"/>
    <n v="117212.85"/>
    <n v="22.94"/>
    <n v="10"/>
    <n v="12"/>
    <n v="1449"/>
    <x v="0"/>
    <x v="0"/>
    <n v="30357.31"/>
  </r>
  <r>
    <n v="100701"/>
    <d v="2024-12-31T00:00:00"/>
    <d v="2025-01-02T00:00:00"/>
    <d v="2025-01-10T00:00:00"/>
    <s v="C8640"/>
    <x v="1"/>
    <s v="Nigeria"/>
    <s v="P37742"/>
    <s v="Detergent Bag"/>
    <s v="FMCG"/>
    <s v="S980"/>
    <s v="Vertex Manufacturing"/>
    <s v="Middle East"/>
    <s v="WH 06"/>
    <s v="Amsterdam"/>
    <x v="3"/>
    <n v="306"/>
    <n v="47.2"/>
    <n v="14443.2"/>
    <n v="18.13"/>
    <n v="8"/>
    <n v="10"/>
    <n v="1545"/>
    <x v="1"/>
    <x v="2"/>
    <n v="1991.21"/>
  </r>
  <r>
    <n v="100702"/>
    <d v="2025-03-18T00:00:00"/>
    <d v="2025-03-18T00:00:00"/>
    <d v="2025-03-22T00:00:00"/>
    <s v="C5377"/>
    <x v="1"/>
    <s v="Nigeria"/>
    <s v="P20599"/>
    <s v="Sportswear Set"/>
    <s v="Apparel"/>
    <s v="S922"/>
    <s v="Evergreen Partners"/>
    <s v="North America"/>
    <s v="WH 10"/>
    <s v="Cairo"/>
    <x v="1"/>
    <n v="128"/>
    <n v="80.19"/>
    <n v="10264.32"/>
    <n v="36.81"/>
    <n v="4"/>
    <n v="4"/>
    <n v="1819"/>
    <x v="2"/>
    <x v="0"/>
    <n v="1012.19"/>
  </r>
  <r>
    <n v="100703"/>
    <d v="2025-12-04T00:00:00"/>
    <d v="2025-12-04T00:00:00"/>
    <d v="2025-12-29T00:00:00"/>
    <s v="C2291"/>
    <x v="1"/>
    <s v="Morocco"/>
    <s v="P38064"/>
    <s v="Bottled Water Case"/>
    <s v="FMCG"/>
    <s v="S731"/>
    <s v="Summit Supply Co"/>
    <s v="North America"/>
    <s v="WH 06"/>
    <s v="Amsterdam"/>
    <x v="2"/>
    <n v="80"/>
    <n v="14.21"/>
    <n v="1136.8"/>
    <n v="9.48"/>
    <n v="25"/>
    <n v="25"/>
    <n v="2280"/>
    <x v="1"/>
    <x v="3"/>
    <n v="101.27"/>
  </r>
  <r>
    <n v="100704"/>
    <d v="2024-09-29T00:00:00"/>
    <d v="2024-09-30T00:00:00"/>
    <d v="2024-10-08T00:00:00"/>
    <s v="C3800"/>
    <x v="4"/>
    <s v="Oman"/>
    <s v="P24799"/>
    <s v="Bluetooth Speaker"/>
    <s v="Electronics"/>
    <s v="S811"/>
    <s v="Nova Industrial"/>
    <s v="Africa"/>
    <s v="WH 01"/>
    <s v="Karachi"/>
    <x v="3"/>
    <n v="225"/>
    <n v="287.14"/>
    <n v="64606.5"/>
    <n v="16.16"/>
    <n v="8"/>
    <n v="9"/>
    <n v="1489"/>
    <x v="1"/>
    <x v="2"/>
    <n v="6882.55"/>
  </r>
  <r>
    <n v="100705"/>
    <d v="2024-01-18T00:00:00"/>
    <d v="2024-01-22T00:00:00"/>
    <d v="2024-02-13T00:00:00"/>
    <s v="C2369"/>
    <x v="2"/>
    <s v="United States"/>
    <s v="P93920"/>
    <s v="Denim Jeans"/>
    <s v="Apparel"/>
    <s v="S547"/>
    <s v="Atlas Sourcing"/>
    <s v="North America"/>
    <s v="WH 01"/>
    <s v="Karachi"/>
    <x v="2"/>
    <n v="10"/>
    <n v="16.440000000000001"/>
    <n v="164.4"/>
    <n v="6.08"/>
    <n v="22"/>
    <n v="26"/>
    <n v="1207"/>
    <x v="0"/>
    <x v="0"/>
    <n v="42.61"/>
  </r>
  <r>
    <n v="100706"/>
    <d v="2025-02-16T00:00:00"/>
    <d v="2025-02-19T00:00:00"/>
    <d v="2025-02-23T00:00:00"/>
    <s v="C1723"/>
    <x v="1"/>
    <s v="Morocco"/>
    <s v="P77865"/>
    <s v="Thermometer"/>
    <s v="Healthcare"/>
    <s v="S211"/>
    <s v="Vertex Manufacturing"/>
    <s v="Europe"/>
    <s v="WH 02"/>
    <s v="Lahore"/>
    <x v="1"/>
    <n v="220"/>
    <n v="33.700000000000003"/>
    <n v="7414"/>
    <n v="42.77"/>
    <n v="4"/>
    <n v="7"/>
    <n v="467"/>
    <x v="2"/>
    <x v="0"/>
    <n v="1251.4100000000001"/>
  </r>
  <r>
    <n v="100707"/>
    <d v="2024-12-30T00:00:00"/>
    <d v="2025-01-01T00:00:00"/>
    <d v="2025-01-03T00:00:00"/>
    <s v="C7680"/>
    <x v="4"/>
    <s v="Qatar"/>
    <s v="P76793"/>
    <s v="Toothpaste Box"/>
    <s v="FMCG"/>
    <s v="S158"/>
    <s v="Nova Industrial"/>
    <s v="North America"/>
    <s v="WH 10"/>
    <s v="Cairo"/>
    <x v="0"/>
    <n v="260"/>
    <n v="39.270000000000003"/>
    <n v="10210.200000000001"/>
    <n v="19.84"/>
    <n v="2"/>
    <n v="4"/>
    <n v="689"/>
    <x v="1"/>
    <x v="1"/>
    <n v="-87.82"/>
  </r>
  <r>
    <n v="100708"/>
    <d v="2024-09-12T00:00:00"/>
    <d v="2024-09-17T00:00:00"/>
    <d v="2024-10-12T00:00:00"/>
    <s v="C8236"/>
    <x v="3"/>
    <s v="Italy"/>
    <s v="P48333"/>
    <s v="T Shirt Bundle"/>
    <s v="Apparel"/>
    <s v="S487"/>
    <s v="Vertex Manufacturing"/>
    <s v="Middle East"/>
    <s v="WH 10"/>
    <s v="Cairo"/>
    <x v="2"/>
    <n v="95"/>
    <n v="26.79"/>
    <n v="2545.0500000000002"/>
    <n v="9.75"/>
    <n v="25"/>
    <n v="30"/>
    <n v="2790"/>
    <x v="0"/>
    <x v="0"/>
    <n v="616.54"/>
  </r>
  <r>
    <n v="100709"/>
    <d v="2025-02-02T00:00:00"/>
    <d v="2025-02-06T00:00:00"/>
    <d v="2025-02-18T00:00:00"/>
    <s v="C9676"/>
    <x v="0"/>
    <s v="China"/>
    <s v="P42642"/>
    <s v="Sportswear Set"/>
    <s v="Apparel"/>
    <s v="S546"/>
    <s v="Crescent Logistics"/>
    <s v="Middle East"/>
    <s v="WH 10"/>
    <s v="Cairo"/>
    <x v="2"/>
    <n v="300"/>
    <n v="97.76"/>
    <n v="29328"/>
    <n v="13.49"/>
    <n v="12"/>
    <n v="16"/>
    <n v="2065"/>
    <x v="0"/>
    <x v="0"/>
    <n v="4117.29"/>
  </r>
  <r>
    <n v="100710"/>
    <d v="2024-06-02T00:00:00"/>
    <d v="2024-06-02T00:00:00"/>
    <d v="2024-06-11T00:00:00"/>
    <s v="C2151"/>
    <x v="1"/>
    <s v="Nigeria"/>
    <s v="P15492"/>
    <s v="Router"/>
    <s v="Electronics"/>
    <s v="S667"/>
    <s v="Evergreen Partners"/>
    <s v="Asia"/>
    <s v="WH 01"/>
    <s v="Karachi"/>
    <x v="0"/>
    <n v="135"/>
    <n v="131.55000000000001"/>
    <n v="17759.25"/>
    <n v="16.3"/>
    <n v="9"/>
    <n v="9"/>
    <n v="1643"/>
    <x v="1"/>
    <x v="2"/>
    <n v="2199.75"/>
  </r>
  <r>
    <n v="100711"/>
    <d v="2025-04-04T00:00:00"/>
    <d v="2025-04-07T00:00:00"/>
    <d v="2025-04-12T00:00:00"/>
    <s v="C8494"/>
    <x v="2"/>
    <s v="Canada"/>
    <s v="P46723"/>
    <s v="Office Chair"/>
    <s v="Furniture"/>
    <s v="S281"/>
    <s v="Atlas Sourcing"/>
    <s v="Africa"/>
    <s v="WH 01"/>
    <s v="Karachi"/>
    <x v="1"/>
    <n v="131"/>
    <n v="73.47"/>
    <n v="9624.57"/>
    <n v="37"/>
    <n v="5"/>
    <n v="8"/>
    <n v="1102"/>
    <x v="0"/>
    <x v="0"/>
    <n v="2260.89"/>
  </r>
  <r>
    <n v="100712"/>
    <d v="2024-04-04T00:00:00"/>
    <d v="2024-04-04T00:00:00"/>
    <d v="2024-04-16T00:00:00"/>
    <s v="C8073"/>
    <x v="0"/>
    <s v="Bangladesh"/>
    <s v="P80572"/>
    <s v="Vitamin Pack"/>
    <s v="Healthcare"/>
    <s v="S364"/>
    <s v="Zenith Procurement"/>
    <s v="Africa"/>
    <s v="WH 10"/>
    <s v="Cairo"/>
    <x v="3"/>
    <n v="144"/>
    <n v="79.63"/>
    <n v="11466.72"/>
    <n v="14.19"/>
    <n v="12"/>
    <n v="12"/>
    <n v="2893"/>
    <x v="0"/>
    <x v="0"/>
    <n v="240.25"/>
  </r>
  <r>
    <n v="100713"/>
    <d v="2024-09-11T00:00:00"/>
    <d v="2024-09-15T00:00:00"/>
    <d v="2024-10-04T00:00:00"/>
    <s v="C9867"/>
    <x v="2"/>
    <s v="Mexico"/>
    <s v="P34151"/>
    <s v="Toothpaste Box"/>
    <s v="FMCG"/>
    <s v="S168"/>
    <s v="Orion Supplies"/>
    <s v="Middle East"/>
    <s v="WH 08"/>
    <s v="Chicago"/>
    <x v="2"/>
    <n v="46"/>
    <n v="39.71"/>
    <n v="1826.66"/>
    <n v="8.86"/>
    <n v="19"/>
    <n v="23"/>
    <n v="3027"/>
    <x v="0"/>
    <x v="0"/>
    <n v="87.29"/>
  </r>
  <r>
    <n v="100714"/>
    <d v="2024-07-08T00:00:00"/>
    <d v="2024-07-13T00:00:00"/>
    <d v="2024-07-24T00:00:00"/>
    <s v="C1661"/>
    <x v="3"/>
    <s v="Spain"/>
    <s v="P50741"/>
    <s v="Sportswear Set"/>
    <s v="Apparel"/>
    <s v="S342"/>
    <s v="Crescent Logistics"/>
    <s v="Europe"/>
    <s v="WH 06"/>
    <s v="Amsterdam"/>
    <x v="0"/>
    <n v="284"/>
    <n v="93.41"/>
    <n v="26528.44"/>
    <n v="15.2"/>
    <n v="11"/>
    <n v="16"/>
    <n v="2904"/>
    <x v="0"/>
    <x v="0"/>
    <n v="6033.05"/>
  </r>
  <r>
    <n v="100715"/>
    <d v="2024-11-18T00:00:00"/>
    <d v="2024-11-19T00:00:00"/>
    <d v="2024-11-27T00:00:00"/>
    <s v="C5570"/>
    <x v="4"/>
    <s v="Turkey"/>
    <s v="P44283"/>
    <s v="Router"/>
    <s v="Electronics"/>
    <s v="S674"/>
    <s v="Evergreen Partners"/>
    <s v="North America"/>
    <s v="WH 02"/>
    <s v="Lahore"/>
    <x v="0"/>
    <n v="356"/>
    <n v="101.1"/>
    <n v="35991.599999999999"/>
    <n v="22.57"/>
    <n v="8"/>
    <n v="9"/>
    <n v="1546"/>
    <x v="0"/>
    <x v="0"/>
    <n v="4023"/>
  </r>
  <r>
    <n v="100716"/>
    <d v="2024-12-01T00:00:00"/>
    <d v="2024-12-04T00:00:00"/>
    <d v="2024-12-12T00:00:00"/>
    <s v="C6373"/>
    <x v="1"/>
    <s v="Egypt"/>
    <s v="P74068"/>
    <s v="Toothpaste Box"/>
    <s v="FMCG"/>
    <s v="S497"/>
    <s v="Pioneer Distribution"/>
    <s v="Africa"/>
    <s v="WH 04"/>
    <s v="Istanbul"/>
    <x v="3"/>
    <n v="254"/>
    <n v="24.43"/>
    <n v="6205.22"/>
    <n v="12.49"/>
    <n v="8"/>
    <n v="11"/>
    <n v="4906"/>
    <x v="0"/>
    <x v="0"/>
    <n v="568.28"/>
  </r>
  <r>
    <n v="100717"/>
    <d v="2024-08-05T00:00:00"/>
    <d v="2024-08-07T00:00:00"/>
    <d v="2024-08-24T00:00:00"/>
    <s v="C7516"/>
    <x v="4"/>
    <s v="Turkey"/>
    <s v="P92336"/>
    <s v="Detergent Bag"/>
    <s v="FMCG"/>
    <s v="S130"/>
    <s v="Vertex Manufacturing"/>
    <s v="Africa"/>
    <s v="WH 04"/>
    <s v="Istanbul"/>
    <x v="3"/>
    <n v="377"/>
    <n v="41.5"/>
    <n v="15645.5"/>
    <n v="19.850000000000001"/>
    <n v="17"/>
    <n v="19"/>
    <n v="407"/>
    <x v="1"/>
    <x v="3"/>
    <n v="961.87"/>
  </r>
  <r>
    <n v="100718"/>
    <d v="2024-09-28T00:00:00"/>
    <d v="2024-09-30T00:00:00"/>
    <d v="2024-10-13T00:00:00"/>
    <s v="C1255"/>
    <x v="0"/>
    <s v="Bangladesh"/>
    <s v="P86555"/>
    <s v="Bookshelf"/>
    <s v="Furniture"/>
    <s v="S227"/>
    <s v="Vertex Manufacturing"/>
    <s v="Asia"/>
    <s v="WH 02"/>
    <s v="Lahore"/>
    <x v="2"/>
    <n v="335"/>
    <n v="147.88999999999999"/>
    <n v="49543.15"/>
    <n v="10.46"/>
    <n v="13"/>
    <n v="15"/>
    <n v="602"/>
    <x v="1"/>
    <x v="2"/>
    <n v="7191.42"/>
  </r>
  <r>
    <n v="100719"/>
    <d v="2025-04-17T00:00:00"/>
    <d v="2025-04-20T00:00:00"/>
    <d v="2025-04-29T00:00:00"/>
    <s v="C1347"/>
    <x v="4"/>
    <s v="Qatar"/>
    <s v="P34741"/>
    <s v="Denim Jeans"/>
    <s v="Apparel"/>
    <s v="S447"/>
    <s v="Zenith Procurement"/>
    <s v="North America"/>
    <s v="WH 10"/>
    <s v="Cairo"/>
    <x v="3"/>
    <n v="346"/>
    <n v="78.02"/>
    <n v="26994.92"/>
    <n v="19.100000000000001"/>
    <n v="9"/>
    <n v="12"/>
    <n v="2923"/>
    <x v="0"/>
    <x v="0"/>
    <n v="6401.61"/>
  </r>
  <r>
    <n v="100720"/>
    <d v="2025-04-10T00:00:00"/>
    <d v="2025-04-12T00:00:00"/>
    <d v="2025-04-15T00:00:00"/>
    <s v="C3274"/>
    <x v="2"/>
    <s v="United States"/>
    <s v="P94390"/>
    <s v="Socks Pack"/>
    <s v="Apparel"/>
    <s v="S171"/>
    <s v="Pioneer Distribution"/>
    <s v="Africa"/>
    <s v="WH 03"/>
    <s v="Dubai"/>
    <x v="0"/>
    <n v="252"/>
    <n v="66.64"/>
    <n v="16793.28"/>
    <n v="19.62"/>
    <n v="3"/>
    <n v="5"/>
    <n v="1218"/>
    <x v="1"/>
    <x v="2"/>
    <n v="4446.28"/>
  </r>
  <r>
    <n v="100721"/>
    <d v="2024-01-22T00:00:00"/>
    <d v="2024-01-25T00:00:00"/>
    <d v="2024-02-06T00:00:00"/>
    <s v="C3285"/>
    <x v="0"/>
    <s v="Vietnam"/>
    <s v="P62076"/>
    <s v="Toothpaste Box"/>
    <s v="FMCG"/>
    <s v="S379"/>
    <s v="Zenith Procurement"/>
    <s v="Europe"/>
    <s v="WH 02"/>
    <s v="Lahore"/>
    <x v="3"/>
    <n v="28"/>
    <n v="38.58"/>
    <n v="1080.24"/>
    <n v="11.37"/>
    <n v="12"/>
    <n v="15"/>
    <n v="670"/>
    <x v="0"/>
    <x v="0"/>
    <n v="125.46"/>
  </r>
  <r>
    <n v="100722"/>
    <d v="2024-10-30T00:00:00"/>
    <d v="2024-11-03T00:00:00"/>
    <d v="2024-11-09T00:00:00"/>
    <s v="C3422"/>
    <x v="0"/>
    <s v="India"/>
    <s v="P95548"/>
    <s v="First Aid Kit"/>
    <s v="Healthcare"/>
    <s v="S480"/>
    <s v="Nova Industrial"/>
    <s v="Asia"/>
    <s v="WH 06"/>
    <s v="Amsterdam"/>
    <x v="0"/>
    <n v="483"/>
    <n v="37.22"/>
    <n v="17977.259999999998"/>
    <n v="19.38"/>
    <n v="6"/>
    <n v="10"/>
    <n v="868"/>
    <x v="1"/>
    <x v="2"/>
    <n v="1803.44"/>
  </r>
  <r>
    <n v="100723"/>
    <d v="2025-07-03T00:00:00"/>
    <d v="2025-07-05T00:00:00"/>
    <d v="2025-07-07T00:00:00"/>
    <s v="C3347"/>
    <x v="2"/>
    <s v="Canada"/>
    <s v="P57650"/>
    <s v="Office Chair"/>
    <s v="Furniture"/>
    <s v="S826"/>
    <s v="Zenith Procurement"/>
    <s v="Europe"/>
    <s v="WH 09"/>
    <s v="Johannesburg"/>
    <x v="0"/>
    <n v="228"/>
    <n v="81.39"/>
    <n v="18556.919999999998"/>
    <n v="18.940000000000001"/>
    <n v="2"/>
    <n v="4"/>
    <n v="1381"/>
    <x v="2"/>
    <x v="0"/>
    <n v="2700.72"/>
  </r>
  <r>
    <n v="100724"/>
    <d v="2025-12-09T00:00:00"/>
    <d v="2025-12-12T00:00:00"/>
    <d v="2026-01-04T00:00:00"/>
    <s v="C7169"/>
    <x v="3"/>
    <s v="Netherlands"/>
    <s v="P99710"/>
    <s v="Hand Sanitizer Case"/>
    <s v="Healthcare"/>
    <s v="S553"/>
    <s v="Summit Supply Co"/>
    <s v="Middle East"/>
    <s v="WH 10"/>
    <s v="Cairo"/>
    <x v="2"/>
    <n v="132"/>
    <n v="72.23"/>
    <n v="9534.36"/>
    <n v="10.42"/>
    <n v="23"/>
    <n v="26"/>
    <n v="2927"/>
    <x v="0"/>
    <x v="0"/>
    <n v="1039.53"/>
  </r>
  <r>
    <n v="100725"/>
    <d v="2024-01-11T00:00:00"/>
    <d v="2024-01-15T00:00:00"/>
    <d v="2024-02-01T00:00:00"/>
    <s v="C7103"/>
    <x v="0"/>
    <s v="Malaysia"/>
    <s v="P82219"/>
    <s v="Thermometer"/>
    <s v="Healthcare"/>
    <s v="S817"/>
    <s v="Orion Supplies"/>
    <s v="North America"/>
    <s v="WH 03"/>
    <s v="Dubai"/>
    <x v="2"/>
    <n v="396"/>
    <n v="35.369999999999997"/>
    <n v="14006.52"/>
    <n v="15.24"/>
    <n v="17"/>
    <n v="21"/>
    <n v="3995"/>
    <x v="0"/>
    <x v="0"/>
    <n v="1341.84"/>
  </r>
  <r>
    <n v="100726"/>
    <d v="2024-08-21T00:00:00"/>
    <d v="2024-08-25T00:00:00"/>
    <d v="2024-08-27T00:00:00"/>
    <s v="C7319"/>
    <x v="2"/>
    <s v="United States"/>
    <s v="P69021"/>
    <s v="Hand Sanitizer Case"/>
    <s v="Healthcare"/>
    <s v="S548"/>
    <s v="Orion Supplies"/>
    <s v="Middle East"/>
    <s v="WH 01"/>
    <s v="Karachi"/>
    <x v="0"/>
    <n v="89"/>
    <n v="30.83"/>
    <n v="2743.87"/>
    <n v="15"/>
    <n v="2"/>
    <n v="6"/>
    <n v="1606"/>
    <x v="2"/>
    <x v="0"/>
    <n v="502.34"/>
  </r>
  <r>
    <n v="100727"/>
    <d v="2025-02-22T00:00:00"/>
    <d v="2025-02-22T00:00:00"/>
    <d v="2025-03-03T00:00:00"/>
    <s v="C2758"/>
    <x v="4"/>
    <s v="Qatar"/>
    <s v="P45367"/>
    <s v="T Shirt Bundle"/>
    <s v="Apparel"/>
    <s v="S596"/>
    <s v="Orion Supplies"/>
    <s v="North America"/>
    <s v="WH 07"/>
    <s v="Toronto"/>
    <x v="0"/>
    <n v="191"/>
    <n v="98.39"/>
    <n v="18792.490000000002"/>
    <n v="17.89"/>
    <n v="9"/>
    <n v="9"/>
    <n v="2896"/>
    <x v="0"/>
    <x v="0"/>
    <n v="3022.16"/>
  </r>
  <r>
    <n v="100728"/>
    <d v="2024-04-24T00:00:00"/>
    <d v="2024-04-29T00:00:00"/>
    <d v="2024-05-15T00:00:00"/>
    <s v="C2041"/>
    <x v="4"/>
    <s v="Turkey"/>
    <s v="P40099"/>
    <s v="Wireless Earbuds"/>
    <s v="Electronics"/>
    <s v="S912"/>
    <s v="Pioneer Distribution"/>
    <s v="Africa"/>
    <s v="WH 09"/>
    <s v="Johannesburg"/>
    <x v="2"/>
    <n v="201"/>
    <n v="400.57"/>
    <n v="80514.570000000007"/>
    <n v="11.68"/>
    <n v="16"/>
    <n v="21"/>
    <n v="1678"/>
    <x v="0"/>
    <x v="0"/>
    <n v="15243.69"/>
  </r>
  <r>
    <n v="100729"/>
    <d v="2025-06-24T00:00:00"/>
    <d v="2025-06-29T00:00:00"/>
    <d v="2025-07-09T00:00:00"/>
    <s v="C1675"/>
    <x v="3"/>
    <s v="France"/>
    <s v="P33052"/>
    <s v="Face Mask Box"/>
    <s v="Healthcare"/>
    <s v="S446"/>
    <s v="Summit Supply Co"/>
    <s v="Asia"/>
    <s v="WH 01"/>
    <s v="Karachi"/>
    <x v="0"/>
    <n v="181"/>
    <n v="19.21"/>
    <n v="3477.01"/>
    <n v="17.61"/>
    <n v="10"/>
    <n v="15"/>
    <n v="2959"/>
    <x v="0"/>
    <x v="0"/>
    <n v="307.69"/>
  </r>
  <r>
    <n v="100730"/>
    <d v="2025-02-27T00:00:00"/>
    <d v="2025-03-03T00:00:00"/>
    <d v="2025-03-25T00:00:00"/>
    <s v="C9448"/>
    <x v="1"/>
    <s v="Nigeria"/>
    <s v="P88497"/>
    <s v="Sportswear Set"/>
    <s v="Apparel"/>
    <s v="S167"/>
    <s v="Evergreen Partners"/>
    <s v="Europe"/>
    <s v="WH 01"/>
    <s v="Karachi"/>
    <x v="2"/>
    <n v="353"/>
    <n v="71.12"/>
    <n v="25105.360000000001"/>
    <n v="14.45"/>
    <n v="22"/>
    <n v="26"/>
    <n v="2588"/>
    <x v="1"/>
    <x v="1"/>
    <n v="-156.09"/>
  </r>
  <r>
    <n v="100731"/>
    <d v="2025-04-08T00:00:00"/>
    <d v="2025-04-09T00:00:00"/>
    <d v="2025-04-14T00:00:00"/>
    <s v="C2797"/>
    <x v="2"/>
    <s v="Canada"/>
    <s v="P68268"/>
    <s v="Denim Jeans"/>
    <s v="Apparel"/>
    <s v="S884"/>
    <s v="Summit Supply Co"/>
    <s v="North America"/>
    <s v="WH 01"/>
    <s v="Karachi"/>
    <x v="1"/>
    <n v="382"/>
    <n v="49.62"/>
    <n v="18954.84"/>
    <n v="39.46"/>
    <n v="5"/>
    <n v="6"/>
    <n v="2605"/>
    <x v="2"/>
    <x v="0"/>
    <n v="4326.5200000000004"/>
  </r>
  <r>
    <n v="100732"/>
    <d v="2024-06-18T00:00:00"/>
    <d v="2024-06-22T00:00:00"/>
    <d v="2024-06-26T00:00:00"/>
    <s v="C7200"/>
    <x v="4"/>
    <s v="United Arab Emirates"/>
    <s v="P98913"/>
    <s v="Hand Sanitizer Case"/>
    <s v="Healthcare"/>
    <s v="S198"/>
    <s v="Atlas Sourcing"/>
    <s v="Europe"/>
    <s v="WH 06"/>
    <s v="Amsterdam"/>
    <x v="1"/>
    <n v="413"/>
    <n v="37.229999999999997"/>
    <n v="15375.99"/>
    <n v="55.27"/>
    <n v="4"/>
    <n v="8"/>
    <n v="1043"/>
    <x v="0"/>
    <x v="0"/>
    <n v="1873.38"/>
  </r>
  <r>
    <n v="100733"/>
    <d v="2024-01-08T00:00:00"/>
    <d v="2024-01-08T00:00:00"/>
    <d v="2024-01-22T00:00:00"/>
    <s v="C3196"/>
    <x v="3"/>
    <s v="Germany"/>
    <s v="P56104"/>
    <s v="Storage Cabinet"/>
    <s v="Furniture"/>
    <s v="S754"/>
    <s v="Vertex Manufacturing"/>
    <s v="Europe"/>
    <s v="WH 07"/>
    <s v="Toronto"/>
    <x v="3"/>
    <n v="254"/>
    <n v="160.9"/>
    <n v="40868.6"/>
    <n v="12.49"/>
    <n v="14"/>
    <n v="14"/>
    <n v="604"/>
    <x v="0"/>
    <x v="0"/>
    <n v="7009.69"/>
  </r>
  <r>
    <n v="100734"/>
    <d v="2024-11-19T00:00:00"/>
    <d v="2024-11-23T00:00:00"/>
    <d v="2024-12-06T00:00:00"/>
    <s v="C7852"/>
    <x v="1"/>
    <s v="Kenya"/>
    <s v="P65781"/>
    <s v="Bookshelf"/>
    <s v="Furniture"/>
    <s v="S897"/>
    <s v="Vertex Manufacturing"/>
    <s v="North America"/>
    <s v="WH 08"/>
    <s v="Chicago"/>
    <x v="2"/>
    <n v="97"/>
    <n v="244.34"/>
    <n v="23700.98"/>
    <n v="9.7899999999999991"/>
    <n v="13"/>
    <n v="17"/>
    <n v="1025"/>
    <x v="0"/>
    <x v="0"/>
    <n v="4306.1499999999996"/>
  </r>
  <r>
    <n v="100735"/>
    <d v="2024-05-22T00:00:00"/>
    <d v="2024-05-26T00:00:00"/>
    <d v="2024-06-17T00:00:00"/>
    <s v="C8444"/>
    <x v="3"/>
    <s v="Poland"/>
    <s v="P20510"/>
    <s v="Detergent Bag"/>
    <s v="FMCG"/>
    <s v="S113"/>
    <s v="Summit Supply Co"/>
    <s v="Europe"/>
    <s v="WH 03"/>
    <s v="Dubai"/>
    <x v="2"/>
    <n v="307"/>
    <n v="35.58"/>
    <n v="10923.06"/>
    <n v="10.08"/>
    <n v="22"/>
    <n v="26"/>
    <n v="3898"/>
    <x v="0"/>
    <x v="0"/>
    <n v="901"/>
  </r>
  <r>
    <n v="100736"/>
    <d v="2024-02-21T00:00:00"/>
    <d v="2024-02-21T00:00:00"/>
    <d v="2024-02-26T00:00:00"/>
    <s v="C8018"/>
    <x v="1"/>
    <s v="Kenya"/>
    <s v="P82746"/>
    <s v="Study Table"/>
    <s v="Furniture"/>
    <s v="S746"/>
    <s v="Vertex Manufacturing"/>
    <s v="Europe"/>
    <s v="WH 06"/>
    <s v="Amsterdam"/>
    <x v="1"/>
    <n v="382"/>
    <n v="324.89999999999998"/>
    <n v="124111.8"/>
    <n v="53.27"/>
    <n v="5"/>
    <n v="5"/>
    <n v="2074"/>
    <x v="2"/>
    <x v="0"/>
    <n v="18309.490000000002"/>
  </r>
  <r>
    <n v="100737"/>
    <d v="2025-12-07T00:00:00"/>
    <d v="2025-12-08T00:00:00"/>
    <d v="2025-12-14T00:00:00"/>
    <s v="C7900"/>
    <x v="1"/>
    <s v="Morocco"/>
    <s v="P79000"/>
    <s v="Smart Watch"/>
    <s v="Electronics"/>
    <s v="S311"/>
    <s v="Zenith Procurement"/>
    <s v="Europe"/>
    <s v="WH 01"/>
    <s v="Karachi"/>
    <x v="0"/>
    <n v="165"/>
    <n v="165.29"/>
    <n v="27272.85"/>
    <n v="17.149999999999999"/>
    <n v="6"/>
    <n v="7"/>
    <n v="1668"/>
    <x v="2"/>
    <x v="0"/>
    <n v="2235.87"/>
  </r>
  <r>
    <n v="100738"/>
    <d v="2024-11-06T00:00:00"/>
    <d v="2024-11-07T00:00:00"/>
    <d v="2024-11-08T00:00:00"/>
    <s v="C7158"/>
    <x v="4"/>
    <s v="Oman"/>
    <s v="P15806"/>
    <s v="Sportswear Set"/>
    <s v="Apparel"/>
    <s v="S358"/>
    <s v="Nova Industrial"/>
    <s v="Europe"/>
    <s v="WH 04"/>
    <s v="Istanbul"/>
    <x v="1"/>
    <n v="220"/>
    <n v="25.95"/>
    <n v="5709"/>
    <n v="42.77"/>
    <n v="1"/>
    <n v="2"/>
    <n v="763"/>
    <x v="2"/>
    <x v="0"/>
    <n v="1564.02"/>
  </r>
  <r>
    <n v="100739"/>
    <d v="2024-11-26T00:00:00"/>
    <d v="2024-11-30T00:00:00"/>
    <d v="2024-12-02T00:00:00"/>
    <s v="C6493"/>
    <x v="3"/>
    <s v="France"/>
    <s v="P17232"/>
    <s v="Router"/>
    <s v="Electronics"/>
    <s v="S486"/>
    <s v="Vertex Manufacturing"/>
    <s v="North America"/>
    <s v="WH 10"/>
    <s v="Cairo"/>
    <x v="0"/>
    <n v="291"/>
    <n v="253.86"/>
    <n v="73873.259999999995"/>
    <n v="20.72"/>
    <n v="2"/>
    <n v="6"/>
    <n v="1103"/>
    <x v="2"/>
    <x v="0"/>
    <n v="10108.99"/>
  </r>
  <r>
    <n v="100740"/>
    <d v="2024-04-14T00:00:00"/>
    <d v="2024-04-14T00:00:00"/>
    <d v="2024-05-03T00:00:00"/>
    <s v="C7742"/>
    <x v="1"/>
    <s v="Kenya"/>
    <s v="P31300"/>
    <s v="Shampoo Pack"/>
    <s v="FMCG"/>
    <s v="S740"/>
    <s v="Zenith Procurement"/>
    <s v="Asia"/>
    <s v="WH 08"/>
    <s v="Chicago"/>
    <x v="2"/>
    <n v="267"/>
    <n v="9.77"/>
    <n v="2608.59"/>
    <n v="12.89"/>
    <n v="19"/>
    <n v="19"/>
    <n v="4857"/>
    <x v="0"/>
    <x v="0"/>
    <n v="-86.35"/>
  </r>
  <r>
    <n v="100741"/>
    <d v="2025-01-19T00:00:00"/>
    <d v="2025-01-22T00:00:00"/>
    <d v="2025-02-11T00:00:00"/>
    <s v="C3611"/>
    <x v="1"/>
    <s v="Morocco"/>
    <s v="P32075"/>
    <s v="Bookshelf"/>
    <s v="Furniture"/>
    <s v="S645"/>
    <s v="Crescent Logistics"/>
    <s v="Middle East"/>
    <s v="WH 08"/>
    <s v="Chicago"/>
    <x v="2"/>
    <n v="105"/>
    <n v="125.88"/>
    <n v="13217.4"/>
    <n v="9.93"/>
    <n v="20"/>
    <n v="23"/>
    <n v="1995"/>
    <x v="0"/>
    <x v="0"/>
    <n v="3001.99"/>
  </r>
  <r>
    <n v="100742"/>
    <d v="2025-02-20T00:00:00"/>
    <d v="2025-02-25T00:00:00"/>
    <d v="2025-03-03T00:00:00"/>
    <s v="C2417"/>
    <x v="3"/>
    <s v="France"/>
    <s v="P35230"/>
    <s v="Toothpaste Box"/>
    <s v="FMCG"/>
    <s v="S494"/>
    <s v="Orion Supplies"/>
    <s v="Middle East"/>
    <s v="WH 01"/>
    <s v="Karachi"/>
    <x v="3"/>
    <n v="120"/>
    <n v="21.12"/>
    <n v="2534.4"/>
    <n v="13.61"/>
    <n v="6"/>
    <n v="11"/>
    <n v="3472"/>
    <x v="0"/>
    <x v="0"/>
    <n v="276.66000000000003"/>
  </r>
  <r>
    <n v="100743"/>
    <d v="2025-12-11T00:00:00"/>
    <d v="2025-12-11T00:00:00"/>
    <d v="2025-12-15T00:00:00"/>
    <s v="C3196"/>
    <x v="4"/>
    <s v="Saudi Arabia"/>
    <s v="P44674"/>
    <s v="Toothpaste Box"/>
    <s v="FMCG"/>
    <s v="S797"/>
    <s v="BlueRiver Trading"/>
    <s v="Europe"/>
    <s v="WH 08"/>
    <s v="Chicago"/>
    <x v="1"/>
    <n v="117"/>
    <n v="27.48"/>
    <n v="3215.16"/>
    <n v="36.090000000000003"/>
    <n v="4"/>
    <n v="4"/>
    <n v="2116"/>
    <x v="2"/>
    <x v="0"/>
    <n v="209.74"/>
  </r>
  <r>
    <n v="100744"/>
    <d v="2024-04-18T00:00:00"/>
    <d v="2024-04-19T00:00:00"/>
    <d v="2024-04-25T00:00:00"/>
    <s v="C3322"/>
    <x v="2"/>
    <s v="Canada"/>
    <s v="P60100"/>
    <s v="Bottled Water Case"/>
    <s v="FMCG"/>
    <s v="S342"/>
    <s v="Evergreen Partners"/>
    <s v="Asia"/>
    <s v="WH 10"/>
    <s v="Cairo"/>
    <x v="3"/>
    <n v="273"/>
    <n v="48.25"/>
    <n v="13172.25"/>
    <n v="17.329999999999998"/>
    <n v="6"/>
    <n v="7"/>
    <n v="4930"/>
    <x v="1"/>
    <x v="1"/>
    <n v="-132.99"/>
  </r>
  <r>
    <n v="100745"/>
    <d v="2024-11-06T00:00:00"/>
    <d v="2024-11-07T00:00:00"/>
    <d v="2024-11-16T00:00:00"/>
    <s v="C6604"/>
    <x v="2"/>
    <s v="Canada"/>
    <s v="P65894"/>
    <s v="Thermometer"/>
    <s v="Healthcare"/>
    <s v="S119"/>
    <s v="Vertex Manufacturing"/>
    <s v="Africa"/>
    <s v="WH 09"/>
    <s v="Johannesburg"/>
    <x v="3"/>
    <n v="278"/>
    <n v="74.27"/>
    <n v="20647.060000000001"/>
    <n v="17.45"/>
    <n v="9"/>
    <n v="10"/>
    <n v="3191"/>
    <x v="0"/>
    <x v="0"/>
    <n v="2999.36"/>
  </r>
  <r>
    <n v="100746"/>
    <d v="2024-04-10T00:00:00"/>
    <d v="2024-04-11T00:00:00"/>
    <d v="2024-04-13T00:00:00"/>
    <s v="C3343"/>
    <x v="1"/>
    <s v="South Africa"/>
    <s v="P62107"/>
    <s v="Floor Lamp"/>
    <s v="Furniture"/>
    <s v="S229"/>
    <s v="Orion Supplies"/>
    <s v="Europe"/>
    <s v="WH 09"/>
    <s v="Johannesburg"/>
    <x v="0"/>
    <n v="165"/>
    <n v="200.87"/>
    <n v="33143.550000000003"/>
    <n v="17.149999999999999"/>
    <n v="2"/>
    <n v="3"/>
    <n v="1029"/>
    <x v="2"/>
    <x v="0"/>
    <n v="5815.32"/>
  </r>
  <r>
    <n v="100747"/>
    <d v="2024-04-11T00:00:00"/>
    <d v="2024-04-11T00:00:00"/>
    <d v="2024-04-15T00:00:00"/>
    <s v="C2626"/>
    <x v="0"/>
    <s v="Indonesia"/>
    <s v="P73822"/>
    <s v="Storage Cabinet"/>
    <s v="Furniture"/>
    <s v="S185"/>
    <s v="Orion Supplies"/>
    <s v="Europe"/>
    <s v="WH 05"/>
    <s v="Frankfurt"/>
    <x v="3"/>
    <n v="231"/>
    <n v="106.54"/>
    <n v="24610.74"/>
    <n v="16.309999999999999"/>
    <n v="4"/>
    <n v="4"/>
    <n v="2157"/>
    <x v="2"/>
    <x v="0"/>
    <n v="5861.61"/>
  </r>
  <r>
    <n v="100748"/>
    <d v="2025-06-28T00:00:00"/>
    <d v="2025-07-01T00:00:00"/>
    <d v="2025-07-09T00:00:00"/>
    <s v="C6411"/>
    <x v="4"/>
    <s v="Qatar"/>
    <s v="P88672"/>
    <s v="Sportswear Set"/>
    <s v="Apparel"/>
    <s v="S955"/>
    <s v="Crescent Logistics"/>
    <s v="Middle East"/>
    <s v="WH 05"/>
    <s v="Frankfurt"/>
    <x v="3"/>
    <n v="414"/>
    <n v="87.08"/>
    <n v="36051.120000000003"/>
    <n v="15.37"/>
    <n v="8"/>
    <n v="11"/>
    <n v="1025"/>
    <x v="0"/>
    <x v="0"/>
    <n v="8812.99"/>
  </r>
  <r>
    <n v="100749"/>
    <d v="2025-10-25T00:00:00"/>
    <d v="2025-10-26T00:00:00"/>
    <d v="2025-11-04T00:00:00"/>
    <s v="C4527"/>
    <x v="1"/>
    <s v="Kenya"/>
    <s v="P30927"/>
    <s v="Floor Lamp"/>
    <s v="Furniture"/>
    <s v="S887"/>
    <s v="BlueRiver Trading"/>
    <s v="Africa"/>
    <s v="WH 02"/>
    <s v="Lahore"/>
    <x v="0"/>
    <n v="337"/>
    <n v="127.32"/>
    <n v="42906.84"/>
    <n v="16.32"/>
    <n v="9"/>
    <n v="10"/>
    <n v="639"/>
    <x v="1"/>
    <x v="2"/>
    <n v="5749.16"/>
  </r>
  <r>
    <n v="100750"/>
    <d v="2025-06-18T00:00:00"/>
    <d v="2025-06-23T00:00:00"/>
    <d v="2025-07-16T00:00:00"/>
    <s v="C9651"/>
    <x v="1"/>
    <s v="Morocco"/>
    <s v="P49743"/>
    <s v="Bottled Water Case"/>
    <s v="FMCG"/>
    <s v="S604"/>
    <s v="Evergreen Partners"/>
    <s v="North America"/>
    <s v="WH 08"/>
    <s v="Chicago"/>
    <x v="2"/>
    <n v="317"/>
    <n v="39.229999999999997"/>
    <n v="12435.91"/>
    <n v="13.8"/>
    <n v="23"/>
    <n v="28"/>
    <n v="4720"/>
    <x v="0"/>
    <x v="0"/>
    <n v="1593.69"/>
  </r>
  <r>
    <n v="100751"/>
    <d v="2025-05-16T00:00:00"/>
    <d v="2025-05-16T00:00:00"/>
    <d v="2025-05-23T00:00:00"/>
    <s v="C9823"/>
    <x v="3"/>
    <s v="Spain"/>
    <s v="P72142"/>
    <s v="First Aid Kit"/>
    <s v="Healthcare"/>
    <s v="S508"/>
    <s v="Pioneer Distribution"/>
    <s v="Asia"/>
    <s v="WH 05"/>
    <s v="Frankfurt"/>
    <x v="0"/>
    <n v="479"/>
    <n v="48.33"/>
    <n v="23150.07"/>
    <n v="26.05"/>
    <n v="7"/>
    <n v="7"/>
    <n v="1756"/>
    <x v="2"/>
    <x v="0"/>
    <n v="2343.61"/>
  </r>
  <r>
    <n v="100752"/>
    <d v="2025-02-08T00:00:00"/>
    <d v="2025-02-08T00:00:00"/>
    <d v="2025-02-13T00:00:00"/>
    <s v="C3952"/>
    <x v="3"/>
    <s v="Poland"/>
    <s v="P83616"/>
    <s v="Bluetooth Speaker"/>
    <s v="Electronics"/>
    <s v="S146"/>
    <s v="BlueRiver Trading"/>
    <s v="Middle East"/>
    <s v="WH 06"/>
    <s v="Amsterdam"/>
    <x v="1"/>
    <n v="222"/>
    <n v="390.11"/>
    <n v="86604.42"/>
    <n v="42.9"/>
    <n v="5"/>
    <n v="5"/>
    <n v="1644"/>
    <x v="2"/>
    <x v="0"/>
    <n v="18376.349999999999"/>
  </r>
  <r>
    <n v="100753"/>
    <d v="2024-09-17T00:00:00"/>
    <d v="2024-09-17T00:00:00"/>
    <d v="2024-09-26T00:00:00"/>
    <s v="C8614"/>
    <x v="1"/>
    <s v="Egypt"/>
    <s v="P74361"/>
    <s v="Thermometer"/>
    <s v="Healthcare"/>
    <s v="S321"/>
    <s v="Crescent Logistics"/>
    <s v="Middle East"/>
    <s v="WH 09"/>
    <s v="Johannesburg"/>
    <x v="0"/>
    <n v="61"/>
    <n v="34.200000000000003"/>
    <n v="2086.1999999999998"/>
    <n v="14.2"/>
    <n v="9"/>
    <n v="9"/>
    <n v="740"/>
    <x v="0"/>
    <x v="0"/>
    <n v="266.3"/>
  </r>
  <r>
    <n v="100754"/>
    <d v="2024-11-04T00:00:00"/>
    <d v="2024-11-06T00:00:00"/>
    <d v="2024-11-19T00:00:00"/>
    <s v="C8013"/>
    <x v="0"/>
    <s v="Vietnam"/>
    <s v="P88047"/>
    <s v="Snack Carton"/>
    <s v="FMCG"/>
    <s v="S355"/>
    <s v="Vertex Manufacturing"/>
    <s v="Europe"/>
    <s v="WH 03"/>
    <s v="Dubai"/>
    <x v="3"/>
    <n v="189"/>
    <n v="19.559999999999999"/>
    <n v="3696.84"/>
    <n v="15.28"/>
    <n v="13"/>
    <n v="15"/>
    <n v="3994"/>
    <x v="0"/>
    <x v="0"/>
    <n v="536.89"/>
  </r>
  <r>
    <n v="100755"/>
    <d v="2024-12-29T00:00:00"/>
    <d v="2024-12-30T00:00:00"/>
    <d v="2025-01-14T00:00:00"/>
    <s v="C8187"/>
    <x v="3"/>
    <s v="Sweden"/>
    <s v="P69405"/>
    <s v="Power Bank"/>
    <s v="Electronics"/>
    <s v="S232"/>
    <s v="Nova Industrial"/>
    <s v="North America"/>
    <s v="WH 08"/>
    <s v="Chicago"/>
    <x v="2"/>
    <n v="434"/>
    <n v="75.8"/>
    <n v="32897.199999999997"/>
    <n v="15.93"/>
    <n v="15"/>
    <n v="16"/>
    <n v="941"/>
    <x v="0"/>
    <x v="0"/>
    <n v="1429.74"/>
  </r>
  <r>
    <n v="100756"/>
    <d v="2025-06-28T00:00:00"/>
    <d v="2025-07-01T00:00:00"/>
    <d v="2025-07-05T00:00:00"/>
    <s v="C2183"/>
    <x v="3"/>
    <s v="Germany"/>
    <s v="P30719"/>
    <s v="Toothpaste Box"/>
    <s v="FMCG"/>
    <s v="S522"/>
    <s v="Orion Supplies"/>
    <s v="Africa"/>
    <s v="WH 05"/>
    <s v="Frankfurt"/>
    <x v="1"/>
    <n v="486"/>
    <n v="33.229999999999997"/>
    <n v="16149.78"/>
    <n v="60"/>
    <n v="4"/>
    <n v="7"/>
    <n v="2203"/>
    <x v="2"/>
    <x v="0"/>
    <n v="1034.53"/>
  </r>
  <r>
    <n v="100757"/>
    <d v="2024-10-14T00:00:00"/>
    <d v="2024-10-18T00:00:00"/>
    <d v="2024-10-25T00:00:00"/>
    <s v="C5791"/>
    <x v="4"/>
    <s v="Oman"/>
    <s v="P87850"/>
    <s v="Storage Cabinet"/>
    <s v="Furniture"/>
    <s v="S265"/>
    <s v="Orion Supplies"/>
    <s v="Africa"/>
    <s v="WH 08"/>
    <s v="Chicago"/>
    <x v="0"/>
    <n v="327"/>
    <n v="281.79000000000002"/>
    <n v="92145.33"/>
    <n v="21.74"/>
    <n v="7"/>
    <n v="11"/>
    <n v="1009"/>
    <x v="0"/>
    <x v="0"/>
    <n v="18952.5"/>
  </r>
  <r>
    <n v="100758"/>
    <d v="2025-02-21T00:00:00"/>
    <d v="2025-02-24T00:00:00"/>
    <d v="2025-03-21T00:00:00"/>
    <s v="C2919"/>
    <x v="3"/>
    <s v="Netherlands"/>
    <s v="P52595"/>
    <s v="Floor Lamp"/>
    <s v="Furniture"/>
    <s v="S501"/>
    <s v="Evergreen Partners"/>
    <s v="Middle East"/>
    <s v="WH 02"/>
    <s v="Lahore"/>
    <x v="2"/>
    <n v="14"/>
    <n v="329.27"/>
    <n v="4609.78"/>
    <n v="8.27"/>
    <n v="25"/>
    <n v="28"/>
    <n v="303"/>
    <x v="1"/>
    <x v="3"/>
    <n v="578.01"/>
  </r>
  <r>
    <n v="100759"/>
    <d v="2024-12-07T00:00:00"/>
    <d v="2024-12-11T00:00:00"/>
    <d v="2024-12-19T00:00:00"/>
    <s v="C7189"/>
    <x v="3"/>
    <s v="Netherlands"/>
    <s v="P43910"/>
    <s v="Socks Pack"/>
    <s v="Apparel"/>
    <s v="S630"/>
    <s v="Summit Supply Co"/>
    <s v="Europe"/>
    <s v="WH 01"/>
    <s v="Karachi"/>
    <x v="0"/>
    <n v="456"/>
    <n v="73.17"/>
    <n v="33365.519999999997"/>
    <n v="18.82"/>
    <n v="8"/>
    <n v="12"/>
    <n v="894"/>
    <x v="0"/>
    <x v="0"/>
    <n v="8893.5400000000009"/>
  </r>
  <r>
    <n v="100760"/>
    <d v="2025-05-22T00:00:00"/>
    <d v="2025-05-27T00:00:00"/>
    <d v="2025-06-16T00:00:00"/>
    <s v="C1839"/>
    <x v="3"/>
    <s v="Germany"/>
    <s v="P34578"/>
    <s v="T Shirt Bundle"/>
    <s v="Apparel"/>
    <s v="S127"/>
    <s v="Crescent Logistics"/>
    <s v="Asia"/>
    <s v="WH 10"/>
    <s v="Cairo"/>
    <x v="2"/>
    <n v="390"/>
    <n v="86.1"/>
    <n v="33579"/>
    <n v="15.13"/>
    <n v="20"/>
    <n v="25"/>
    <n v="2087"/>
    <x v="0"/>
    <x v="0"/>
    <n v="7156.98"/>
  </r>
  <r>
    <n v="100761"/>
    <d v="2025-07-24T00:00:00"/>
    <d v="2025-07-26T00:00:00"/>
    <d v="2025-07-29T00:00:00"/>
    <s v="C7446"/>
    <x v="2"/>
    <s v="United States"/>
    <s v="P12654"/>
    <s v="Bluetooth Speaker"/>
    <s v="Electronics"/>
    <s v="S752"/>
    <s v="Evergreen Partners"/>
    <s v="Europe"/>
    <s v="WH 03"/>
    <s v="Dubai"/>
    <x v="1"/>
    <n v="343"/>
    <n v="288.2"/>
    <n v="98852.6"/>
    <n v="50.74"/>
    <n v="3"/>
    <n v="5"/>
    <n v="411"/>
    <x v="2"/>
    <x v="0"/>
    <n v="15419.59"/>
  </r>
  <r>
    <n v="100762"/>
    <d v="2025-01-10T00:00:00"/>
    <d v="2025-01-15T00:00:00"/>
    <d v="2025-01-19T00:00:00"/>
    <s v="C5919"/>
    <x v="1"/>
    <s v="Morocco"/>
    <s v="P36819"/>
    <s v="Thermometer"/>
    <s v="Healthcare"/>
    <s v="S577"/>
    <s v="Crescent Logistics"/>
    <s v="Middle East"/>
    <s v="WH 10"/>
    <s v="Cairo"/>
    <x v="1"/>
    <n v="427"/>
    <n v="22.32"/>
    <n v="9530.64"/>
    <n v="56.18"/>
    <n v="4"/>
    <n v="9"/>
    <n v="767"/>
    <x v="1"/>
    <x v="2"/>
    <n v="784.48"/>
  </r>
  <r>
    <n v="100763"/>
    <d v="2025-11-03T00:00:00"/>
    <d v="2025-11-07T00:00:00"/>
    <d v="2025-11-11T00:00:00"/>
    <s v="C8820"/>
    <x v="0"/>
    <s v="Pakistan"/>
    <s v="P28170"/>
    <s v="Hoodie"/>
    <s v="Apparel"/>
    <s v="S695"/>
    <s v="Zenith Procurement"/>
    <s v="Middle East"/>
    <s v="WH 02"/>
    <s v="Lahore"/>
    <x v="1"/>
    <n v="443"/>
    <n v="76.739999999999995"/>
    <n v="33995.82"/>
    <n v="57.22"/>
    <n v="4"/>
    <n v="8"/>
    <n v="2064"/>
    <x v="0"/>
    <x v="0"/>
    <n v="4101.03"/>
  </r>
  <r>
    <n v="100764"/>
    <d v="2025-07-15T00:00:00"/>
    <d v="2025-07-16T00:00:00"/>
    <d v="2025-07-26T00:00:00"/>
    <s v="C5861"/>
    <x v="1"/>
    <s v="South Africa"/>
    <s v="P73582"/>
    <s v="Sportswear Set"/>
    <s v="Apparel"/>
    <s v="S948"/>
    <s v="Crescent Logistics"/>
    <s v="Asia"/>
    <s v="WH 05"/>
    <s v="Frankfurt"/>
    <x v="3"/>
    <n v="226"/>
    <n v="117.21"/>
    <n v="26489.46"/>
    <n v="16.18"/>
    <n v="10"/>
    <n v="11"/>
    <n v="2977"/>
    <x v="0"/>
    <x v="0"/>
    <n v="4000.04"/>
  </r>
  <r>
    <n v="100765"/>
    <d v="2024-09-28T00:00:00"/>
    <d v="2024-09-28T00:00:00"/>
    <d v="2024-10-01T00:00:00"/>
    <s v="C8254"/>
    <x v="1"/>
    <s v="Egypt"/>
    <s v="P22941"/>
    <s v="First Aid Kit"/>
    <s v="Healthcare"/>
    <s v="S745"/>
    <s v="Atlas Sourcing"/>
    <s v="Africa"/>
    <s v="WH 01"/>
    <s v="Karachi"/>
    <x v="1"/>
    <n v="482"/>
    <n v="18.12"/>
    <n v="8733.84"/>
    <n v="44.26"/>
    <n v="3"/>
    <n v="3"/>
    <n v="4099"/>
    <x v="2"/>
    <x v="0"/>
    <n v="1392.66"/>
  </r>
  <r>
    <n v="100766"/>
    <d v="2024-10-20T00:00:00"/>
    <d v="2024-10-21T00:00:00"/>
    <d v="2024-11-01T00:00:00"/>
    <s v="C9711"/>
    <x v="1"/>
    <s v="Morocco"/>
    <s v="P73079"/>
    <s v="Power Bank"/>
    <s v="Electronics"/>
    <s v="S836"/>
    <s v="Vertex Manufacturing"/>
    <s v="North America"/>
    <s v="WH 07"/>
    <s v="Toronto"/>
    <x v="0"/>
    <n v="43"/>
    <n v="354.76"/>
    <n v="15254.68"/>
    <n v="13.69"/>
    <n v="11"/>
    <n v="12"/>
    <n v="1301"/>
    <x v="0"/>
    <x v="0"/>
    <n v="3191.27"/>
  </r>
  <r>
    <n v="100767"/>
    <d v="2025-03-14T00:00:00"/>
    <d v="2025-03-16T00:00:00"/>
    <d v="2025-03-21T00:00:00"/>
    <s v="C7227"/>
    <x v="2"/>
    <s v="Mexico"/>
    <s v="P23280"/>
    <s v="Thermometer"/>
    <s v="Healthcare"/>
    <s v="S563"/>
    <s v="Zenith Procurement"/>
    <s v="Europe"/>
    <s v="WH 10"/>
    <s v="Cairo"/>
    <x v="1"/>
    <n v="327"/>
    <n v="75.58"/>
    <n v="24714.66"/>
    <n v="49.7"/>
    <n v="5"/>
    <n v="7"/>
    <n v="3551"/>
    <x v="2"/>
    <x v="0"/>
    <n v="3046.11"/>
  </r>
  <r>
    <n v="100768"/>
    <d v="2025-03-23T00:00:00"/>
    <d v="2025-03-24T00:00:00"/>
    <d v="2025-04-06T00:00:00"/>
    <s v="C9955"/>
    <x v="1"/>
    <s v="Egypt"/>
    <s v="P83230"/>
    <s v="Study Table"/>
    <s v="Furniture"/>
    <s v="S834"/>
    <s v="Vertex Manufacturing"/>
    <s v="Europe"/>
    <s v="WH 05"/>
    <s v="Frankfurt"/>
    <x v="3"/>
    <n v="388"/>
    <n v="179.67"/>
    <n v="69711.960000000006"/>
    <n v="20.12"/>
    <n v="13"/>
    <n v="14"/>
    <n v="650"/>
    <x v="0"/>
    <x v="0"/>
    <n v="16557.72"/>
  </r>
  <r>
    <n v="100769"/>
    <d v="2024-12-08T00:00:00"/>
    <d v="2024-12-08T00:00:00"/>
    <d v="2024-12-21T00:00:00"/>
    <s v="C3368"/>
    <x v="0"/>
    <s v="Pakistan"/>
    <s v="P39203"/>
    <s v="Power Bank"/>
    <s v="Electronics"/>
    <s v="S388"/>
    <s v="BlueRiver Trading"/>
    <s v="Europe"/>
    <s v="WH 10"/>
    <s v="Cairo"/>
    <x v="2"/>
    <n v="498"/>
    <n v="330.6"/>
    <n v="164638.79999999999"/>
    <n v="17.100000000000001"/>
    <n v="13"/>
    <n v="13"/>
    <n v="301"/>
    <x v="0"/>
    <x v="0"/>
    <n v="20825.28"/>
  </r>
  <r>
    <n v="100770"/>
    <d v="2024-08-04T00:00:00"/>
    <d v="2024-08-05T00:00:00"/>
    <d v="2024-08-19T00:00:00"/>
    <s v="C3939"/>
    <x v="4"/>
    <s v="United Arab Emirates"/>
    <s v="P63214"/>
    <s v="Hoodie"/>
    <s v="Apparel"/>
    <s v="S689"/>
    <s v="Summit Supply Co"/>
    <s v="Europe"/>
    <s v="WH 01"/>
    <s v="Karachi"/>
    <x v="3"/>
    <n v="444"/>
    <n v="113.69"/>
    <n v="50478.36"/>
    <n v="21.48"/>
    <n v="14"/>
    <n v="15"/>
    <n v="967"/>
    <x v="0"/>
    <x v="0"/>
    <n v="11511"/>
  </r>
  <r>
    <n v="100771"/>
    <d v="2024-05-11T00:00:00"/>
    <d v="2024-05-14T00:00:00"/>
    <d v="2024-06-08T00:00:00"/>
    <s v="C7764"/>
    <x v="2"/>
    <s v="Canada"/>
    <s v="P71836"/>
    <s v="Wireless Earbuds"/>
    <s v="Electronics"/>
    <s v="S279"/>
    <s v="Nova Industrial"/>
    <s v="Africa"/>
    <s v="WH 09"/>
    <s v="Johannesburg"/>
    <x v="2"/>
    <n v="67"/>
    <n v="78.459999999999994"/>
    <n v="5256.82"/>
    <n v="9.24"/>
    <n v="25"/>
    <n v="28"/>
    <n v="1664"/>
    <x v="1"/>
    <x v="3"/>
    <n v="918.89"/>
  </r>
  <r>
    <n v="100772"/>
    <d v="2025-08-04T00:00:00"/>
    <d v="2025-08-04T00:00:00"/>
    <d v="2025-08-05T00:00:00"/>
    <s v="C6733"/>
    <x v="0"/>
    <s v="Pakistan"/>
    <s v="P67207"/>
    <s v="Hoodie"/>
    <s v="Apparel"/>
    <s v="S817"/>
    <s v="Evergreen Partners"/>
    <s v="Africa"/>
    <s v="WH 10"/>
    <s v="Cairo"/>
    <x v="1"/>
    <n v="154"/>
    <n v="19.23"/>
    <n v="2961.42"/>
    <n v="38.49"/>
    <n v="1"/>
    <n v="1"/>
    <n v="3190"/>
    <x v="2"/>
    <x v="0"/>
    <n v="311.02"/>
  </r>
  <r>
    <n v="100773"/>
    <d v="2025-06-01T00:00:00"/>
    <d v="2025-06-01T00:00:00"/>
    <d v="2025-06-05T00:00:00"/>
    <s v="C7194"/>
    <x v="3"/>
    <s v="France"/>
    <s v="P27883"/>
    <s v="Hoodie"/>
    <s v="Apparel"/>
    <s v="S186"/>
    <s v="Pioneer Distribution"/>
    <s v="Middle East"/>
    <s v="WH 01"/>
    <s v="Karachi"/>
    <x v="0"/>
    <n v="77"/>
    <n v="43.61"/>
    <n v="3357.97"/>
    <n v="14.66"/>
    <n v="4"/>
    <n v="4"/>
    <n v="3263"/>
    <x v="2"/>
    <x v="0"/>
    <n v="863.76"/>
  </r>
  <r>
    <n v="100774"/>
    <d v="2024-04-21T00:00:00"/>
    <d v="2024-04-25T00:00:00"/>
    <d v="2024-05-11T00:00:00"/>
    <s v="C5121"/>
    <x v="4"/>
    <s v="Saudi Arabia"/>
    <s v="P16553"/>
    <s v="Storage Cabinet"/>
    <s v="Furniture"/>
    <s v="S857"/>
    <s v="Zenith Procurement"/>
    <s v="Middle East"/>
    <s v="WH 07"/>
    <s v="Toronto"/>
    <x v="2"/>
    <n v="28"/>
    <n v="298.32"/>
    <n v="8352.9599999999991"/>
    <n v="6.32"/>
    <n v="16"/>
    <n v="20"/>
    <n v="1605"/>
    <x v="0"/>
    <x v="0"/>
    <n v="1767.34"/>
  </r>
  <r>
    <n v="100775"/>
    <d v="2025-01-30T00:00:00"/>
    <d v="2025-01-31T00:00:00"/>
    <d v="2025-02-02T00:00:00"/>
    <s v="C3311"/>
    <x v="1"/>
    <s v="Nigeria"/>
    <s v="P91556"/>
    <s v="Hand Sanitizer Case"/>
    <s v="Healthcare"/>
    <s v="S889"/>
    <s v="Summit Supply Co"/>
    <s v="Africa"/>
    <s v="WH 01"/>
    <s v="Karachi"/>
    <x v="0"/>
    <n v="283"/>
    <n v="29.06"/>
    <n v="8223.98"/>
    <n v="15.18"/>
    <n v="2"/>
    <n v="3"/>
    <n v="371"/>
    <x v="2"/>
    <x v="0"/>
    <n v="1113.69"/>
  </r>
  <r>
    <n v="100776"/>
    <d v="2024-01-26T00:00:00"/>
    <d v="2024-01-27T00:00:00"/>
    <d v="2024-02-13T00:00:00"/>
    <s v="C4766"/>
    <x v="1"/>
    <s v="Nigeria"/>
    <s v="P68097"/>
    <s v="T Shirt Bundle"/>
    <s v="Apparel"/>
    <s v="S665"/>
    <s v="Crescent Logistics"/>
    <s v="North America"/>
    <s v="WH 01"/>
    <s v="Karachi"/>
    <x v="2"/>
    <n v="471"/>
    <n v="119.69"/>
    <n v="56373.99"/>
    <n v="16.600000000000001"/>
    <n v="17"/>
    <n v="18"/>
    <n v="2852"/>
    <x v="0"/>
    <x v="0"/>
    <n v="8195.4599999999991"/>
  </r>
  <r>
    <n v="100777"/>
    <d v="2025-08-21T00:00:00"/>
    <d v="2025-08-23T00:00:00"/>
    <d v="2025-08-28T00:00:00"/>
    <s v="C3523"/>
    <x v="4"/>
    <s v="Turkey"/>
    <s v="P81695"/>
    <s v="Detergent Bag"/>
    <s v="FMCG"/>
    <s v="S459"/>
    <s v="Vertex Manufacturing"/>
    <s v="Middle East"/>
    <s v="WH 03"/>
    <s v="Dubai"/>
    <x v="1"/>
    <n v="496"/>
    <n v="42.11"/>
    <n v="20886.560000000001"/>
    <n v="44.93"/>
    <n v="5"/>
    <n v="7"/>
    <n v="1464"/>
    <x v="2"/>
    <x v="0"/>
    <n v="3328.16"/>
  </r>
  <r>
    <n v="100778"/>
    <d v="2025-02-16T00:00:00"/>
    <d v="2025-02-20T00:00:00"/>
    <d v="2025-02-27T00:00:00"/>
    <s v="C3711"/>
    <x v="2"/>
    <s v="Mexico"/>
    <s v="P20529"/>
    <s v="T Shirt Bundle"/>
    <s v="Apparel"/>
    <s v="S531"/>
    <s v="Nova Industrial"/>
    <s v="Middle East"/>
    <s v="WH 02"/>
    <s v="Lahore"/>
    <x v="0"/>
    <n v="277"/>
    <n v="93.96"/>
    <n v="26026.92"/>
    <n v="20.329999999999998"/>
    <n v="7"/>
    <n v="11"/>
    <n v="1428"/>
    <x v="0"/>
    <x v="0"/>
    <n v="6464.87"/>
  </r>
  <r>
    <n v="100779"/>
    <d v="2024-08-14T00:00:00"/>
    <d v="2024-08-14T00:00:00"/>
    <d v="2024-08-27T00:00:00"/>
    <s v="C1376"/>
    <x v="3"/>
    <s v="Italy"/>
    <s v="P63365"/>
    <s v="Bookshelf"/>
    <s v="Furniture"/>
    <s v="S104"/>
    <s v="Atlas Sourcing"/>
    <s v="Africa"/>
    <s v="WH 05"/>
    <s v="Frankfurt"/>
    <x v="3"/>
    <n v="453"/>
    <n v="110.02"/>
    <n v="49839.06"/>
    <n v="21.7"/>
    <n v="13"/>
    <n v="13"/>
    <n v="689"/>
    <x v="0"/>
    <x v="0"/>
    <n v="10754.79"/>
  </r>
  <r>
    <n v="100780"/>
    <d v="2025-04-13T00:00:00"/>
    <d v="2025-04-13T00:00:00"/>
    <d v="2025-04-26T00:00:00"/>
    <s v="C2919"/>
    <x v="0"/>
    <s v="Bangladesh"/>
    <s v="P60070"/>
    <s v="Smart Watch"/>
    <s v="Electronics"/>
    <s v="S249"/>
    <s v="BlueRiver Trading"/>
    <s v="Middle East"/>
    <s v="WH 09"/>
    <s v="Johannesburg"/>
    <x v="2"/>
    <n v="461"/>
    <n v="360.91"/>
    <n v="166379.51"/>
    <n v="16.420000000000002"/>
    <n v="13"/>
    <n v="13"/>
    <n v="631"/>
    <x v="0"/>
    <x v="0"/>
    <n v="29975.66"/>
  </r>
  <r>
    <n v="100781"/>
    <d v="2025-05-28T00:00:00"/>
    <d v="2025-05-28T00:00:00"/>
    <d v="2025-05-30T00:00:00"/>
    <s v="C2656"/>
    <x v="4"/>
    <s v="Turkey"/>
    <s v="P74315"/>
    <s v="Toothpaste Box"/>
    <s v="FMCG"/>
    <s v="S346"/>
    <s v="Zenith Procurement"/>
    <s v="Middle East"/>
    <s v="WH 09"/>
    <s v="Johannesburg"/>
    <x v="0"/>
    <n v="443"/>
    <n v="28.75"/>
    <n v="12736.25"/>
    <n v="18.54"/>
    <n v="2"/>
    <n v="2"/>
    <n v="3310"/>
    <x v="2"/>
    <x v="0"/>
    <n v="1549.63"/>
  </r>
  <r>
    <n v="100782"/>
    <d v="2025-10-09T00:00:00"/>
    <d v="2025-10-12T00:00:00"/>
    <d v="2025-10-14T00:00:00"/>
    <s v="C7621"/>
    <x v="2"/>
    <s v="United States"/>
    <s v="P27776"/>
    <s v="Router"/>
    <s v="Electronics"/>
    <s v="S778"/>
    <s v="Crescent Logistics"/>
    <s v="Europe"/>
    <s v="WH 01"/>
    <s v="Karachi"/>
    <x v="1"/>
    <n v="438"/>
    <n v="434.75"/>
    <n v="190420.5"/>
    <n v="56.89"/>
    <n v="2"/>
    <n v="5"/>
    <n v="1239"/>
    <x v="2"/>
    <x v="0"/>
    <n v="26261.14"/>
  </r>
  <r>
    <n v="100783"/>
    <d v="2025-07-20T00:00:00"/>
    <d v="2025-07-23T00:00:00"/>
    <d v="2025-07-27T00:00:00"/>
    <s v="C9621"/>
    <x v="4"/>
    <s v="Turkey"/>
    <s v="P20547"/>
    <s v="Bluetooth Speaker"/>
    <s v="Electronics"/>
    <s v="S749"/>
    <s v="Nova Industrial"/>
    <s v="Asia"/>
    <s v="WH 10"/>
    <s v="Cairo"/>
    <x v="3"/>
    <n v="183"/>
    <n v="288.83"/>
    <n v="52855.89"/>
    <n v="15.14"/>
    <n v="4"/>
    <n v="7"/>
    <n v="1756"/>
    <x v="2"/>
    <x v="0"/>
    <n v="7774.67"/>
  </r>
  <r>
    <n v="100784"/>
    <d v="2024-02-29T00:00:00"/>
    <d v="2024-03-01T00:00:00"/>
    <d v="2024-03-13T00:00:00"/>
    <s v="C9167"/>
    <x v="2"/>
    <s v="Canada"/>
    <s v="P77005"/>
    <s v="Bluetooth Speaker"/>
    <s v="Electronics"/>
    <s v="S972"/>
    <s v="Summit Supply Co"/>
    <s v="North America"/>
    <s v="WH 01"/>
    <s v="Karachi"/>
    <x v="0"/>
    <n v="238"/>
    <n v="219.59"/>
    <n v="52262.42"/>
    <n v="14.24"/>
    <n v="12"/>
    <n v="13"/>
    <n v="883"/>
    <x v="1"/>
    <x v="3"/>
    <n v="5522.94"/>
  </r>
  <r>
    <n v="100785"/>
    <d v="2024-12-18T00:00:00"/>
    <d v="2024-12-21T00:00:00"/>
    <d v="2024-12-26T00:00:00"/>
    <s v="C8849"/>
    <x v="3"/>
    <s v="Italy"/>
    <s v="P63806"/>
    <s v="Toothpaste Box"/>
    <s v="FMCG"/>
    <s v="S360"/>
    <s v="Nova Industrial"/>
    <s v="North America"/>
    <s v="WH 09"/>
    <s v="Johannesburg"/>
    <x v="1"/>
    <n v="226"/>
    <n v="34.68"/>
    <n v="7837.68"/>
    <n v="43.16"/>
    <n v="5"/>
    <n v="8"/>
    <n v="1485"/>
    <x v="0"/>
    <x v="0"/>
    <n v="1132.43"/>
  </r>
  <r>
    <n v="100786"/>
    <d v="2025-11-30T00:00:00"/>
    <d v="2025-12-02T00:00:00"/>
    <d v="2025-12-07T00:00:00"/>
    <s v="C7208"/>
    <x v="4"/>
    <s v="United Arab Emirates"/>
    <s v="P84092"/>
    <s v="Denim Jeans"/>
    <s v="Apparel"/>
    <s v="S920"/>
    <s v="Crescent Logistics"/>
    <s v="North America"/>
    <s v="WH 02"/>
    <s v="Lahore"/>
    <x v="1"/>
    <n v="493"/>
    <n v="39.799999999999997"/>
    <n v="19621.400000000001"/>
    <n v="60.46"/>
    <n v="5"/>
    <n v="7"/>
    <n v="2074"/>
    <x v="2"/>
    <x v="0"/>
    <n v="4341.8900000000003"/>
  </r>
  <r>
    <n v="100787"/>
    <d v="2025-02-24T00:00:00"/>
    <d v="2025-02-25T00:00:00"/>
    <d v="2025-03-01T00:00:00"/>
    <s v="C7028"/>
    <x v="1"/>
    <s v="Morocco"/>
    <s v="P22207"/>
    <s v="Vitamin Pack"/>
    <s v="Healthcare"/>
    <s v="S614"/>
    <s v="Atlas Sourcing"/>
    <s v="Africa"/>
    <s v="WH 06"/>
    <s v="Amsterdam"/>
    <x v="0"/>
    <n v="202"/>
    <n v="23.7"/>
    <n v="4787.3999999999996"/>
    <n v="13.48"/>
    <n v="4"/>
    <n v="5"/>
    <n v="1072"/>
    <x v="2"/>
    <x v="0"/>
    <n v="758.6"/>
  </r>
  <r>
    <n v="100788"/>
    <d v="2025-09-18T00:00:00"/>
    <d v="2025-09-22T00:00:00"/>
    <d v="2025-09-27T00:00:00"/>
    <s v="C7655"/>
    <x v="2"/>
    <s v="United States"/>
    <s v="P98110"/>
    <s v="Socks Pack"/>
    <s v="Apparel"/>
    <s v="S871"/>
    <s v="Atlas Sourcing"/>
    <s v="Europe"/>
    <s v="WH 02"/>
    <s v="Lahore"/>
    <x v="1"/>
    <n v="237"/>
    <n v="71.010000000000005"/>
    <n v="16829.37"/>
    <n v="43.87"/>
    <n v="5"/>
    <n v="9"/>
    <n v="671"/>
    <x v="0"/>
    <x v="0"/>
    <n v="1953.06"/>
  </r>
  <r>
    <n v="100789"/>
    <d v="2025-03-11T00:00:00"/>
    <d v="2025-03-13T00:00:00"/>
    <d v="2025-03-14T00:00:00"/>
    <s v="C1142"/>
    <x v="1"/>
    <s v="Nigeria"/>
    <s v="P31446"/>
    <s v="Face Mask Box"/>
    <s v="Healthcare"/>
    <s v="S903"/>
    <s v="Orion Supplies"/>
    <s v="Europe"/>
    <s v="WH 01"/>
    <s v="Karachi"/>
    <x v="1"/>
    <n v="407"/>
    <n v="79.77"/>
    <n v="32466.39"/>
    <n v="54.89"/>
    <n v="1"/>
    <n v="3"/>
    <n v="917"/>
    <x v="2"/>
    <x v="0"/>
    <n v="2538.88"/>
  </r>
  <r>
    <n v="100790"/>
    <d v="2025-01-16T00:00:00"/>
    <d v="2025-01-21T00:00:00"/>
    <d v="2025-01-27T00:00:00"/>
    <s v="C1949"/>
    <x v="0"/>
    <s v="Pakistan"/>
    <s v="P64596"/>
    <s v="Office Chair"/>
    <s v="Furniture"/>
    <s v="S621"/>
    <s v="BlueRiver Trading"/>
    <s v="Middle East"/>
    <s v="WH 07"/>
    <s v="Toronto"/>
    <x v="3"/>
    <n v="498"/>
    <n v="286.82"/>
    <n v="142836.35999999999"/>
    <n v="22.79"/>
    <n v="6"/>
    <n v="11"/>
    <n v="404"/>
    <x v="0"/>
    <x v="0"/>
    <n v="24388.57"/>
  </r>
  <r>
    <n v="100791"/>
    <d v="2024-06-16T00:00:00"/>
    <d v="2024-06-21T00:00:00"/>
    <d v="2024-07-13T00:00:00"/>
    <s v="C3537"/>
    <x v="1"/>
    <s v="Morocco"/>
    <s v="P24690"/>
    <s v="Storage Cabinet"/>
    <s v="Furniture"/>
    <s v="S295"/>
    <s v="Zenith Procurement"/>
    <s v="North America"/>
    <s v="WH 06"/>
    <s v="Amsterdam"/>
    <x v="2"/>
    <n v="42"/>
    <n v="130.33000000000001"/>
    <n v="5473.86"/>
    <n v="8.7799999999999994"/>
    <n v="22"/>
    <n v="27"/>
    <n v="1052"/>
    <x v="0"/>
    <x v="0"/>
    <n v="1427.83"/>
  </r>
  <r>
    <n v="100792"/>
    <d v="2025-02-12T00:00:00"/>
    <d v="2025-02-13T00:00:00"/>
    <d v="2025-02-25T00:00:00"/>
    <s v="C7299"/>
    <x v="1"/>
    <s v="South Africa"/>
    <s v="P83366"/>
    <s v="Storage Cabinet"/>
    <s v="Furniture"/>
    <s v="S275"/>
    <s v="Crescent Logistics"/>
    <s v="Asia"/>
    <s v="WH 08"/>
    <s v="Chicago"/>
    <x v="2"/>
    <n v="204"/>
    <n v="267.69"/>
    <n v="54608.76"/>
    <n v="11.74"/>
    <n v="12"/>
    <n v="13"/>
    <n v="1497"/>
    <x v="1"/>
    <x v="1"/>
    <n v="-175.59"/>
  </r>
  <r>
    <n v="100793"/>
    <d v="2024-01-13T00:00:00"/>
    <d v="2024-01-18T00:00:00"/>
    <d v="2024-01-22T00:00:00"/>
    <s v="C1158"/>
    <x v="4"/>
    <s v="Qatar"/>
    <s v="P47997"/>
    <s v="Floor Lamp"/>
    <s v="Furniture"/>
    <s v="S648"/>
    <s v="Atlas Sourcing"/>
    <s v="Europe"/>
    <s v="WH 03"/>
    <s v="Dubai"/>
    <x v="0"/>
    <n v="286"/>
    <n v="205.66"/>
    <n v="58818.76"/>
    <n v="20.58"/>
    <n v="4"/>
    <n v="9"/>
    <n v="1901"/>
    <x v="0"/>
    <x v="0"/>
    <n v="9900.08"/>
  </r>
  <r>
    <n v="100794"/>
    <d v="2024-04-24T00:00:00"/>
    <d v="2024-04-25T00:00:00"/>
    <d v="2024-04-29T00:00:00"/>
    <s v="C8896"/>
    <x v="2"/>
    <s v="Canada"/>
    <s v="P38133"/>
    <s v="Snack Carton"/>
    <s v="FMCG"/>
    <s v="S471"/>
    <s v="Zenith Procurement"/>
    <s v="Middle East"/>
    <s v="WH 08"/>
    <s v="Chicago"/>
    <x v="1"/>
    <n v="224"/>
    <n v="39.75"/>
    <n v="8904"/>
    <n v="43.03"/>
    <n v="4"/>
    <n v="5"/>
    <n v="2606"/>
    <x v="2"/>
    <x v="0"/>
    <n v="1288.06"/>
  </r>
  <r>
    <n v="100795"/>
    <d v="2025-11-18T00:00:00"/>
    <d v="2025-11-22T00:00:00"/>
    <d v="2025-11-28T00:00:00"/>
    <s v="C6645"/>
    <x v="0"/>
    <s v="Malaysia"/>
    <s v="P72513"/>
    <s v="Wireless Earbuds"/>
    <s v="Electronics"/>
    <s v="S683"/>
    <s v="Pioneer Distribution"/>
    <s v="Middle East"/>
    <s v="WH 03"/>
    <s v="Dubai"/>
    <x v="0"/>
    <n v="78"/>
    <n v="355.78"/>
    <n v="27750.84"/>
    <n v="14.69"/>
    <n v="6"/>
    <n v="10"/>
    <n v="65"/>
    <x v="0"/>
    <x v="0"/>
    <n v="3511.42"/>
  </r>
  <r>
    <n v="100796"/>
    <d v="2024-09-04T00:00:00"/>
    <d v="2024-09-04T00:00:00"/>
    <d v="2024-09-14T00:00:00"/>
    <s v="C1356"/>
    <x v="2"/>
    <s v="Mexico"/>
    <s v="P75263"/>
    <s v="First Aid Kit"/>
    <s v="Healthcare"/>
    <s v="S417"/>
    <s v="Summit Supply Co"/>
    <s v="Asia"/>
    <s v="WH 07"/>
    <s v="Toronto"/>
    <x v="1"/>
    <n v="130"/>
    <n v="84.65"/>
    <n v="11004.5"/>
    <n v="36.94"/>
    <n v="10"/>
    <n v="10"/>
    <n v="2480"/>
    <x v="0"/>
    <x v="0"/>
    <n v="1906.87"/>
  </r>
  <r>
    <n v="100797"/>
    <d v="2024-04-23T00:00:00"/>
    <d v="2024-04-27T00:00:00"/>
    <d v="2024-04-30T00:00:00"/>
    <s v="C2487"/>
    <x v="2"/>
    <s v="Mexico"/>
    <s v="P31326"/>
    <s v="Wireless Earbuds"/>
    <s v="Electronics"/>
    <s v="S601"/>
    <s v="Summit Supply Co"/>
    <s v="Middle East"/>
    <s v="WH 07"/>
    <s v="Toronto"/>
    <x v="0"/>
    <n v="450"/>
    <n v="305.67"/>
    <n v="137551.5"/>
    <n v="25.23"/>
    <n v="3"/>
    <n v="7"/>
    <n v="375"/>
    <x v="2"/>
    <x v="0"/>
    <n v="12875.62"/>
  </r>
  <r>
    <n v="100798"/>
    <d v="2024-06-07T00:00:00"/>
    <d v="2024-06-11T00:00:00"/>
    <d v="2024-06-25T00:00:00"/>
    <s v="C7391"/>
    <x v="3"/>
    <s v="Netherlands"/>
    <s v="P88948"/>
    <s v="Detergent Bag"/>
    <s v="FMCG"/>
    <s v="S801"/>
    <s v="Crescent Logistics"/>
    <s v="Middle East"/>
    <s v="WH 07"/>
    <s v="Toronto"/>
    <x v="3"/>
    <n v="105"/>
    <n v="39.450000000000003"/>
    <n v="4142.25"/>
    <n v="13.24"/>
    <n v="14"/>
    <n v="18"/>
    <n v="2669"/>
    <x v="0"/>
    <x v="0"/>
    <n v="383.08"/>
  </r>
  <r>
    <n v="100799"/>
    <d v="2024-10-20T00:00:00"/>
    <d v="2024-10-22T00:00:00"/>
    <d v="2024-10-24T00:00:00"/>
    <s v="C9884"/>
    <x v="2"/>
    <s v="United States"/>
    <s v="P38906"/>
    <s v="Face Mask Box"/>
    <s v="Healthcare"/>
    <s v="S930"/>
    <s v="Evergreen Partners"/>
    <s v="Africa"/>
    <s v="WH 06"/>
    <s v="Amsterdam"/>
    <x v="0"/>
    <n v="346"/>
    <n v="85.7"/>
    <n v="29652.2"/>
    <n v="22.28"/>
    <n v="2"/>
    <n v="4"/>
    <n v="738"/>
    <x v="2"/>
    <x v="0"/>
    <n v="3976.42"/>
  </r>
  <r>
    <n v="100800"/>
    <d v="2024-08-06T00:00:00"/>
    <d v="2024-08-11T00:00:00"/>
    <d v="2024-08-21T00:00:00"/>
    <s v="C5210"/>
    <x v="3"/>
    <s v="Poland"/>
    <s v="P81942"/>
    <s v="Router"/>
    <s v="Electronics"/>
    <s v="S405"/>
    <s v="Pioneer Distribution"/>
    <s v="Asia"/>
    <s v="WH 10"/>
    <s v="Cairo"/>
    <x v="2"/>
    <n v="151"/>
    <n v="412.8"/>
    <n v="62332.800000000003"/>
    <n v="10.77"/>
    <n v="10"/>
    <n v="15"/>
    <n v="256"/>
    <x v="0"/>
    <x v="0"/>
    <n v="8826.0400000000009"/>
  </r>
  <r>
    <n v="100801"/>
    <d v="2024-07-03T00:00:00"/>
    <d v="2024-07-07T00:00:00"/>
    <d v="2024-07-15T00:00:00"/>
    <s v="C6563"/>
    <x v="2"/>
    <s v="Mexico"/>
    <s v="P13188"/>
    <s v="Power Bank"/>
    <s v="Electronics"/>
    <s v="S169"/>
    <s v="Crescent Logistics"/>
    <s v="North America"/>
    <s v="WH 07"/>
    <s v="Toronto"/>
    <x v="3"/>
    <n v="395"/>
    <n v="331.16"/>
    <n v="130808.2"/>
    <n v="15.03"/>
    <n v="8"/>
    <n v="12"/>
    <n v="476"/>
    <x v="0"/>
    <x v="0"/>
    <n v="25895.439999999999"/>
  </r>
  <r>
    <n v="100802"/>
    <d v="2024-08-05T00:00:00"/>
    <d v="2024-08-07T00:00:00"/>
    <d v="2024-08-12T00:00:00"/>
    <s v="C1056"/>
    <x v="1"/>
    <s v="South Africa"/>
    <s v="P68548"/>
    <s v="Face Mask Box"/>
    <s v="Healthcare"/>
    <s v="S345"/>
    <s v="Zenith Procurement"/>
    <s v="Middle East"/>
    <s v="WH 01"/>
    <s v="Karachi"/>
    <x v="0"/>
    <n v="153"/>
    <n v="41.34"/>
    <n v="6325.02"/>
    <n v="16.809999999999999"/>
    <n v="5"/>
    <n v="7"/>
    <n v="1682"/>
    <x v="2"/>
    <x v="0"/>
    <n v="591.75"/>
  </r>
  <r>
    <n v="100803"/>
    <d v="2025-03-17T00:00:00"/>
    <d v="2025-03-17T00:00:00"/>
    <d v="2025-03-24T00:00:00"/>
    <s v="C1944"/>
    <x v="3"/>
    <s v="Sweden"/>
    <s v="P19114"/>
    <s v="Detergent Bag"/>
    <s v="FMCG"/>
    <s v="S822"/>
    <s v="Orion Supplies"/>
    <s v="Europe"/>
    <s v="WH 03"/>
    <s v="Dubai"/>
    <x v="0"/>
    <n v="34"/>
    <n v="23.87"/>
    <n v="811.58"/>
    <n v="9.9499999999999993"/>
    <n v="7"/>
    <n v="7"/>
    <n v="1859"/>
    <x v="2"/>
    <x v="0"/>
    <n v="86.69"/>
  </r>
  <r>
    <n v="100804"/>
    <d v="2024-04-15T00:00:00"/>
    <d v="2024-04-18T00:00:00"/>
    <d v="2024-04-28T00:00:00"/>
    <s v="C2902"/>
    <x v="1"/>
    <s v="Nigeria"/>
    <s v="P40540"/>
    <s v="Storage Cabinet"/>
    <s v="Furniture"/>
    <s v="S303"/>
    <s v="Vertex Manufacturing"/>
    <s v="Middle East"/>
    <s v="WH 04"/>
    <s v="Istanbul"/>
    <x v="3"/>
    <n v="17"/>
    <n v="192.84"/>
    <n v="3278.28"/>
    <n v="11.11"/>
    <n v="10"/>
    <n v="13"/>
    <n v="1183"/>
    <x v="1"/>
    <x v="2"/>
    <n v="397.74"/>
  </r>
  <r>
    <n v="100805"/>
    <d v="2025-10-10T00:00:00"/>
    <d v="2025-10-10T00:00:00"/>
    <d v="2025-10-26T00:00:00"/>
    <s v="C8686"/>
    <x v="2"/>
    <s v="Canada"/>
    <s v="P50647"/>
    <s v="Hand Sanitizer Case"/>
    <s v="Healthcare"/>
    <s v="S435"/>
    <s v="Evergreen Partners"/>
    <s v="North America"/>
    <s v="WH 02"/>
    <s v="Lahore"/>
    <x v="2"/>
    <n v="76"/>
    <n v="62.51"/>
    <n v="4750.76"/>
    <n v="6.97"/>
    <n v="16"/>
    <n v="16"/>
    <n v="1977"/>
    <x v="0"/>
    <x v="0"/>
    <n v="942.33"/>
  </r>
  <r>
    <n v="100806"/>
    <d v="2025-08-25T00:00:00"/>
    <d v="2025-08-30T00:00:00"/>
    <d v="2025-09-11T00:00:00"/>
    <s v="C1949"/>
    <x v="1"/>
    <s v="Morocco"/>
    <s v="P46355"/>
    <s v="Study Table"/>
    <s v="Furniture"/>
    <s v="S187"/>
    <s v="Nova Industrial"/>
    <s v="Asia"/>
    <s v="WH 06"/>
    <s v="Amsterdam"/>
    <x v="0"/>
    <n v="160"/>
    <n v="47"/>
    <n v="7520"/>
    <n v="17.010000000000002"/>
    <n v="12"/>
    <n v="17"/>
    <n v="820"/>
    <x v="1"/>
    <x v="3"/>
    <n v="1247.46"/>
  </r>
  <r>
    <n v="100807"/>
    <d v="2025-04-14T00:00:00"/>
    <d v="2025-04-19T00:00:00"/>
    <d v="2025-04-21T00:00:00"/>
    <s v="C2878"/>
    <x v="0"/>
    <s v="China"/>
    <s v="P68597"/>
    <s v="Hand Sanitizer Case"/>
    <s v="Healthcare"/>
    <s v="S559"/>
    <s v="BlueRiver Trading"/>
    <s v="North America"/>
    <s v="WH 01"/>
    <s v="Karachi"/>
    <x v="0"/>
    <n v="354"/>
    <n v="65.540000000000006"/>
    <n v="23201.16"/>
    <n v="22.51"/>
    <n v="2"/>
    <n v="7"/>
    <n v="4152"/>
    <x v="2"/>
    <x v="0"/>
    <n v="4305.7700000000004"/>
  </r>
  <r>
    <n v="100808"/>
    <d v="2024-01-16T00:00:00"/>
    <d v="2024-01-21T00:00:00"/>
    <d v="2024-02-05T00:00:00"/>
    <s v="C9006"/>
    <x v="4"/>
    <s v="Turkey"/>
    <s v="P41876"/>
    <s v="Bookshelf"/>
    <s v="Furniture"/>
    <s v="S411"/>
    <s v="Evergreen Partners"/>
    <s v="Middle East"/>
    <s v="WH 07"/>
    <s v="Toronto"/>
    <x v="2"/>
    <n v="464"/>
    <n v="230.99"/>
    <n v="107179.36"/>
    <n v="12.2"/>
    <n v="15"/>
    <n v="20"/>
    <n v="1617"/>
    <x v="0"/>
    <x v="0"/>
    <n v="26177.05"/>
  </r>
  <r>
    <n v="100809"/>
    <d v="2025-10-29T00:00:00"/>
    <d v="2025-10-30T00:00:00"/>
    <d v="2025-11-06T00:00:00"/>
    <s v="C3769"/>
    <x v="1"/>
    <s v="Kenya"/>
    <s v="P55499"/>
    <s v="Bottled Water Case"/>
    <s v="FMCG"/>
    <s v="S526"/>
    <s v="Crescent Logistics"/>
    <s v="Europe"/>
    <s v="WH 09"/>
    <s v="Johannesburg"/>
    <x v="3"/>
    <n v="66"/>
    <n v="34.770000000000003"/>
    <n v="2294.8200000000002"/>
    <n v="12.3"/>
    <n v="7"/>
    <n v="8"/>
    <n v="2715"/>
    <x v="0"/>
    <x v="0"/>
    <n v="82.71"/>
  </r>
  <r>
    <n v="100810"/>
    <d v="2024-01-06T00:00:00"/>
    <d v="2024-01-07T00:00:00"/>
    <d v="2024-01-17T00:00:00"/>
    <s v="C7324"/>
    <x v="2"/>
    <s v="Canada"/>
    <s v="P38173"/>
    <s v="Snack Carton"/>
    <s v="FMCG"/>
    <s v="S279"/>
    <s v="Crescent Logistics"/>
    <s v="Europe"/>
    <s v="WH 01"/>
    <s v="Karachi"/>
    <x v="3"/>
    <n v="386"/>
    <n v="25.18"/>
    <n v="9719.48"/>
    <n v="20.07"/>
    <n v="10"/>
    <n v="11"/>
    <n v="3585"/>
    <x v="0"/>
    <x v="0"/>
    <n v="1551.83"/>
  </r>
  <r>
    <n v="100811"/>
    <d v="2025-02-12T00:00:00"/>
    <d v="2025-02-16T00:00:00"/>
    <d v="2025-02-18T00:00:00"/>
    <s v="C1497"/>
    <x v="0"/>
    <s v="India"/>
    <s v="P71161"/>
    <s v="Floor Lamp"/>
    <s v="Furniture"/>
    <s v="S573"/>
    <s v="Crescent Logistics"/>
    <s v="Asia"/>
    <s v="WH 03"/>
    <s v="Dubai"/>
    <x v="0"/>
    <n v="414"/>
    <n v="178.95"/>
    <n v="74085.3"/>
    <n v="17.93"/>
    <n v="2"/>
    <n v="6"/>
    <n v="181"/>
    <x v="2"/>
    <x v="0"/>
    <n v="20188.240000000002"/>
  </r>
  <r>
    <n v="100812"/>
    <d v="2024-01-04T00:00:00"/>
    <d v="2024-01-08T00:00:00"/>
    <d v="2024-01-18T00:00:00"/>
    <s v="C2607"/>
    <x v="4"/>
    <s v="Turkey"/>
    <s v="P12016"/>
    <s v="Storage Cabinet"/>
    <s v="Furniture"/>
    <s v="S602"/>
    <s v="Crescent Logistics"/>
    <s v="Middle East"/>
    <s v="WH 09"/>
    <s v="Johannesburg"/>
    <x v="3"/>
    <n v="453"/>
    <n v="324.64"/>
    <n v="147061.92000000001"/>
    <n v="16.07"/>
    <n v="10"/>
    <n v="14"/>
    <n v="1793"/>
    <x v="0"/>
    <x v="0"/>
    <n v="19462.91"/>
  </r>
  <r>
    <n v="100813"/>
    <d v="2025-01-12T00:00:00"/>
    <d v="2025-01-14T00:00:00"/>
    <d v="2025-01-25T00:00:00"/>
    <s v="C9520"/>
    <x v="1"/>
    <s v="Egypt"/>
    <s v="P93106"/>
    <s v="Bookshelf"/>
    <s v="Furniture"/>
    <s v="S537"/>
    <s v="Atlas Sourcing"/>
    <s v="Europe"/>
    <s v="WH 07"/>
    <s v="Toronto"/>
    <x v="3"/>
    <n v="352"/>
    <n v="65.53"/>
    <n v="23066.560000000001"/>
    <n v="19.25"/>
    <n v="11"/>
    <n v="13"/>
    <n v="1823"/>
    <x v="1"/>
    <x v="2"/>
    <n v="4089.64"/>
  </r>
  <r>
    <n v="100814"/>
    <d v="2024-08-26T00:00:00"/>
    <d v="2024-08-30T00:00:00"/>
    <d v="2024-09-06T00:00:00"/>
    <s v="C4524"/>
    <x v="1"/>
    <s v="Egypt"/>
    <s v="P84534"/>
    <s v="Detergent Bag"/>
    <s v="FMCG"/>
    <s v="S969"/>
    <s v="Nova Industrial"/>
    <s v="Middle East"/>
    <s v="WH 09"/>
    <s v="Johannesburg"/>
    <x v="0"/>
    <n v="395"/>
    <n v="8.33"/>
    <n v="3290.35"/>
    <n v="23.67"/>
    <n v="7"/>
    <n v="11"/>
    <n v="704"/>
    <x v="1"/>
    <x v="2"/>
    <n v="547.42999999999995"/>
  </r>
  <r>
    <n v="100815"/>
    <d v="2024-07-27T00:00:00"/>
    <d v="2024-07-31T00:00:00"/>
    <d v="2024-08-06T00:00:00"/>
    <s v="C1868"/>
    <x v="0"/>
    <s v="Pakistan"/>
    <s v="P36398"/>
    <s v="Face Mask Box"/>
    <s v="Healthcare"/>
    <s v="S782"/>
    <s v="Zenith Procurement"/>
    <s v="Asia"/>
    <s v="WH 10"/>
    <s v="Cairo"/>
    <x v="1"/>
    <n v="86"/>
    <n v="19.64"/>
    <n v="1689.04"/>
    <n v="25.25"/>
    <n v="6"/>
    <n v="10"/>
    <n v="4377"/>
    <x v="0"/>
    <x v="0"/>
    <n v="134.49"/>
  </r>
  <r>
    <n v="100816"/>
    <d v="2024-10-30T00:00:00"/>
    <d v="2024-10-31T00:00:00"/>
    <d v="2024-11-04T00:00:00"/>
    <s v="C3675"/>
    <x v="0"/>
    <s v="India"/>
    <s v="P60665"/>
    <s v="Hand Sanitizer Case"/>
    <s v="Healthcare"/>
    <s v="S880"/>
    <s v="Pioneer Distribution"/>
    <s v="Africa"/>
    <s v="WH 02"/>
    <s v="Lahore"/>
    <x v="3"/>
    <n v="437"/>
    <n v="87.22"/>
    <n v="38115.14"/>
    <n v="21.31"/>
    <n v="4"/>
    <n v="5"/>
    <n v="3207"/>
    <x v="1"/>
    <x v="2"/>
    <n v="4929.43"/>
  </r>
  <r>
    <n v="100817"/>
    <d v="2024-06-04T00:00:00"/>
    <d v="2024-06-05T00:00:00"/>
    <d v="2024-06-11T00:00:00"/>
    <s v="C4030"/>
    <x v="3"/>
    <s v="Spain"/>
    <s v="P76617"/>
    <s v="Router"/>
    <s v="Electronics"/>
    <s v="S353"/>
    <s v="Vertex Manufacturing"/>
    <s v="North America"/>
    <s v="WH 10"/>
    <s v="Cairo"/>
    <x v="0"/>
    <n v="189"/>
    <n v="201.62"/>
    <n v="38106.18"/>
    <n v="17.829999999999998"/>
    <n v="6"/>
    <n v="7"/>
    <n v="1108"/>
    <x v="1"/>
    <x v="2"/>
    <n v="6253.54"/>
  </r>
  <r>
    <n v="100818"/>
    <d v="2024-10-30T00:00:00"/>
    <d v="2024-11-01T00:00:00"/>
    <d v="2024-11-05T00:00:00"/>
    <s v="C6803"/>
    <x v="2"/>
    <s v="Mexico"/>
    <s v="P11214"/>
    <s v="Power Bank"/>
    <s v="Electronics"/>
    <s v="S488"/>
    <s v="Pioneer Distribution"/>
    <s v="Africa"/>
    <s v="WH 08"/>
    <s v="Chicago"/>
    <x v="0"/>
    <n v="224"/>
    <n v="222.39"/>
    <n v="49815.360000000001"/>
    <n v="18.82"/>
    <n v="4"/>
    <n v="6"/>
    <n v="523"/>
    <x v="2"/>
    <x v="0"/>
    <n v="4773.1499999999996"/>
  </r>
  <r>
    <n v="100819"/>
    <d v="2024-05-25T00:00:00"/>
    <d v="2024-05-26T00:00:00"/>
    <d v="2024-05-28T00:00:00"/>
    <s v="C7569"/>
    <x v="4"/>
    <s v="Qatar"/>
    <s v="P60643"/>
    <s v="Hoodie"/>
    <s v="Apparel"/>
    <s v="S193"/>
    <s v="Crescent Logistics"/>
    <s v="Asia"/>
    <s v="WH 10"/>
    <s v="Cairo"/>
    <x v="1"/>
    <n v="115"/>
    <n v="86.68"/>
    <n v="9968.2000000000007"/>
    <n v="35.96"/>
    <n v="2"/>
    <n v="3"/>
    <n v="463"/>
    <x v="2"/>
    <x v="0"/>
    <n v="1104.94"/>
  </r>
  <r>
    <n v="100820"/>
    <d v="2025-10-22T00:00:00"/>
    <d v="2025-10-27T00:00:00"/>
    <d v="2025-10-30T00:00:00"/>
    <s v="C9992"/>
    <x v="1"/>
    <s v="Nigeria"/>
    <s v="P16553"/>
    <s v="Power Bank"/>
    <s v="Electronics"/>
    <s v="S573"/>
    <s v="Vertex Manufacturing"/>
    <s v="Europe"/>
    <s v="WH 10"/>
    <s v="Cairo"/>
    <x v="1"/>
    <n v="365"/>
    <n v="253.51"/>
    <n v="92531.15"/>
    <n v="52.16"/>
    <n v="3"/>
    <n v="8"/>
    <n v="1772"/>
    <x v="0"/>
    <x v="0"/>
    <n v="9369.67"/>
  </r>
  <r>
    <n v="100821"/>
    <d v="2025-11-14T00:00:00"/>
    <d v="2025-11-19T00:00:00"/>
    <d v="2025-11-26T00:00:00"/>
    <s v="C1942"/>
    <x v="2"/>
    <s v="Mexico"/>
    <s v="P56365"/>
    <s v="Vitamin Pack"/>
    <s v="Healthcare"/>
    <s v="S109"/>
    <s v="Nova Industrial"/>
    <s v="Middle East"/>
    <s v="WH 02"/>
    <s v="Lahore"/>
    <x v="0"/>
    <n v="236"/>
    <n v="26.13"/>
    <n v="6166.68"/>
    <n v="19.16"/>
    <n v="7"/>
    <n v="12"/>
    <n v="1820"/>
    <x v="0"/>
    <x v="0"/>
    <n v="423.89"/>
  </r>
  <r>
    <n v="100822"/>
    <d v="2025-05-16T00:00:00"/>
    <d v="2025-05-19T00:00:00"/>
    <d v="2025-06-05T00:00:00"/>
    <s v="C3837"/>
    <x v="1"/>
    <s v="South Africa"/>
    <s v="P84135"/>
    <s v="Hoodie"/>
    <s v="Apparel"/>
    <s v="S651"/>
    <s v="Crescent Logistics"/>
    <s v="Africa"/>
    <s v="WH 05"/>
    <s v="Frankfurt"/>
    <x v="2"/>
    <n v="118"/>
    <n v="66.12"/>
    <n v="7802.16"/>
    <n v="7.53"/>
    <n v="17"/>
    <n v="20"/>
    <n v="829"/>
    <x v="0"/>
    <x v="0"/>
    <n v="1877.26"/>
  </r>
  <r>
    <n v="100823"/>
    <d v="2024-10-12T00:00:00"/>
    <d v="2024-10-13T00:00:00"/>
    <d v="2024-10-18T00:00:00"/>
    <s v="C3423"/>
    <x v="2"/>
    <s v="United States"/>
    <s v="P22906"/>
    <s v="Router"/>
    <s v="Electronics"/>
    <s v="S752"/>
    <s v="Crescent Logistics"/>
    <s v="Africa"/>
    <s v="WH 03"/>
    <s v="Dubai"/>
    <x v="1"/>
    <n v="85"/>
    <n v="67.48"/>
    <n v="5735.8"/>
    <n v="34.020000000000003"/>
    <n v="5"/>
    <n v="6"/>
    <n v="856"/>
    <x v="2"/>
    <x v="0"/>
    <n v="818.5"/>
  </r>
  <r>
    <n v="100824"/>
    <d v="2025-07-16T00:00:00"/>
    <d v="2025-07-19T00:00:00"/>
    <d v="2025-08-01T00:00:00"/>
    <s v="C5103"/>
    <x v="2"/>
    <s v="United States"/>
    <s v="P35968"/>
    <s v="Denim Jeans"/>
    <s v="Apparel"/>
    <s v="S144"/>
    <s v="Pioneer Distribution"/>
    <s v="Europe"/>
    <s v="WH 09"/>
    <s v="Johannesburg"/>
    <x v="3"/>
    <n v="353"/>
    <n v="54.46"/>
    <n v="19224.38"/>
    <n v="19.27"/>
    <n v="13"/>
    <n v="16"/>
    <n v="1792"/>
    <x v="0"/>
    <x v="0"/>
    <n v="4619.07"/>
  </r>
  <r>
    <n v="100825"/>
    <d v="2025-09-24T00:00:00"/>
    <d v="2025-09-27T00:00:00"/>
    <d v="2025-10-03T00:00:00"/>
    <s v="C2138"/>
    <x v="2"/>
    <s v="United States"/>
    <s v="P48575"/>
    <s v="Detergent Bag"/>
    <s v="FMCG"/>
    <s v="S220"/>
    <s v="Crescent Logistics"/>
    <s v="Middle East"/>
    <s v="WH 07"/>
    <s v="Toronto"/>
    <x v="0"/>
    <n v="22"/>
    <n v="22.42"/>
    <n v="493.24"/>
    <n v="13.1"/>
    <n v="6"/>
    <n v="9"/>
    <n v="2510"/>
    <x v="0"/>
    <x v="0"/>
    <n v="26.54"/>
  </r>
  <r>
    <n v="100826"/>
    <d v="2024-03-04T00:00:00"/>
    <d v="2024-03-08T00:00:00"/>
    <d v="2024-03-17T00:00:00"/>
    <s v="C9649"/>
    <x v="3"/>
    <s v="Poland"/>
    <s v="P23890"/>
    <s v="Study Table"/>
    <s v="Furniture"/>
    <s v="S552"/>
    <s v="Atlas Sourcing"/>
    <s v="Africa"/>
    <s v="WH 06"/>
    <s v="Amsterdam"/>
    <x v="3"/>
    <n v="268"/>
    <n v="324.66000000000003"/>
    <n v="87008.88"/>
    <n v="17.2"/>
    <n v="9"/>
    <n v="13"/>
    <n v="1499"/>
    <x v="1"/>
    <x v="2"/>
    <n v="17156.169999999998"/>
  </r>
  <r>
    <n v="100827"/>
    <d v="2024-07-20T00:00:00"/>
    <d v="2024-07-21T00:00:00"/>
    <d v="2024-07-29T00:00:00"/>
    <s v="C9566"/>
    <x v="2"/>
    <s v="United States"/>
    <s v="P81543"/>
    <s v="Smart Watch"/>
    <s v="Electronics"/>
    <s v="S134"/>
    <s v="Pioneer Distribution"/>
    <s v="Middle East"/>
    <s v="WH 08"/>
    <s v="Chicago"/>
    <x v="0"/>
    <n v="378"/>
    <n v="445"/>
    <n v="168210"/>
    <n v="23.19"/>
    <n v="8"/>
    <n v="9"/>
    <n v="270"/>
    <x v="0"/>
    <x v="0"/>
    <n v="17246.150000000001"/>
  </r>
  <r>
    <n v="100828"/>
    <d v="2025-06-05T00:00:00"/>
    <d v="2025-06-09T00:00:00"/>
    <d v="2025-06-11T00:00:00"/>
    <s v="C8161"/>
    <x v="4"/>
    <s v="Turkey"/>
    <s v="P27443"/>
    <s v="Bottled Water Case"/>
    <s v="FMCG"/>
    <s v="S606"/>
    <s v="Evergreen Partners"/>
    <s v="Middle East"/>
    <s v="WH 05"/>
    <s v="Frankfurt"/>
    <x v="1"/>
    <n v="396"/>
    <n v="6.77"/>
    <n v="2680.92"/>
    <n v="40.130000000000003"/>
    <n v="2"/>
    <n v="6"/>
    <n v="4892"/>
    <x v="2"/>
    <x v="0"/>
    <n v="110.48"/>
  </r>
  <r>
    <n v="100829"/>
    <d v="2025-04-14T00:00:00"/>
    <d v="2025-04-18T00:00:00"/>
    <d v="2025-04-30T00:00:00"/>
    <s v="C1594"/>
    <x v="1"/>
    <s v="Egypt"/>
    <s v="P64604"/>
    <s v="Wireless Earbuds"/>
    <s v="Electronics"/>
    <s v="S606"/>
    <s v="Pioneer Distribution"/>
    <s v="Middle East"/>
    <s v="WH 06"/>
    <s v="Amsterdam"/>
    <x v="2"/>
    <n v="291"/>
    <n v="225.46"/>
    <n v="65608.86"/>
    <n v="13.32"/>
    <n v="12"/>
    <n v="16"/>
    <n v="1301"/>
    <x v="0"/>
    <x v="0"/>
    <n v="5866.88"/>
  </r>
  <r>
    <n v="100830"/>
    <d v="2025-07-15T00:00:00"/>
    <d v="2025-07-19T00:00:00"/>
    <d v="2025-07-28T00:00:00"/>
    <s v="C9467"/>
    <x v="0"/>
    <s v="Indonesia"/>
    <s v="P68235"/>
    <s v="Sportswear Set"/>
    <s v="Apparel"/>
    <s v="S112"/>
    <s v="Vertex Manufacturing"/>
    <s v="North America"/>
    <s v="WH 06"/>
    <s v="Amsterdam"/>
    <x v="0"/>
    <n v="12"/>
    <n v="59.56"/>
    <n v="714.72"/>
    <n v="12.81"/>
    <n v="9"/>
    <n v="13"/>
    <n v="3175"/>
    <x v="0"/>
    <x v="0"/>
    <n v="60.1"/>
  </r>
  <r>
    <n v="100831"/>
    <d v="2025-06-30T00:00:00"/>
    <d v="2025-07-05T00:00:00"/>
    <d v="2025-07-08T00:00:00"/>
    <s v="C4377"/>
    <x v="2"/>
    <s v="United States"/>
    <s v="P40105"/>
    <s v="Socks Pack"/>
    <s v="Apparel"/>
    <s v="S102"/>
    <s v="Evergreen Partners"/>
    <s v="Middle East"/>
    <s v="WH 04"/>
    <s v="Istanbul"/>
    <x v="1"/>
    <n v="188"/>
    <n v="35.4"/>
    <n v="6655.2"/>
    <n v="40.69"/>
    <n v="3"/>
    <n v="8"/>
    <n v="1992"/>
    <x v="0"/>
    <x v="0"/>
    <n v="1664.02"/>
  </r>
  <r>
    <n v="100832"/>
    <d v="2024-02-21T00:00:00"/>
    <d v="2024-02-23T00:00:00"/>
    <d v="2024-03-14T00:00:00"/>
    <s v="C8253"/>
    <x v="1"/>
    <s v="Nigeria"/>
    <s v="P89311"/>
    <s v="Snack Carton"/>
    <s v="FMCG"/>
    <s v="S145"/>
    <s v="Summit Supply Co"/>
    <s v="Asia"/>
    <s v="WH 01"/>
    <s v="Karachi"/>
    <x v="2"/>
    <n v="341"/>
    <n v="25.29"/>
    <n v="8623.89"/>
    <n v="14.23"/>
    <n v="20"/>
    <n v="22"/>
    <n v="2357"/>
    <x v="0"/>
    <x v="0"/>
    <n v="661.26"/>
  </r>
  <r>
    <n v="100833"/>
    <d v="2025-10-01T00:00:00"/>
    <d v="2025-10-02T00:00:00"/>
    <d v="2025-10-05T00:00:00"/>
    <s v="C5948"/>
    <x v="0"/>
    <s v="Malaysia"/>
    <s v="P47170"/>
    <s v="Router"/>
    <s v="Electronics"/>
    <s v="S647"/>
    <s v="BlueRiver Trading"/>
    <s v="Middle East"/>
    <s v="WH 06"/>
    <s v="Amsterdam"/>
    <x v="0"/>
    <n v="336"/>
    <n v="126.19"/>
    <n v="42399.839999999997"/>
    <n v="22"/>
    <n v="3"/>
    <n v="4"/>
    <n v="444"/>
    <x v="2"/>
    <x v="0"/>
    <n v="6448.61"/>
  </r>
  <r>
    <n v="100834"/>
    <d v="2025-09-13T00:00:00"/>
    <d v="2025-09-17T00:00:00"/>
    <d v="2025-10-06T00:00:00"/>
    <s v="C1999"/>
    <x v="2"/>
    <s v="Canada"/>
    <s v="P77384"/>
    <s v="Shampoo Pack"/>
    <s v="FMCG"/>
    <s v="S637"/>
    <s v="Orion Supplies"/>
    <s v="Africa"/>
    <s v="WH 02"/>
    <s v="Lahore"/>
    <x v="2"/>
    <n v="271"/>
    <n v="10.89"/>
    <n v="2951.19"/>
    <n v="12.96"/>
    <n v="19"/>
    <n v="23"/>
    <n v="2103"/>
    <x v="0"/>
    <x v="0"/>
    <n v="254.9"/>
  </r>
  <r>
    <n v="100835"/>
    <d v="2024-10-01T00:00:00"/>
    <d v="2024-10-02T00:00:00"/>
    <d v="2024-10-10T00:00:00"/>
    <s v="C6506"/>
    <x v="1"/>
    <s v="Kenya"/>
    <s v="P30605"/>
    <s v="Vitamin Pack"/>
    <s v="Healthcare"/>
    <s v="S866"/>
    <s v="BlueRiver Trading"/>
    <s v="Asia"/>
    <s v="WH 10"/>
    <s v="Cairo"/>
    <x v="0"/>
    <n v="81"/>
    <n v="42.87"/>
    <n v="3472.47"/>
    <n v="14.77"/>
    <n v="8"/>
    <n v="9"/>
    <n v="416"/>
    <x v="0"/>
    <x v="0"/>
    <n v="385.92"/>
  </r>
  <r>
    <n v="100836"/>
    <d v="2025-01-17T00:00:00"/>
    <d v="2025-01-21T00:00:00"/>
    <d v="2025-02-08T00:00:00"/>
    <s v="C6361"/>
    <x v="4"/>
    <s v="Turkey"/>
    <s v="P35475"/>
    <s v="Shampoo Pack"/>
    <s v="FMCG"/>
    <s v="S741"/>
    <s v="Crescent Logistics"/>
    <s v="North America"/>
    <s v="WH 05"/>
    <s v="Frankfurt"/>
    <x v="2"/>
    <n v="236"/>
    <n v="40.08"/>
    <n v="9458.8799999999992"/>
    <n v="12.32"/>
    <n v="18"/>
    <n v="22"/>
    <n v="495"/>
    <x v="0"/>
    <x v="0"/>
    <n v="133.34"/>
  </r>
  <r>
    <n v="100837"/>
    <d v="2024-07-19T00:00:00"/>
    <d v="2024-07-21T00:00:00"/>
    <d v="2024-07-31T00:00:00"/>
    <s v="C8720"/>
    <x v="0"/>
    <s v="China"/>
    <s v="P28830"/>
    <s v="Bookshelf"/>
    <s v="Furniture"/>
    <s v="S933"/>
    <s v="Evergreen Partners"/>
    <s v="North America"/>
    <s v="WH 05"/>
    <s v="Frankfurt"/>
    <x v="3"/>
    <n v="340"/>
    <n v="106.51"/>
    <n v="36213.4"/>
    <n v="18.95"/>
    <n v="10"/>
    <n v="12"/>
    <n v="965"/>
    <x v="0"/>
    <x v="0"/>
    <n v="9093.1299999999992"/>
  </r>
  <r>
    <n v="100838"/>
    <d v="2025-09-20T00:00:00"/>
    <d v="2025-09-22T00:00:00"/>
    <d v="2025-10-09T00:00:00"/>
    <s v="C8463"/>
    <x v="0"/>
    <s v="Bangladesh"/>
    <s v="P60278"/>
    <s v="Power Bank"/>
    <s v="Electronics"/>
    <s v="S735"/>
    <s v="Evergreen Partners"/>
    <s v="North America"/>
    <s v="WH 01"/>
    <s v="Karachi"/>
    <x v="2"/>
    <n v="254"/>
    <n v="220"/>
    <n v="55880"/>
    <n v="12.65"/>
    <n v="17"/>
    <n v="19"/>
    <n v="917"/>
    <x v="0"/>
    <x v="0"/>
    <n v="9899.89"/>
  </r>
  <r>
    <n v="100839"/>
    <d v="2024-12-13T00:00:00"/>
    <d v="2024-12-14T00:00:00"/>
    <d v="2024-12-18T00:00:00"/>
    <s v="C6492"/>
    <x v="2"/>
    <s v="United States"/>
    <s v="P39722"/>
    <s v="Office Chair"/>
    <s v="Furniture"/>
    <s v="S899"/>
    <s v="Pioneer Distribution"/>
    <s v="Europe"/>
    <s v="WH 10"/>
    <s v="Cairo"/>
    <x v="1"/>
    <n v="266"/>
    <n v="46.2"/>
    <n v="12289.2"/>
    <n v="45.75"/>
    <n v="4"/>
    <n v="5"/>
    <n v="1413"/>
    <x v="1"/>
    <x v="2"/>
    <n v="1949.12"/>
  </r>
  <r>
    <n v="100840"/>
    <d v="2024-06-14T00:00:00"/>
    <d v="2024-06-17T00:00:00"/>
    <d v="2024-06-21T00:00:00"/>
    <s v="C9254"/>
    <x v="3"/>
    <s v="Poland"/>
    <s v="P87120"/>
    <s v="Office Chair"/>
    <s v="Furniture"/>
    <s v="S945"/>
    <s v="Crescent Logistics"/>
    <s v="Africa"/>
    <s v="WH 07"/>
    <s v="Toronto"/>
    <x v="3"/>
    <n v="210"/>
    <n v="102"/>
    <n v="21420"/>
    <n v="15.8"/>
    <n v="4"/>
    <n v="7"/>
    <n v="693"/>
    <x v="2"/>
    <x v="0"/>
    <n v="4025.52"/>
  </r>
  <r>
    <n v="100841"/>
    <d v="2025-10-08T00:00:00"/>
    <d v="2025-10-09T00:00:00"/>
    <d v="2025-10-31T00:00:00"/>
    <s v="C6674"/>
    <x v="1"/>
    <s v="South Africa"/>
    <s v="P11080"/>
    <s v="Bookshelf"/>
    <s v="Furniture"/>
    <s v="S603"/>
    <s v="BlueRiver Trading"/>
    <s v="Asia"/>
    <s v="WH 02"/>
    <s v="Lahore"/>
    <x v="2"/>
    <n v="151"/>
    <n v="49.94"/>
    <n v="7540.94"/>
    <n v="10.77"/>
    <n v="22"/>
    <n v="23"/>
    <n v="1809"/>
    <x v="0"/>
    <x v="0"/>
    <n v="1734.86"/>
  </r>
  <r>
    <n v="100842"/>
    <d v="2025-08-01T00:00:00"/>
    <d v="2025-08-02T00:00:00"/>
    <d v="2025-08-07T00:00:00"/>
    <s v="C5703"/>
    <x v="1"/>
    <s v="Nigeria"/>
    <s v="P46820"/>
    <s v="Office Chair"/>
    <s v="Furniture"/>
    <s v="S993"/>
    <s v="Pioneer Distribution"/>
    <s v="Europe"/>
    <s v="WH 01"/>
    <s v="Karachi"/>
    <x v="0"/>
    <n v="255"/>
    <n v="101.51"/>
    <n v="25885.05"/>
    <n v="19.7"/>
    <n v="5"/>
    <n v="6"/>
    <n v="452"/>
    <x v="2"/>
    <x v="0"/>
    <n v="5467.39"/>
  </r>
  <r>
    <n v="100843"/>
    <d v="2024-02-25T00:00:00"/>
    <d v="2024-02-28T00:00:00"/>
    <d v="2024-03-01T00:00:00"/>
    <s v="C9052"/>
    <x v="4"/>
    <s v="Qatar"/>
    <s v="P26995"/>
    <s v="Snack Carton"/>
    <s v="FMCG"/>
    <s v="S849"/>
    <s v="Evergreen Partners"/>
    <s v="Africa"/>
    <s v="WH 01"/>
    <s v="Karachi"/>
    <x v="0"/>
    <n v="278"/>
    <n v="45.05"/>
    <n v="12523.9"/>
    <n v="20.36"/>
    <n v="2"/>
    <n v="5"/>
    <n v="1826"/>
    <x v="2"/>
    <x v="0"/>
    <n v="2228.16"/>
  </r>
  <r>
    <n v="100844"/>
    <d v="2024-06-22T00:00:00"/>
    <d v="2024-06-25T00:00:00"/>
    <d v="2024-07-08T00:00:00"/>
    <s v="C7219"/>
    <x v="4"/>
    <s v="Oman"/>
    <s v="P52816"/>
    <s v="Office Chair"/>
    <s v="Furniture"/>
    <s v="S472"/>
    <s v="Summit Supply Co"/>
    <s v="Europe"/>
    <s v="WH 01"/>
    <s v="Karachi"/>
    <x v="3"/>
    <n v="90"/>
    <n v="66.27"/>
    <n v="5964.3"/>
    <n v="12.88"/>
    <n v="13"/>
    <n v="16"/>
    <n v="1768"/>
    <x v="0"/>
    <x v="0"/>
    <n v="1319.26"/>
  </r>
  <r>
    <n v="100845"/>
    <d v="2025-10-13T00:00:00"/>
    <d v="2025-10-18T00:00:00"/>
    <d v="2025-10-27T00:00:00"/>
    <s v="C4201"/>
    <x v="4"/>
    <s v="United Arab Emirates"/>
    <s v="P19854"/>
    <s v="Thermometer"/>
    <s v="Healthcare"/>
    <s v="S976"/>
    <s v="Zenith Procurement"/>
    <s v="North America"/>
    <s v="WH 05"/>
    <s v="Frankfurt"/>
    <x v="3"/>
    <n v="128"/>
    <n v="20.71"/>
    <n v="2650.88"/>
    <n v="13.8"/>
    <n v="9"/>
    <n v="14"/>
    <n v="1728"/>
    <x v="0"/>
    <x v="0"/>
    <n v="449.53"/>
  </r>
  <r>
    <n v="100846"/>
    <d v="2025-05-03T00:00:00"/>
    <d v="2025-05-07T00:00:00"/>
    <d v="2025-05-15T00:00:00"/>
    <s v="C4404"/>
    <x v="0"/>
    <s v="China"/>
    <s v="P47260"/>
    <s v="Wireless Earbuds"/>
    <s v="Electronics"/>
    <s v="S395"/>
    <s v="Summit Supply Co"/>
    <s v="North America"/>
    <s v="WH 02"/>
    <s v="Lahore"/>
    <x v="3"/>
    <n v="116"/>
    <n v="171.56"/>
    <n v="19900.96"/>
    <n v="13.51"/>
    <n v="8"/>
    <n v="12"/>
    <n v="579"/>
    <x v="0"/>
    <x v="0"/>
    <n v="2057.38"/>
  </r>
  <r>
    <n v="100847"/>
    <d v="2024-08-02T00:00:00"/>
    <d v="2024-08-02T00:00:00"/>
    <d v="2024-08-15T00:00:00"/>
    <s v="C5289"/>
    <x v="2"/>
    <s v="Mexico"/>
    <s v="P96173"/>
    <s v="Toothpaste Box"/>
    <s v="FMCG"/>
    <s v="S564"/>
    <s v="Summit Supply Co"/>
    <s v="Asia"/>
    <s v="WH 07"/>
    <s v="Toronto"/>
    <x v="3"/>
    <n v="113"/>
    <n v="30.46"/>
    <n v="3441.98"/>
    <n v="13.44"/>
    <n v="13"/>
    <n v="13"/>
    <n v="2672"/>
    <x v="0"/>
    <x v="0"/>
    <n v="324.19"/>
  </r>
  <r>
    <n v="100848"/>
    <d v="2024-03-03T00:00:00"/>
    <d v="2024-03-07T00:00:00"/>
    <d v="2024-03-31T00:00:00"/>
    <s v="C5506"/>
    <x v="2"/>
    <s v="Mexico"/>
    <s v="P28715"/>
    <s v="Office Chair"/>
    <s v="Furniture"/>
    <s v="S565"/>
    <s v="Zenith Procurement"/>
    <s v="Middle East"/>
    <s v="WH 02"/>
    <s v="Lahore"/>
    <x v="2"/>
    <n v="89"/>
    <n v="286.16000000000003"/>
    <n v="25468.240000000002"/>
    <n v="9.64"/>
    <n v="24"/>
    <n v="28"/>
    <n v="1150"/>
    <x v="1"/>
    <x v="3"/>
    <n v="5816.75"/>
  </r>
  <r>
    <n v="100849"/>
    <d v="2024-03-17T00:00:00"/>
    <d v="2024-03-21T00:00:00"/>
    <d v="2024-03-28T00:00:00"/>
    <s v="C7605"/>
    <x v="3"/>
    <s v="France"/>
    <s v="P74818"/>
    <s v="Smart Watch"/>
    <s v="Electronics"/>
    <s v="S687"/>
    <s v="Orion Supplies"/>
    <s v="Africa"/>
    <s v="WH 04"/>
    <s v="Istanbul"/>
    <x v="3"/>
    <n v="254"/>
    <n v="422.68"/>
    <n v="107360.72"/>
    <n v="16.86"/>
    <n v="7"/>
    <n v="11"/>
    <n v="81"/>
    <x v="0"/>
    <x v="0"/>
    <n v="8575.6200000000008"/>
  </r>
  <r>
    <n v="100850"/>
    <d v="2025-08-18T00:00:00"/>
    <d v="2025-08-18T00:00:00"/>
    <d v="2025-08-27T00:00:00"/>
    <s v="C7813"/>
    <x v="4"/>
    <s v="United Arab Emirates"/>
    <s v="P91144"/>
    <s v="Hand Sanitizer Case"/>
    <s v="Healthcare"/>
    <s v="S797"/>
    <s v="Pioneer Distribution"/>
    <s v="Africa"/>
    <s v="WH 08"/>
    <s v="Chicago"/>
    <x v="3"/>
    <n v="491"/>
    <n v="29.64"/>
    <n v="14553.24"/>
    <n v="22.62"/>
    <n v="9"/>
    <n v="9"/>
    <n v="4403"/>
    <x v="1"/>
    <x v="2"/>
    <n v="1817.08"/>
  </r>
  <r>
    <n v="100851"/>
    <d v="2024-04-22T00:00:00"/>
    <d v="2024-04-22T00:00:00"/>
    <d v="2024-05-02T00:00:00"/>
    <s v="C1226"/>
    <x v="0"/>
    <s v="Bangladesh"/>
    <s v="P90399"/>
    <s v="Wireless Earbuds"/>
    <s v="Electronics"/>
    <s v="S767"/>
    <s v="Orion Supplies"/>
    <s v="Middle East"/>
    <s v="WH 02"/>
    <s v="Lahore"/>
    <x v="0"/>
    <n v="363"/>
    <n v="449.81"/>
    <n v="163281.03"/>
    <n v="22.77"/>
    <n v="10"/>
    <n v="10"/>
    <n v="1626"/>
    <x v="0"/>
    <x v="0"/>
    <n v="26018.720000000001"/>
  </r>
  <r>
    <n v="100852"/>
    <d v="2025-12-22T00:00:00"/>
    <d v="2025-12-25T00:00:00"/>
    <d v="2026-01-18T00:00:00"/>
    <s v="C8897"/>
    <x v="1"/>
    <s v="Egypt"/>
    <s v="P74541"/>
    <s v="First Aid Kit"/>
    <s v="Healthcare"/>
    <s v="S572"/>
    <s v="Vertex Manufacturing"/>
    <s v="Europe"/>
    <s v="WH 02"/>
    <s v="Lahore"/>
    <x v="2"/>
    <n v="54"/>
    <n v="14.78"/>
    <n v="798.12"/>
    <n v="9"/>
    <n v="24"/>
    <n v="27"/>
    <n v="439"/>
    <x v="0"/>
    <x v="0"/>
    <n v="17.670000000000002"/>
  </r>
  <r>
    <n v="100853"/>
    <d v="2024-11-30T00:00:00"/>
    <d v="2024-12-04T00:00:00"/>
    <d v="2024-12-09T00:00:00"/>
    <s v="C2841"/>
    <x v="3"/>
    <s v="Spain"/>
    <s v="P43902"/>
    <s v="Power Bank"/>
    <s v="Electronics"/>
    <s v="S193"/>
    <s v="Vertex Manufacturing"/>
    <s v="Asia"/>
    <s v="WH 04"/>
    <s v="Istanbul"/>
    <x v="0"/>
    <n v="419"/>
    <n v="266.8"/>
    <n v="111789.2"/>
    <n v="24.35"/>
    <n v="5"/>
    <n v="9"/>
    <n v="843"/>
    <x v="0"/>
    <x v="0"/>
    <n v="14388.23"/>
  </r>
  <r>
    <n v="100854"/>
    <d v="2025-03-20T00:00:00"/>
    <d v="2025-03-24T00:00:00"/>
    <d v="2025-04-11T00:00:00"/>
    <s v="C5588"/>
    <x v="0"/>
    <s v="India"/>
    <s v="P75873"/>
    <s v="Wireless Earbuds"/>
    <s v="Electronics"/>
    <s v="S745"/>
    <s v="BlueRiver Trading"/>
    <s v="Middle East"/>
    <s v="WH 10"/>
    <s v="Cairo"/>
    <x v="2"/>
    <n v="339"/>
    <n v="274.49"/>
    <n v="93052.11"/>
    <n v="14.2"/>
    <n v="18"/>
    <n v="22"/>
    <n v="1495"/>
    <x v="0"/>
    <x v="0"/>
    <n v="15242.69"/>
  </r>
  <r>
    <n v="100855"/>
    <d v="2025-09-17T00:00:00"/>
    <d v="2025-09-19T00:00:00"/>
    <d v="2025-10-08T00:00:00"/>
    <s v="C3062"/>
    <x v="1"/>
    <s v="South Africa"/>
    <s v="P60406"/>
    <s v="Bluetooth Speaker"/>
    <s v="Electronics"/>
    <s v="S716"/>
    <s v="Pioneer Distribution"/>
    <s v="Africa"/>
    <s v="WH 10"/>
    <s v="Cairo"/>
    <x v="2"/>
    <n v="174"/>
    <n v="388.75"/>
    <n v="67642.5"/>
    <n v="8.2899999999999991"/>
    <n v="19"/>
    <n v="21"/>
    <n v="1427"/>
    <x v="0"/>
    <x v="0"/>
    <n v="14405.36"/>
  </r>
  <r>
    <n v="100856"/>
    <d v="2025-02-26T00:00:00"/>
    <d v="2025-03-01T00:00:00"/>
    <d v="2025-03-16T00:00:00"/>
    <s v="C5242"/>
    <x v="0"/>
    <s v="Vietnam"/>
    <s v="P28095"/>
    <s v="Bottled Water Case"/>
    <s v="FMCG"/>
    <s v="S774"/>
    <s v="Zenith Procurement"/>
    <s v="Middle East"/>
    <s v="WH 06"/>
    <s v="Amsterdam"/>
    <x v="2"/>
    <n v="425"/>
    <n v="26.56"/>
    <n v="11288"/>
    <n v="15.76"/>
    <n v="15"/>
    <n v="18"/>
    <n v="3930"/>
    <x v="0"/>
    <x v="0"/>
    <n v="1209.55"/>
  </r>
  <r>
    <n v="100857"/>
    <d v="2024-02-11T00:00:00"/>
    <d v="2024-02-15T00:00:00"/>
    <d v="2024-02-22T00:00:00"/>
    <s v="C7096"/>
    <x v="1"/>
    <s v="Morocco"/>
    <s v="P65309"/>
    <s v="Snack Carton"/>
    <s v="FMCG"/>
    <s v="S917"/>
    <s v="Atlas Sourcing"/>
    <s v="Asia"/>
    <s v="WH 10"/>
    <s v="Cairo"/>
    <x v="0"/>
    <n v="322"/>
    <n v="22.89"/>
    <n v="7370.58"/>
    <n v="21.6"/>
    <n v="7"/>
    <n v="11"/>
    <n v="1171"/>
    <x v="0"/>
    <x v="0"/>
    <n v="519.29999999999995"/>
  </r>
  <r>
    <n v="100858"/>
    <d v="2025-09-26T00:00:00"/>
    <d v="2025-09-28T00:00:00"/>
    <d v="2025-10-22T00:00:00"/>
    <s v="C1613"/>
    <x v="2"/>
    <s v="United States"/>
    <s v="P44640"/>
    <s v="Wireless Earbuds"/>
    <s v="Electronics"/>
    <s v="S182"/>
    <s v="Crescent Logistics"/>
    <s v="Middle East"/>
    <s v="WH 03"/>
    <s v="Dubai"/>
    <x v="2"/>
    <n v="53"/>
    <n v="81.05"/>
    <n v="4295.6499999999996"/>
    <n v="8.98"/>
    <n v="24"/>
    <n v="26"/>
    <n v="1642"/>
    <x v="0"/>
    <x v="0"/>
    <n v="892.65"/>
  </r>
  <r>
    <n v="100859"/>
    <d v="2024-09-23T00:00:00"/>
    <d v="2024-09-25T00:00:00"/>
    <d v="2024-10-07T00:00:00"/>
    <s v="C9585"/>
    <x v="1"/>
    <s v="Kenya"/>
    <s v="P56489"/>
    <s v="Study Table"/>
    <s v="Furniture"/>
    <s v="S747"/>
    <s v="Vertex Manufacturing"/>
    <s v="Asia"/>
    <s v="WH 03"/>
    <s v="Dubai"/>
    <x v="1"/>
    <n v="240"/>
    <n v="321.88"/>
    <n v="77251.199999999997"/>
    <n v="44.06"/>
    <n v="12"/>
    <n v="14"/>
    <n v="1960"/>
    <x v="1"/>
    <x v="3"/>
    <n v="11106.66"/>
  </r>
  <r>
    <n v="100860"/>
    <d v="2025-08-21T00:00:00"/>
    <d v="2025-08-24T00:00:00"/>
    <d v="2025-08-31T00:00:00"/>
    <s v="C3800"/>
    <x v="1"/>
    <s v="Egypt"/>
    <s v="P70314"/>
    <s v="Shampoo Pack"/>
    <s v="FMCG"/>
    <s v="S931"/>
    <s v="Pioneer Distribution"/>
    <s v="Asia"/>
    <s v="WH 01"/>
    <s v="Karachi"/>
    <x v="0"/>
    <n v="267"/>
    <n v="45.28"/>
    <n v="12089.76"/>
    <n v="20.04"/>
    <n v="7"/>
    <n v="10"/>
    <n v="3141"/>
    <x v="0"/>
    <x v="0"/>
    <n v="1042.6199999999999"/>
  </r>
  <r>
    <n v="100861"/>
    <d v="2024-01-08T00:00:00"/>
    <d v="2024-01-13T00:00:00"/>
    <d v="2024-01-15T00:00:00"/>
    <s v="C6698"/>
    <x v="3"/>
    <s v="Germany"/>
    <s v="P16829"/>
    <s v="Hand Sanitizer Case"/>
    <s v="Healthcare"/>
    <s v="S445"/>
    <s v="Evergreen Partners"/>
    <s v="Middle East"/>
    <s v="WH 03"/>
    <s v="Dubai"/>
    <x v="0"/>
    <n v="360"/>
    <n v="70.66"/>
    <n v="25437.599999999999"/>
    <n v="22.68"/>
    <n v="2"/>
    <n v="7"/>
    <n v="3970"/>
    <x v="2"/>
    <x v="0"/>
    <n v="1842.1"/>
  </r>
  <r>
    <n v="100862"/>
    <d v="2025-09-24T00:00:00"/>
    <d v="2025-09-28T00:00:00"/>
    <d v="2025-10-11T00:00:00"/>
    <s v="C2764"/>
    <x v="3"/>
    <s v="Poland"/>
    <s v="P43043"/>
    <s v="Socks Pack"/>
    <s v="Apparel"/>
    <s v="S251"/>
    <s v="Pioneer Distribution"/>
    <s v="Middle East"/>
    <s v="WH 04"/>
    <s v="Istanbul"/>
    <x v="2"/>
    <n v="173"/>
    <n v="62.48"/>
    <n v="10809.04"/>
    <n v="11.17"/>
    <n v="13"/>
    <n v="17"/>
    <n v="2818"/>
    <x v="0"/>
    <x v="0"/>
    <n v="3047.26"/>
  </r>
  <r>
    <n v="100863"/>
    <d v="2025-10-19T00:00:00"/>
    <d v="2025-10-22T00:00:00"/>
    <d v="2025-11-07T00:00:00"/>
    <s v="C1071"/>
    <x v="1"/>
    <s v="South Africa"/>
    <s v="P17386"/>
    <s v="First Aid Kit"/>
    <s v="Healthcare"/>
    <s v="S818"/>
    <s v="Pioneer Distribution"/>
    <s v="Africa"/>
    <s v="WH 02"/>
    <s v="Lahore"/>
    <x v="2"/>
    <n v="182"/>
    <n v="61.61"/>
    <n v="11213.02"/>
    <n v="8.4"/>
    <n v="16"/>
    <n v="19"/>
    <n v="1243"/>
    <x v="0"/>
    <x v="0"/>
    <n v="2141.41"/>
  </r>
  <r>
    <n v="100864"/>
    <d v="2024-11-05T00:00:00"/>
    <d v="2024-11-10T00:00:00"/>
    <d v="2024-11-14T00:00:00"/>
    <s v="C3486"/>
    <x v="2"/>
    <s v="Canada"/>
    <s v="P96755"/>
    <s v="Router"/>
    <s v="Electronics"/>
    <s v="S773"/>
    <s v="Atlas Sourcing"/>
    <s v="Europe"/>
    <s v="WH 02"/>
    <s v="Lahore"/>
    <x v="1"/>
    <n v="292"/>
    <n v="285.52999999999997"/>
    <n v="83374.759999999995"/>
    <n v="47.43"/>
    <n v="4"/>
    <n v="9"/>
    <n v="1298"/>
    <x v="1"/>
    <x v="2"/>
    <n v="10684.72"/>
  </r>
  <r>
    <n v="100865"/>
    <d v="2024-04-04T00:00:00"/>
    <d v="2024-04-09T00:00:00"/>
    <d v="2024-04-16T00:00:00"/>
    <s v="C8248"/>
    <x v="1"/>
    <s v="Nigeria"/>
    <s v="P14369"/>
    <s v="Thermometer"/>
    <s v="Healthcare"/>
    <s v="S375"/>
    <s v="Atlas Sourcing"/>
    <s v="Middle East"/>
    <s v="WH 04"/>
    <s v="Istanbul"/>
    <x v="0"/>
    <n v="380"/>
    <n v="16.84"/>
    <n v="6399.2"/>
    <n v="23.25"/>
    <n v="7"/>
    <n v="12"/>
    <n v="487"/>
    <x v="0"/>
    <x v="0"/>
    <n v="1113.43"/>
  </r>
  <r>
    <n v="100866"/>
    <d v="2024-03-14T00:00:00"/>
    <d v="2024-03-14T00:00:00"/>
    <d v="2024-03-15T00:00:00"/>
    <s v="C3896"/>
    <x v="0"/>
    <s v="India"/>
    <s v="P92641"/>
    <s v="Smart Watch"/>
    <s v="Electronics"/>
    <s v="S215"/>
    <s v="Pioneer Distribution"/>
    <s v="Middle East"/>
    <s v="WH 03"/>
    <s v="Dubai"/>
    <x v="1"/>
    <n v="32"/>
    <n v="300.85000000000002"/>
    <n v="9627.2000000000007"/>
    <n v="30.59"/>
    <n v="1"/>
    <n v="1"/>
    <n v="456"/>
    <x v="2"/>
    <x v="0"/>
    <n v="1687.14"/>
  </r>
  <r>
    <n v="100867"/>
    <d v="2024-01-23T00:00:00"/>
    <d v="2024-01-23T00:00:00"/>
    <d v="2024-02-04T00:00:00"/>
    <s v="C1557"/>
    <x v="0"/>
    <s v="Pakistan"/>
    <s v="P19808"/>
    <s v="Hoodie"/>
    <s v="Apparel"/>
    <s v="S758"/>
    <s v="Atlas Sourcing"/>
    <s v="Middle East"/>
    <s v="WH 05"/>
    <s v="Frankfurt"/>
    <x v="2"/>
    <n v="231"/>
    <n v="87.49"/>
    <n v="20210.189999999999"/>
    <n v="12.23"/>
    <n v="12"/>
    <n v="12"/>
    <n v="3088"/>
    <x v="0"/>
    <x v="0"/>
    <n v="4712.7299999999996"/>
  </r>
  <r>
    <n v="100868"/>
    <d v="2025-03-18T00:00:00"/>
    <d v="2025-03-22T00:00:00"/>
    <d v="2025-03-28T00:00:00"/>
    <s v="C3511"/>
    <x v="1"/>
    <s v="Egypt"/>
    <s v="P57910"/>
    <s v="Bluetooth Speaker"/>
    <s v="Electronics"/>
    <s v="S923"/>
    <s v="Orion Supplies"/>
    <s v="Africa"/>
    <s v="WH 03"/>
    <s v="Dubai"/>
    <x v="1"/>
    <n v="372"/>
    <n v="88.46"/>
    <n v="32907.120000000003"/>
    <n v="38.979999999999997"/>
    <n v="6"/>
    <n v="10"/>
    <n v="574"/>
    <x v="0"/>
    <x v="0"/>
    <n v="2665.29"/>
  </r>
  <r>
    <n v="100869"/>
    <d v="2025-08-05T00:00:00"/>
    <d v="2025-08-06T00:00:00"/>
    <d v="2025-08-31T00:00:00"/>
    <s v="C2507"/>
    <x v="0"/>
    <s v="Malaysia"/>
    <s v="P32787"/>
    <s v="Vitamin Pack"/>
    <s v="Healthcare"/>
    <s v="S540"/>
    <s v="BlueRiver Trading"/>
    <s v="Europe"/>
    <s v="WH 08"/>
    <s v="Chicago"/>
    <x v="2"/>
    <n v="423"/>
    <n v="75.849999999999994"/>
    <n v="32084.55"/>
    <n v="15.73"/>
    <n v="25"/>
    <n v="26"/>
    <n v="3942"/>
    <x v="1"/>
    <x v="3"/>
    <n v="2363.06"/>
  </r>
  <r>
    <n v="100870"/>
    <d v="2024-07-01T00:00:00"/>
    <d v="2024-07-05T00:00:00"/>
    <d v="2024-07-09T00:00:00"/>
    <s v="C6051"/>
    <x v="4"/>
    <s v="Saudi Arabia"/>
    <s v="P37313"/>
    <s v="Denim Jeans"/>
    <s v="Apparel"/>
    <s v="S638"/>
    <s v="BlueRiver Trading"/>
    <s v="North America"/>
    <s v="WH 04"/>
    <s v="Istanbul"/>
    <x v="1"/>
    <n v="129"/>
    <n v="104.37"/>
    <n v="13463.73"/>
    <n v="36.869999999999997"/>
    <n v="4"/>
    <n v="8"/>
    <n v="2905"/>
    <x v="0"/>
    <x v="0"/>
    <n v="2595.2600000000002"/>
  </r>
  <r>
    <n v="100871"/>
    <d v="2025-12-28T00:00:00"/>
    <d v="2025-12-31T00:00:00"/>
    <d v="2026-01-06T00:00:00"/>
    <s v="C8055"/>
    <x v="3"/>
    <s v="Poland"/>
    <s v="P65842"/>
    <s v="Study Table"/>
    <s v="Furniture"/>
    <s v="S500"/>
    <s v="Evergreen Partners"/>
    <s v="Europe"/>
    <s v="WH 02"/>
    <s v="Lahore"/>
    <x v="0"/>
    <n v="210"/>
    <n v="298.51"/>
    <n v="62687.1"/>
    <n v="13.65"/>
    <n v="6"/>
    <n v="9"/>
    <n v="869"/>
    <x v="0"/>
    <x v="0"/>
    <n v="11636.76"/>
  </r>
  <r>
    <n v="100872"/>
    <d v="2024-06-25T00:00:00"/>
    <d v="2024-06-28T00:00:00"/>
    <d v="2024-07-02T00:00:00"/>
    <s v="C2031"/>
    <x v="1"/>
    <s v="Egypt"/>
    <s v="P99301"/>
    <s v="Power Bank"/>
    <s v="Electronics"/>
    <s v="S124"/>
    <s v="Crescent Logistics"/>
    <s v="Europe"/>
    <s v="WH 10"/>
    <s v="Cairo"/>
    <x v="3"/>
    <n v="459"/>
    <n v="68.260000000000005"/>
    <n v="31331.34"/>
    <n v="21.85"/>
    <n v="4"/>
    <n v="7"/>
    <n v="1530"/>
    <x v="2"/>
    <x v="0"/>
    <n v="6258.57"/>
  </r>
  <r>
    <n v="100873"/>
    <d v="2025-01-12T00:00:00"/>
    <d v="2025-01-14T00:00:00"/>
    <d v="2025-01-25T00:00:00"/>
    <s v="C7081"/>
    <x v="3"/>
    <s v="Spain"/>
    <s v="P20223"/>
    <s v="Denim Jeans"/>
    <s v="Apparel"/>
    <s v="S138"/>
    <s v="Pioneer Distribution"/>
    <s v="Europe"/>
    <s v="WH 06"/>
    <s v="Amsterdam"/>
    <x v="3"/>
    <n v="467"/>
    <n v="52.67"/>
    <n v="24596.89"/>
    <n v="16.329999999999998"/>
    <n v="11"/>
    <n v="13"/>
    <n v="2332"/>
    <x v="0"/>
    <x v="0"/>
    <n v="3169.08"/>
  </r>
  <r>
    <n v="100874"/>
    <d v="2024-04-04T00:00:00"/>
    <d v="2024-04-04T00:00:00"/>
    <d v="2024-04-05T00:00:00"/>
    <s v="C9559"/>
    <x v="3"/>
    <s v="Italy"/>
    <s v="P10064"/>
    <s v="Shampoo Pack"/>
    <s v="FMCG"/>
    <s v="S327"/>
    <s v="Vertex Manufacturing"/>
    <s v="Asia"/>
    <s v="WH 05"/>
    <s v="Frankfurt"/>
    <x v="1"/>
    <n v="251"/>
    <n v="44.99"/>
    <n v="11292.49"/>
    <n v="44.78"/>
    <n v="1"/>
    <n v="1"/>
    <n v="3163"/>
    <x v="2"/>
    <x v="0"/>
    <n v="1611.51"/>
  </r>
  <r>
    <n v="100875"/>
    <d v="2024-06-03T00:00:00"/>
    <d v="2024-06-05T00:00:00"/>
    <d v="2024-06-21T00:00:00"/>
    <s v="C4506"/>
    <x v="0"/>
    <s v="Vietnam"/>
    <s v="P58226"/>
    <s v="Floor Lamp"/>
    <s v="Furniture"/>
    <s v="S715"/>
    <s v="Evergreen Partners"/>
    <s v="Europe"/>
    <s v="WH 06"/>
    <s v="Amsterdam"/>
    <x v="2"/>
    <n v="381"/>
    <n v="303.83999999999997"/>
    <n v="115763.04"/>
    <n v="14.96"/>
    <n v="16"/>
    <n v="18"/>
    <n v="161"/>
    <x v="0"/>
    <x v="0"/>
    <n v="28482.23"/>
  </r>
  <r>
    <n v="100876"/>
    <d v="2024-09-09T00:00:00"/>
    <d v="2024-09-13T00:00:00"/>
    <d v="2024-09-26T00:00:00"/>
    <s v="C6422"/>
    <x v="2"/>
    <s v="Mexico"/>
    <s v="P24407"/>
    <s v="Detergent Bag"/>
    <s v="FMCG"/>
    <s v="S362"/>
    <s v="Crescent Logistics"/>
    <s v="Africa"/>
    <s v="WH 09"/>
    <s v="Johannesburg"/>
    <x v="2"/>
    <n v="331"/>
    <n v="45.09"/>
    <n v="14924.79"/>
    <n v="14.05"/>
    <n v="13"/>
    <n v="17"/>
    <n v="361"/>
    <x v="0"/>
    <x v="0"/>
    <n v="1343.47"/>
  </r>
  <r>
    <n v="100877"/>
    <d v="2025-09-17T00:00:00"/>
    <d v="2025-09-18T00:00:00"/>
    <d v="2025-09-30T00:00:00"/>
    <s v="C4925"/>
    <x v="0"/>
    <s v="Malaysia"/>
    <s v="P93828"/>
    <s v="Face Mask Box"/>
    <s v="Healthcare"/>
    <s v="S896"/>
    <s v="Atlas Sourcing"/>
    <s v="Africa"/>
    <s v="WH 08"/>
    <s v="Chicago"/>
    <x v="2"/>
    <n v="11"/>
    <n v="65.959999999999994"/>
    <n v="725.56"/>
    <n v="8.2200000000000006"/>
    <n v="12"/>
    <n v="13"/>
    <n v="1474"/>
    <x v="0"/>
    <x v="0"/>
    <n v="78.38"/>
  </r>
  <r>
    <n v="100878"/>
    <d v="2025-08-06T00:00:00"/>
    <d v="2025-08-08T00:00:00"/>
    <d v="2025-08-22T00:00:00"/>
    <s v="C5860"/>
    <x v="2"/>
    <s v="United States"/>
    <s v="P13729"/>
    <s v="Study Table"/>
    <s v="Furniture"/>
    <s v="S731"/>
    <s v="Atlas Sourcing"/>
    <s v="North America"/>
    <s v="WH 07"/>
    <s v="Toronto"/>
    <x v="3"/>
    <n v="74"/>
    <n v="45.25"/>
    <n v="3348.5"/>
    <n v="9.25"/>
    <n v="14"/>
    <n v="16"/>
    <n v="1464"/>
    <x v="0"/>
    <x v="0"/>
    <n v="647.34"/>
  </r>
  <r>
    <n v="100879"/>
    <d v="2024-09-18T00:00:00"/>
    <d v="2024-09-18T00:00:00"/>
    <d v="2024-10-12T00:00:00"/>
    <s v="C2225"/>
    <x v="1"/>
    <s v="Kenya"/>
    <s v="P22196"/>
    <s v="Vitamin Pack"/>
    <s v="Healthcare"/>
    <s v="S254"/>
    <s v="Evergreen Partners"/>
    <s v="Asia"/>
    <s v="WH 01"/>
    <s v="Karachi"/>
    <x v="2"/>
    <n v="22"/>
    <n v="76.8"/>
    <n v="1689.6"/>
    <n v="8.42"/>
    <n v="24"/>
    <n v="24"/>
    <n v="4105"/>
    <x v="0"/>
    <x v="0"/>
    <n v="118.75"/>
  </r>
  <r>
    <n v="100880"/>
    <d v="2025-06-04T00:00:00"/>
    <d v="2025-06-05T00:00:00"/>
    <d v="2025-06-15T00:00:00"/>
    <s v="C2301"/>
    <x v="1"/>
    <s v="South Africa"/>
    <s v="P16858"/>
    <s v="Storage Cabinet"/>
    <s v="Furniture"/>
    <s v="S858"/>
    <s v="Evergreen Partners"/>
    <s v="Middle East"/>
    <s v="WH 02"/>
    <s v="Lahore"/>
    <x v="3"/>
    <n v="244"/>
    <n v="124.03"/>
    <n v="30263.32"/>
    <n v="16.62"/>
    <n v="10"/>
    <n v="11"/>
    <n v="1598"/>
    <x v="0"/>
    <x v="0"/>
    <n v="8177.89"/>
  </r>
  <r>
    <n v="100881"/>
    <d v="2024-12-20T00:00:00"/>
    <d v="2024-12-23T00:00:00"/>
    <d v="2024-12-31T00:00:00"/>
    <s v="C4833"/>
    <x v="4"/>
    <s v="Saudi Arabia"/>
    <s v="P10395"/>
    <s v="Router"/>
    <s v="Electronics"/>
    <s v="S545"/>
    <s v="Orion Supplies"/>
    <s v="Middle East"/>
    <s v="WH 04"/>
    <s v="Istanbul"/>
    <x v="3"/>
    <n v="103"/>
    <n v="209.84"/>
    <n v="21613.52"/>
    <n v="9.77"/>
    <n v="8"/>
    <n v="11"/>
    <n v="900"/>
    <x v="1"/>
    <x v="2"/>
    <n v="4509.88"/>
  </r>
  <r>
    <n v="100882"/>
    <d v="2025-09-19T00:00:00"/>
    <d v="2025-09-19T00:00:00"/>
    <d v="2025-10-08T00:00:00"/>
    <s v="C9539"/>
    <x v="2"/>
    <s v="Canada"/>
    <s v="P11263"/>
    <s v="Shampoo Pack"/>
    <s v="FMCG"/>
    <s v="S669"/>
    <s v="Orion Supplies"/>
    <s v="Middle East"/>
    <s v="WH 05"/>
    <s v="Frankfurt"/>
    <x v="2"/>
    <n v="344"/>
    <n v="25.51"/>
    <n v="8775.44"/>
    <n v="14.29"/>
    <n v="19"/>
    <n v="19"/>
    <n v="2373"/>
    <x v="0"/>
    <x v="0"/>
    <n v="547.83000000000004"/>
  </r>
  <r>
    <n v="100883"/>
    <d v="2024-01-23T00:00:00"/>
    <d v="2024-01-26T00:00:00"/>
    <d v="2024-02-18T00:00:00"/>
    <s v="C3646"/>
    <x v="4"/>
    <s v="Turkey"/>
    <s v="P26650"/>
    <s v="Vitamin Pack"/>
    <s v="Healthcare"/>
    <s v="S514"/>
    <s v="Pioneer Distribution"/>
    <s v="Middle East"/>
    <s v="WH 03"/>
    <s v="Dubai"/>
    <x v="2"/>
    <n v="143"/>
    <n v="80.42"/>
    <n v="11500.06"/>
    <n v="7.87"/>
    <n v="23"/>
    <n v="26"/>
    <n v="1222"/>
    <x v="0"/>
    <x v="0"/>
    <n v="2259.65"/>
  </r>
  <r>
    <n v="100884"/>
    <d v="2024-01-28T00:00:00"/>
    <d v="2024-01-31T00:00:00"/>
    <d v="2024-02-09T00:00:00"/>
    <s v="C3318"/>
    <x v="3"/>
    <s v="Sweden"/>
    <s v="P52719"/>
    <s v="Sportswear Set"/>
    <s v="Apparel"/>
    <s v="S750"/>
    <s v="Orion Supplies"/>
    <s v="Asia"/>
    <s v="WH 07"/>
    <s v="Toronto"/>
    <x v="3"/>
    <n v="289"/>
    <n v="40.72"/>
    <n v="11768.08"/>
    <n v="17.71"/>
    <n v="9"/>
    <n v="12"/>
    <n v="1459"/>
    <x v="0"/>
    <x v="0"/>
    <n v="2863.6"/>
  </r>
  <r>
    <n v="100885"/>
    <d v="2025-03-03T00:00:00"/>
    <d v="2025-03-07T00:00:00"/>
    <d v="2025-03-09T00:00:00"/>
    <s v="C2617"/>
    <x v="1"/>
    <s v="South Africa"/>
    <s v="P53016"/>
    <s v="Sportswear Set"/>
    <s v="Apparel"/>
    <s v="S596"/>
    <s v="Nova Industrial"/>
    <s v="Africa"/>
    <s v="WH 09"/>
    <s v="Johannesburg"/>
    <x v="1"/>
    <n v="222"/>
    <n v="31.21"/>
    <n v="6928.62"/>
    <n v="31.78"/>
    <n v="2"/>
    <n v="6"/>
    <n v="2637"/>
    <x v="2"/>
    <x v="0"/>
    <n v="1252.93"/>
  </r>
  <r>
    <n v="100886"/>
    <d v="2024-09-01T00:00:00"/>
    <d v="2024-09-01T00:00:00"/>
    <d v="2024-09-17T00:00:00"/>
    <s v="C4892"/>
    <x v="0"/>
    <s v="Indonesia"/>
    <s v="P55104"/>
    <s v="T Shirt Bundle"/>
    <s v="Apparel"/>
    <s v="S561"/>
    <s v="Summit Supply Co"/>
    <s v="North America"/>
    <s v="WH 01"/>
    <s v="Karachi"/>
    <x v="2"/>
    <n v="87"/>
    <n v="56.47"/>
    <n v="4912.8900000000003"/>
    <n v="9.6"/>
    <n v="16"/>
    <n v="16"/>
    <n v="1531"/>
    <x v="0"/>
    <x v="0"/>
    <n v="888.54"/>
  </r>
  <r>
    <n v="100887"/>
    <d v="2025-04-07T00:00:00"/>
    <d v="2025-04-10T00:00:00"/>
    <d v="2025-04-16T00:00:00"/>
    <s v="C1827"/>
    <x v="4"/>
    <s v="Qatar"/>
    <s v="P35465"/>
    <s v="Storage Cabinet"/>
    <s v="Furniture"/>
    <s v="S752"/>
    <s v="Orion Supplies"/>
    <s v="North America"/>
    <s v="WH 06"/>
    <s v="Amsterdam"/>
    <x v="0"/>
    <n v="417"/>
    <n v="143.41999999999999"/>
    <n v="59806.14"/>
    <n v="24.3"/>
    <n v="6"/>
    <n v="9"/>
    <n v="900"/>
    <x v="0"/>
    <x v="0"/>
    <n v="9545.23"/>
  </r>
  <r>
    <n v="100888"/>
    <d v="2025-08-18T00:00:00"/>
    <d v="2025-08-23T00:00:00"/>
    <d v="2025-09-15T00:00:00"/>
    <s v="C7749"/>
    <x v="1"/>
    <s v="South Africa"/>
    <s v="P43064"/>
    <s v="First Aid Kit"/>
    <s v="Healthcare"/>
    <s v="S705"/>
    <s v="Crescent Logistics"/>
    <s v="North America"/>
    <s v="WH 04"/>
    <s v="Istanbul"/>
    <x v="2"/>
    <n v="66"/>
    <n v="65.790000000000006"/>
    <n v="4342.1400000000003"/>
    <n v="9.2200000000000006"/>
    <n v="23"/>
    <n v="28"/>
    <n v="4311"/>
    <x v="0"/>
    <x v="0"/>
    <n v="588.82000000000005"/>
  </r>
  <r>
    <n v="100889"/>
    <d v="2024-03-08T00:00:00"/>
    <d v="2024-03-08T00:00:00"/>
    <d v="2024-03-16T00:00:00"/>
    <s v="C6069"/>
    <x v="4"/>
    <s v="Turkey"/>
    <s v="P29623"/>
    <s v="Toothpaste Box"/>
    <s v="FMCG"/>
    <s v="S508"/>
    <s v="Zenith Procurement"/>
    <s v="North America"/>
    <s v="WH 05"/>
    <s v="Frankfurt"/>
    <x v="0"/>
    <n v="34"/>
    <n v="8.26"/>
    <n v="280.83999999999997"/>
    <n v="13.44"/>
    <n v="8"/>
    <n v="8"/>
    <n v="1425"/>
    <x v="0"/>
    <x v="0"/>
    <n v="6.32"/>
  </r>
  <r>
    <n v="100890"/>
    <d v="2024-04-29T00:00:00"/>
    <d v="2024-05-01T00:00:00"/>
    <d v="2024-05-11T00:00:00"/>
    <s v="C4232"/>
    <x v="2"/>
    <s v="United States"/>
    <s v="P30128"/>
    <s v="Wireless Earbuds"/>
    <s v="Electronics"/>
    <s v="S177"/>
    <s v="Zenith Procurement"/>
    <s v="Middle East"/>
    <s v="WH 08"/>
    <s v="Chicago"/>
    <x v="3"/>
    <n v="47"/>
    <n v="234.75"/>
    <n v="11033.25"/>
    <n v="11.83"/>
    <n v="10"/>
    <n v="12"/>
    <n v="1613"/>
    <x v="0"/>
    <x v="0"/>
    <n v="1807.38"/>
  </r>
  <r>
    <n v="100891"/>
    <d v="2025-08-31T00:00:00"/>
    <d v="2025-09-05T00:00:00"/>
    <d v="2025-09-15T00:00:00"/>
    <s v="C6739"/>
    <x v="4"/>
    <s v="Turkey"/>
    <s v="P79506"/>
    <s v="Hand Sanitizer Case"/>
    <s v="Healthcare"/>
    <s v="S910"/>
    <s v="Pioneer Distribution"/>
    <s v="Africa"/>
    <s v="WH 06"/>
    <s v="Amsterdam"/>
    <x v="0"/>
    <n v="56"/>
    <n v="59.91"/>
    <n v="3354.96"/>
    <n v="14.06"/>
    <n v="10"/>
    <n v="15"/>
    <n v="1380"/>
    <x v="0"/>
    <x v="0"/>
    <n v="242.43"/>
  </r>
  <r>
    <n v="100892"/>
    <d v="2025-06-05T00:00:00"/>
    <d v="2025-06-10T00:00:00"/>
    <d v="2025-06-20T00:00:00"/>
    <s v="C1014"/>
    <x v="3"/>
    <s v="Spain"/>
    <s v="P94335"/>
    <s v="Bluetooth Speaker"/>
    <s v="Electronics"/>
    <s v="S737"/>
    <s v="Evergreen Partners"/>
    <s v="Europe"/>
    <s v="WH 05"/>
    <s v="Frankfurt"/>
    <x v="0"/>
    <n v="350"/>
    <n v="440.49"/>
    <n v="154171.5"/>
    <n v="16.59"/>
    <n v="10"/>
    <n v="15"/>
    <n v="749"/>
    <x v="0"/>
    <x v="0"/>
    <n v="23047.41"/>
  </r>
  <r>
    <n v="100893"/>
    <d v="2024-05-28T00:00:00"/>
    <d v="2024-05-31T00:00:00"/>
    <d v="2024-06-05T00:00:00"/>
    <s v="C4890"/>
    <x v="0"/>
    <s v="India"/>
    <s v="P27175"/>
    <s v="T Shirt Bundle"/>
    <s v="Apparel"/>
    <s v="S251"/>
    <s v="Crescent Logistics"/>
    <s v="Middle East"/>
    <s v="WH 03"/>
    <s v="Dubai"/>
    <x v="0"/>
    <n v="233"/>
    <n v="41.55"/>
    <n v="9681.15"/>
    <n v="19.079999999999998"/>
    <n v="5"/>
    <n v="8"/>
    <n v="1723"/>
    <x v="0"/>
    <x v="0"/>
    <n v="1327.89"/>
  </r>
  <r>
    <n v="100894"/>
    <d v="2024-12-16T00:00:00"/>
    <d v="2024-12-17T00:00:00"/>
    <d v="2025-01-02T00:00:00"/>
    <s v="C6162"/>
    <x v="1"/>
    <s v="South Africa"/>
    <s v="P53473"/>
    <s v="Sportswear Set"/>
    <s v="Apparel"/>
    <s v="S139"/>
    <s v="Summit Supply Co"/>
    <s v="Europe"/>
    <s v="WH 08"/>
    <s v="Chicago"/>
    <x v="2"/>
    <n v="312"/>
    <n v="105.15"/>
    <n v="32806.800000000003"/>
    <n v="13.71"/>
    <n v="16"/>
    <n v="17"/>
    <n v="1148"/>
    <x v="0"/>
    <x v="0"/>
    <n v="5161.01"/>
  </r>
  <r>
    <n v="100895"/>
    <d v="2024-02-05T00:00:00"/>
    <d v="2024-02-09T00:00:00"/>
    <d v="2024-02-11T00:00:00"/>
    <s v="C6142"/>
    <x v="4"/>
    <s v="Oman"/>
    <s v="P98782"/>
    <s v="Wireless Earbuds"/>
    <s v="Electronics"/>
    <s v="S190"/>
    <s v="Atlas Sourcing"/>
    <s v="Asia"/>
    <s v="WH 01"/>
    <s v="Karachi"/>
    <x v="1"/>
    <n v="399"/>
    <n v="133.09"/>
    <n v="53102.91"/>
    <n v="54.37"/>
    <n v="2"/>
    <n v="6"/>
    <n v="599"/>
    <x v="2"/>
    <x v="0"/>
    <n v="9737.99"/>
  </r>
  <r>
    <n v="100896"/>
    <d v="2024-02-07T00:00:00"/>
    <d v="2024-02-11T00:00:00"/>
    <d v="2024-02-24T00:00:00"/>
    <s v="C7211"/>
    <x v="1"/>
    <s v="Nigeria"/>
    <s v="P52723"/>
    <s v="Storage Cabinet"/>
    <s v="Furniture"/>
    <s v="S222"/>
    <s v="Zenith Procurement"/>
    <s v="North America"/>
    <s v="WH 08"/>
    <s v="Chicago"/>
    <x v="2"/>
    <n v="182"/>
    <n v="349.8"/>
    <n v="63663.6"/>
    <n v="11.34"/>
    <n v="13"/>
    <n v="17"/>
    <n v="828"/>
    <x v="0"/>
    <x v="0"/>
    <n v="15099.45"/>
  </r>
  <r>
    <n v="100897"/>
    <d v="2025-06-21T00:00:00"/>
    <d v="2025-06-23T00:00:00"/>
    <d v="2025-06-30T00:00:00"/>
    <s v="C2935"/>
    <x v="4"/>
    <s v="Qatar"/>
    <s v="P52213"/>
    <s v="First Aid Kit"/>
    <s v="Healthcare"/>
    <s v="S158"/>
    <s v="Nova Industrial"/>
    <s v="Europe"/>
    <s v="WH 05"/>
    <s v="Frankfurt"/>
    <x v="3"/>
    <n v="105"/>
    <n v="36.18"/>
    <n v="3798.9"/>
    <n v="13.24"/>
    <n v="7"/>
    <n v="9"/>
    <n v="2085"/>
    <x v="0"/>
    <x v="0"/>
    <n v="587.05999999999995"/>
  </r>
  <r>
    <n v="100898"/>
    <d v="2025-06-20T00:00:00"/>
    <d v="2025-06-25T00:00:00"/>
    <d v="2025-07-06T00:00:00"/>
    <s v="C5204"/>
    <x v="4"/>
    <s v="Qatar"/>
    <s v="P44136"/>
    <s v="T Shirt Bundle"/>
    <s v="Apparel"/>
    <s v="S365"/>
    <s v="Crescent Logistics"/>
    <s v="North America"/>
    <s v="WH 05"/>
    <s v="Frankfurt"/>
    <x v="2"/>
    <n v="231"/>
    <n v="41.87"/>
    <n v="9671.9699999999993"/>
    <n v="12.23"/>
    <n v="11"/>
    <n v="16"/>
    <n v="1667"/>
    <x v="0"/>
    <x v="0"/>
    <n v="994.11"/>
  </r>
  <r>
    <n v="100899"/>
    <d v="2024-05-21T00:00:00"/>
    <d v="2024-05-25T00:00:00"/>
    <d v="2024-06-13T00:00:00"/>
    <s v="C6378"/>
    <x v="3"/>
    <s v="Netherlands"/>
    <s v="P81094"/>
    <s v="Detergent Bag"/>
    <s v="FMCG"/>
    <s v="S210"/>
    <s v="Nova Industrial"/>
    <s v="Europe"/>
    <s v="WH 03"/>
    <s v="Dubai"/>
    <x v="3"/>
    <n v="241"/>
    <n v="21.22"/>
    <n v="5114.0200000000004"/>
    <n v="12.26"/>
    <n v="19"/>
    <n v="23"/>
    <n v="830"/>
    <x v="1"/>
    <x v="3"/>
    <n v="623.79"/>
  </r>
  <r>
    <n v="100900"/>
    <d v="2025-11-26T00:00:00"/>
    <d v="2025-11-26T00:00:00"/>
    <d v="2025-12-08T00:00:00"/>
    <s v="C6429"/>
    <x v="3"/>
    <s v="France"/>
    <s v="P58634"/>
    <s v="Bluetooth Speaker"/>
    <s v="Electronics"/>
    <s v="S445"/>
    <s v="Zenith Procurement"/>
    <s v="Africa"/>
    <s v="WH 03"/>
    <s v="Dubai"/>
    <x v="2"/>
    <n v="90"/>
    <n v="187.43"/>
    <n v="16868.7"/>
    <n v="9.66"/>
    <n v="12"/>
    <n v="12"/>
    <n v="836"/>
    <x v="0"/>
    <x v="0"/>
    <n v="1933.81"/>
  </r>
  <r>
    <n v="100901"/>
    <d v="2025-10-30T00:00:00"/>
    <d v="2025-11-01T00:00:00"/>
    <d v="2025-11-13T00:00:00"/>
    <s v="C4959"/>
    <x v="2"/>
    <s v="Canada"/>
    <s v="P57289"/>
    <s v="Toothpaste Box"/>
    <s v="FMCG"/>
    <s v="S781"/>
    <s v="Summit Supply Co"/>
    <s v="Asia"/>
    <s v="WH 06"/>
    <s v="Amsterdam"/>
    <x v="3"/>
    <n v="213"/>
    <n v="33.24"/>
    <n v="7080.12"/>
    <n v="15.87"/>
    <n v="12"/>
    <n v="14"/>
    <n v="3013"/>
    <x v="1"/>
    <x v="3"/>
    <n v="361.68"/>
  </r>
  <r>
    <n v="100902"/>
    <d v="2025-10-17T00:00:00"/>
    <d v="2025-10-21T00:00:00"/>
    <d v="2025-10-24T00:00:00"/>
    <s v="C3303"/>
    <x v="3"/>
    <s v="Italy"/>
    <s v="P62833"/>
    <s v="Storage Cabinet"/>
    <s v="Furniture"/>
    <s v="S784"/>
    <s v="Crescent Logistics"/>
    <s v="Africa"/>
    <s v="WH 05"/>
    <s v="Frankfurt"/>
    <x v="1"/>
    <n v="159"/>
    <n v="132.38999999999999"/>
    <n v="21050.01"/>
    <n v="38.82"/>
    <n v="3"/>
    <n v="7"/>
    <n v="1132"/>
    <x v="2"/>
    <x v="0"/>
    <n v="2709.23"/>
  </r>
  <r>
    <n v="100903"/>
    <d v="2025-01-01T00:00:00"/>
    <d v="2025-01-04T00:00:00"/>
    <d v="2025-01-14T00:00:00"/>
    <s v="C2590"/>
    <x v="0"/>
    <s v="Malaysia"/>
    <s v="P32388"/>
    <s v="Study Table"/>
    <s v="Furniture"/>
    <s v="S819"/>
    <s v="Pioneer Distribution"/>
    <s v="North America"/>
    <s v="WH 03"/>
    <s v="Dubai"/>
    <x v="0"/>
    <n v="72"/>
    <n v="124.79"/>
    <n v="8984.8799999999992"/>
    <n v="14.52"/>
    <n v="10"/>
    <n v="13"/>
    <n v="1611"/>
    <x v="0"/>
    <x v="0"/>
    <n v="2185.35"/>
  </r>
  <r>
    <n v="100904"/>
    <d v="2025-08-03T00:00:00"/>
    <d v="2025-08-03T00:00:00"/>
    <d v="2025-08-10T00:00:00"/>
    <s v="C1793"/>
    <x v="1"/>
    <s v="Morocco"/>
    <s v="P29483"/>
    <s v="Hoodie"/>
    <s v="Apparel"/>
    <s v="S907"/>
    <s v="Pioneer Distribution"/>
    <s v="North America"/>
    <s v="WH 10"/>
    <s v="Cairo"/>
    <x v="0"/>
    <n v="408"/>
    <n v="84.68"/>
    <n v="34549.440000000002"/>
    <n v="24.04"/>
    <n v="7"/>
    <n v="7"/>
    <n v="2747"/>
    <x v="2"/>
    <x v="0"/>
    <n v="9142.91"/>
  </r>
  <r>
    <n v="100905"/>
    <d v="2024-07-08T00:00:00"/>
    <d v="2024-07-11T00:00:00"/>
    <d v="2024-07-31T00:00:00"/>
    <s v="C6413"/>
    <x v="1"/>
    <s v="Egypt"/>
    <s v="P81310"/>
    <s v="T Shirt Bundle"/>
    <s v="Apparel"/>
    <s v="S279"/>
    <s v="Pioneer Distribution"/>
    <s v="Asia"/>
    <s v="WH 03"/>
    <s v="Dubai"/>
    <x v="2"/>
    <n v="294"/>
    <n v="75.650000000000006"/>
    <n v="22241.1"/>
    <n v="13.38"/>
    <n v="20"/>
    <n v="23"/>
    <n v="1617"/>
    <x v="1"/>
    <x v="2"/>
    <n v="6479.12"/>
  </r>
  <r>
    <n v="100906"/>
    <d v="2024-11-11T00:00:00"/>
    <d v="2024-11-16T00:00:00"/>
    <d v="2024-11-21T00:00:00"/>
    <s v="C7856"/>
    <x v="2"/>
    <s v="United States"/>
    <s v="P45200"/>
    <s v="Storage Cabinet"/>
    <s v="Furniture"/>
    <s v="S413"/>
    <s v="Atlas Sourcing"/>
    <s v="Middle East"/>
    <s v="WH 06"/>
    <s v="Amsterdam"/>
    <x v="0"/>
    <n v="268"/>
    <n v="244.22"/>
    <n v="65450.96"/>
    <n v="20.07"/>
    <n v="5"/>
    <n v="10"/>
    <n v="966"/>
    <x v="0"/>
    <x v="0"/>
    <n v="9502.08"/>
  </r>
  <r>
    <n v="100907"/>
    <d v="2025-01-06T00:00:00"/>
    <d v="2025-01-08T00:00:00"/>
    <d v="2025-01-16T00:00:00"/>
    <s v="C2379"/>
    <x v="2"/>
    <s v="United States"/>
    <s v="P19675"/>
    <s v="First Aid Kit"/>
    <s v="Healthcare"/>
    <s v="S602"/>
    <s v="Vertex Manufacturing"/>
    <s v="Africa"/>
    <s v="WH 04"/>
    <s v="Istanbul"/>
    <x v="0"/>
    <n v="36"/>
    <n v="66.22"/>
    <n v="2383.92"/>
    <n v="13.49"/>
    <n v="8"/>
    <n v="10"/>
    <n v="1000"/>
    <x v="0"/>
    <x v="0"/>
    <n v="189.91"/>
  </r>
  <r>
    <n v="100908"/>
    <d v="2024-07-04T00:00:00"/>
    <d v="2024-07-09T00:00:00"/>
    <d v="2024-07-14T00:00:00"/>
    <s v="C3126"/>
    <x v="3"/>
    <s v="Germany"/>
    <s v="P63013"/>
    <s v="Router"/>
    <s v="Electronics"/>
    <s v="S883"/>
    <s v="Pioneer Distribution"/>
    <s v="Asia"/>
    <s v="WH 09"/>
    <s v="Johannesburg"/>
    <x v="1"/>
    <n v="41"/>
    <n v="305.7"/>
    <n v="12533.7"/>
    <n v="31.17"/>
    <n v="5"/>
    <n v="10"/>
    <n v="1215"/>
    <x v="0"/>
    <x v="0"/>
    <n v="1366.12"/>
  </r>
  <r>
    <n v="100909"/>
    <d v="2025-07-08T00:00:00"/>
    <d v="2025-07-11T00:00:00"/>
    <d v="2025-07-20T00:00:00"/>
    <s v="C3567"/>
    <x v="3"/>
    <s v="Spain"/>
    <s v="P25233"/>
    <s v="Socks Pack"/>
    <s v="Apparel"/>
    <s v="S151"/>
    <s v="Vertex Manufacturing"/>
    <s v="Africa"/>
    <s v="WH 01"/>
    <s v="Karachi"/>
    <x v="3"/>
    <n v="54"/>
    <n v="62.49"/>
    <n v="3374.46"/>
    <n v="12"/>
    <n v="9"/>
    <n v="12"/>
    <n v="961"/>
    <x v="0"/>
    <x v="0"/>
    <n v="867.17"/>
  </r>
  <r>
    <n v="100910"/>
    <d v="2024-09-18T00:00:00"/>
    <d v="2024-09-21T00:00:00"/>
    <d v="2024-09-24T00:00:00"/>
    <s v="C2976"/>
    <x v="4"/>
    <s v="Saudi Arabia"/>
    <s v="P58328"/>
    <s v="Bookshelf"/>
    <s v="Furniture"/>
    <s v="S112"/>
    <s v="Evergreen Partners"/>
    <s v="North America"/>
    <s v="WH 01"/>
    <s v="Karachi"/>
    <x v="1"/>
    <n v="452"/>
    <n v="143.76"/>
    <n v="64979.519999999997"/>
    <n v="57.8"/>
    <n v="3"/>
    <n v="6"/>
    <n v="335"/>
    <x v="1"/>
    <x v="2"/>
    <n v="12666.95"/>
  </r>
  <r>
    <n v="100911"/>
    <d v="2025-05-12T00:00:00"/>
    <d v="2025-05-12T00:00:00"/>
    <d v="2025-05-13T00:00:00"/>
    <s v="C7094"/>
    <x v="2"/>
    <s v="Canada"/>
    <s v="P71471"/>
    <s v="Sportswear Set"/>
    <s v="Apparel"/>
    <s v="S709"/>
    <s v="Summit Supply Co"/>
    <s v="Asia"/>
    <s v="WH 04"/>
    <s v="Istanbul"/>
    <x v="1"/>
    <n v="52"/>
    <n v="81.36"/>
    <n v="4230.72"/>
    <n v="31.88"/>
    <n v="1"/>
    <n v="1"/>
    <n v="1995"/>
    <x v="2"/>
    <x v="0"/>
    <n v="1126.29"/>
  </r>
  <r>
    <n v="100912"/>
    <d v="2025-07-28T00:00:00"/>
    <d v="2025-07-30T00:00:00"/>
    <d v="2025-08-13T00:00:00"/>
    <s v="C7180"/>
    <x v="4"/>
    <s v="Oman"/>
    <s v="P67435"/>
    <s v="Denim Jeans"/>
    <s v="Apparel"/>
    <s v="S919"/>
    <s v="Evergreen Partners"/>
    <s v="Middle East"/>
    <s v="WH 03"/>
    <s v="Dubai"/>
    <x v="3"/>
    <n v="194"/>
    <n v="112.2"/>
    <n v="21766.799999999999"/>
    <n v="11.41"/>
    <n v="14"/>
    <n v="16"/>
    <n v="1721"/>
    <x v="0"/>
    <x v="0"/>
    <n v="1978.41"/>
  </r>
  <r>
    <n v="100913"/>
    <d v="2025-04-16T00:00:00"/>
    <d v="2025-04-19T00:00:00"/>
    <d v="2025-04-27T00:00:00"/>
    <s v="C7655"/>
    <x v="3"/>
    <s v="France"/>
    <s v="P36485"/>
    <s v="Sportswear Set"/>
    <s v="Apparel"/>
    <s v="S675"/>
    <s v="Summit Supply Co"/>
    <s v="North America"/>
    <s v="WH 02"/>
    <s v="Lahore"/>
    <x v="0"/>
    <n v="21"/>
    <n v="67.72"/>
    <n v="1422.12"/>
    <n v="13.07"/>
    <n v="8"/>
    <n v="11"/>
    <n v="1347"/>
    <x v="0"/>
    <x v="0"/>
    <n v="215.71"/>
  </r>
  <r>
    <n v="100914"/>
    <d v="2024-08-31T00:00:00"/>
    <d v="2024-09-03T00:00:00"/>
    <d v="2024-09-15T00:00:00"/>
    <s v="C6786"/>
    <x v="0"/>
    <s v="Pakistan"/>
    <s v="P48174"/>
    <s v="Bookshelf"/>
    <s v="Furniture"/>
    <s v="S268"/>
    <s v="Evergreen Partners"/>
    <s v="Europe"/>
    <s v="WH 09"/>
    <s v="Johannesburg"/>
    <x v="3"/>
    <n v="429"/>
    <n v="122.32"/>
    <n v="52475.28"/>
    <n v="21.12"/>
    <n v="12"/>
    <n v="15"/>
    <n v="867"/>
    <x v="0"/>
    <x v="0"/>
    <n v="14211.16"/>
  </r>
  <r>
    <n v="100915"/>
    <d v="2025-07-06T00:00:00"/>
    <d v="2025-07-09T00:00:00"/>
    <d v="2025-07-15T00:00:00"/>
    <s v="C2018"/>
    <x v="1"/>
    <s v="Kenya"/>
    <s v="P61105"/>
    <s v="Toothpaste Box"/>
    <s v="FMCG"/>
    <s v="S266"/>
    <s v="Evergreen Partners"/>
    <s v="North America"/>
    <s v="WH 09"/>
    <s v="Johannesburg"/>
    <x v="3"/>
    <n v="132"/>
    <n v="19.34"/>
    <n v="2552.88"/>
    <n v="13.9"/>
    <n v="6"/>
    <n v="9"/>
    <n v="2596"/>
    <x v="0"/>
    <x v="0"/>
    <n v="423.9"/>
  </r>
  <r>
    <n v="100916"/>
    <d v="2024-08-21T00:00:00"/>
    <d v="2024-08-22T00:00:00"/>
    <d v="2024-09-04T00:00:00"/>
    <s v="C6497"/>
    <x v="0"/>
    <s v="Vietnam"/>
    <s v="P93984"/>
    <s v="Socks Pack"/>
    <s v="Apparel"/>
    <s v="S344"/>
    <s v="Nova Industrial"/>
    <s v="Middle East"/>
    <s v="WH 09"/>
    <s v="Johannesburg"/>
    <x v="3"/>
    <n v="215"/>
    <n v="58.88"/>
    <n v="12659.2"/>
    <n v="15.92"/>
    <n v="13"/>
    <n v="14"/>
    <n v="866"/>
    <x v="0"/>
    <x v="0"/>
    <n v="990.34"/>
  </r>
  <r>
    <n v="100917"/>
    <d v="2024-08-27T00:00:00"/>
    <d v="2024-08-27T00:00:00"/>
    <d v="2024-09-10T00:00:00"/>
    <s v="C4667"/>
    <x v="3"/>
    <s v="Germany"/>
    <s v="P12246"/>
    <s v="Smart Watch"/>
    <s v="Electronics"/>
    <s v="S654"/>
    <s v="Nova Industrial"/>
    <s v="North America"/>
    <s v="WH 08"/>
    <s v="Chicago"/>
    <x v="3"/>
    <n v="497"/>
    <n v="361"/>
    <n v="179417"/>
    <n v="22.77"/>
    <n v="14"/>
    <n v="14"/>
    <n v="900"/>
    <x v="0"/>
    <x v="0"/>
    <n v="38210.949999999997"/>
  </r>
  <r>
    <n v="100918"/>
    <d v="2024-02-28T00:00:00"/>
    <d v="2024-03-03T00:00:00"/>
    <d v="2024-03-11T00:00:00"/>
    <s v="C3800"/>
    <x v="2"/>
    <s v="Canada"/>
    <s v="P46719"/>
    <s v="Bottled Water Case"/>
    <s v="FMCG"/>
    <s v="S441"/>
    <s v="Atlas Sourcing"/>
    <s v="Asia"/>
    <s v="WH 02"/>
    <s v="Lahore"/>
    <x v="0"/>
    <n v="107"/>
    <n v="25.52"/>
    <n v="2730.64"/>
    <n v="15.51"/>
    <n v="8"/>
    <n v="12"/>
    <n v="1752"/>
    <x v="0"/>
    <x v="0"/>
    <n v="334.66"/>
  </r>
  <r>
    <n v="100919"/>
    <d v="2025-06-09T00:00:00"/>
    <d v="2025-06-13T00:00:00"/>
    <d v="2025-06-23T00:00:00"/>
    <s v="C2846"/>
    <x v="4"/>
    <s v="United Arab Emirates"/>
    <s v="P56491"/>
    <s v="Hand Sanitizer Case"/>
    <s v="Healthcare"/>
    <s v="S977"/>
    <s v="Vertex Manufacturing"/>
    <s v="Middle East"/>
    <s v="WH 10"/>
    <s v="Cairo"/>
    <x v="1"/>
    <n v="226"/>
    <n v="18.91"/>
    <n v="4273.66"/>
    <n v="31.97"/>
    <n v="10"/>
    <n v="14"/>
    <n v="4331"/>
    <x v="0"/>
    <x v="0"/>
    <n v="812.79"/>
  </r>
  <r>
    <n v="100920"/>
    <d v="2024-03-09T00:00:00"/>
    <d v="2024-03-11T00:00:00"/>
    <d v="2024-03-21T00:00:00"/>
    <s v="C6858"/>
    <x v="2"/>
    <s v="Mexico"/>
    <s v="P76480"/>
    <s v="Office Chair"/>
    <s v="Furniture"/>
    <s v="S587"/>
    <s v="Zenith Procurement"/>
    <s v="Africa"/>
    <s v="WH 10"/>
    <s v="Cairo"/>
    <x v="3"/>
    <n v="440"/>
    <n v="138.19"/>
    <n v="60803.6"/>
    <n v="21.38"/>
    <n v="10"/>
    <n v="12"/>
    <n v="279"/>
    <x v="0"/>
    <x v="0"/>
    <n v="9634.98"/>
  </r>
  <r>
    <n v="100921"/>
    <d v="2024-03-22T00:00:00"/>
    <d v="2024-03-27T00:00:00"/>
    <d v="2024-04-03T00:00:00"/>
    <s v="C4145"/>
    <x v="2"/>
    <s v="United States"/>
    <s v="P17802"/>
    <s v="Vitamin Pack"/>
    <s v="Healthcare"/>
    <s v="S315"/>
    <s v="Crescent Logistics"/>
    <s v="North America"/>
    <s v="WH 08"/>
    <s v="Chicago"/>
    <x v="0"/>
    <n v="299"/>
    <n v="21.57"/>
    <n v="6449.43"/>
    <n v="15.52"/>
    <n v="7"/>
    <n v="12"/>
    <n v="1122"/>
    <x v="0"/>
    <x v="0"/>
    <n v="967.5"/>
  </r>
  <r>
    <n v="100922"/>
    <d v="2025-01-23T00:00:00"/>
    <d v="2025-01-24T00:00:00"/>
    <d v="2025-02-14T00:00:00"/>
    <s v="C8000"/>
    <x v="2"/>
    <s v="United States"/>
    <s v="P13512"/>
    <s v="Wireless Earbuds"/>
    <s v="Electronics"/>
    <s v="S880"/>
    <s v="Zenith Procurement"/>
    <s v="Middle East"/>
    <s v="WH 06"/>
    <s v="Amsterdam"/>
    <x v="2"/>
    <n v="393"/>
    <n v="365.46"/>
    <n v="143625.78"/>
    <n v="15.18"/>
    <n v="21"/>
    <n v="22"/>
    <n v="613"/>
    <x v="0"/>
    <x v="0"/>
    <n v="14800.7"/>
  </r>
  <r>
    <n v="100923"/>
    <d v="2024-11-07T00:00:00"/>
    <d v="2024-11-11T00:00:00"/>
    <d v="2024-11-20T00:00:00"/>
    <s v="C8611"/>
    <x v="2"/>
    <s v="Canada"/>
    <s v="P55414"/>
    <s v="Vitamin Pack"/>
    <s v="Healthcare"/>
    <s v="S467"/>
    <s v="Summit Supply Co"/>
    <s v="Europe"/>
    <s v="WH 03"/>
    <s v="Dubai"/>
    <x v="0"/>
    <n v="178"/>
    <n v="50.27"/>
    <n v="8948.06"/>
    <n v="17.52"/>
    <n v="9"/>
    <n v="13"/>
    <n v="3229"/>
    <x v="0"/>
    <x v="0"/>
    <n v="1451.74"/>
  </r>
  <r>
    <n v="100924"/>
    <d v="2025-03-12T00:00:00"/>
    <d v="2025-03-16T00:00:00"/>
    <d v="2025-03-20T00:00:00"/>
    <s v="C5308"/>
    <x v="1"/>
    <s v="Kenya"/>
    <s v="P84855"/>
    <s v="Hand Sanitizer Case"/>
    <s v="Healthcare"/>
    <s v="S291"/>
    <s v="Zenith Procurement"/>
    <s v="North America"/>
    <s v="WH 05"/>
    <s v="Frankfurt"/>
    <x v="0"/>
    <n v="438"/>
    <n v="28.68"/>
    <n v="12561.84"/>
    <n v="24.89"/>
    <n v="4"/>
    <n v="8"/>
    <n v="1603"/>
    <x v="0"/>
    <x v="0"/>
    <n v="1431.8"/>
  </r>
  <r>
    <n v="100925"/>
    <d v="2025-07-24T00:00:00"/>
    <d v="2025-07-24T00:00:00"/>
    <d v="2025-07-29T00:00:00"/>
    <s v="C9802"/>
    <x v="0"/>
    <s v="Indonesia"/>
    <s v="P33901"/>
    <s v="Hand Sanitizer Case"/>
    <s v="Healthcare"/>
    <s v="S787"/>
    <s v="Crescent Logistics"/>
    <s v="Asia"/>
    <s v="WH 03"/>
    <s v="Dubai"/>
    <x v="1"/>
    <n v="271"/>
    <n v="62.77"/>
    <n v="17010.669999999998"/>
    <n v="34.130000000000003"/>
    <n v="5"/>
    <n v="5"/>
    <n v="3460"/>
    <x v="2"/>
    <x v="0"/>
    <n v="1604.35"/>
  </r>
  <r>
    <n v="100926"/>
    <d v="2024-03-04T00:00:00"/>
    <d v="2024-03-08T00:00:00"/>
    <d v="2024-03-11T00:00:00"/>
    <s v="C3517"/>
    <x v="2"/>
    <s v="Canada"/>
    <s v="P97725"/>
    <s v="Bookshelf"/>
    <s v="Furniture"/>
    <s v="S172"/>
    <s v="Crescent Logistics"/>
    <s v="Asia"/>
    <s v="WH 04"/>
    <s v="Istanbul"/>
    <x v="1"/>
    <n v="93"/>
    <n v="318.22000000000003"/>
    <n v="29594.46"/>
    <n v="34.54"/>
    <n v="3"/>
    <n v="7"/>
    <n v="1531"/>
    <x v="2"/>
    <x v="0"/>
    <n v="5121.7"/>
  </r>
  <r>
    <n v="100927"/>
    <d v="2024-07-21T00:00:00"/>
    <d v="2024-07-21T00:00:00"/>
    <d v="2024-08-04T00:00:00"/>
    <s v="C9509"/>
    <x v="1"/>
    <s v="Kenya"/>
    <s v="P97221"/>
    <s v="Detergent Bag"/>
    <s v="FMCG"/>
    <s v="S714"/>
    <s v="Vertex Manufacturing"/>
    <s v="Africa"/>
    <s v="WH 09"/>
    <s v="Johannesburg"/>
    <x v="2"/>
    <n v="325"/>
    <n v="39.36"/>
    <n v="12792"/>
    <n v="10.33"/>
    <n v="14"/>
    <n v="14"/>
    <n v="3996"/>
    <x v="0"/>
    <x v="0"/>
    <n v="1503.46"/>
  </r>
  <r>
    <n v="100928"/>
    <d v="2025-05-09T00:00:00"/>
    <d v="2025-05-10T00:00:00"/>
    <d v="2025-05-14T00:00:00"/>
    <s v="C6541"/>
    <x v="4"/>
    <s v="Oman"/>
    <s v="P59986"/>
    <s v="Bluetooth Speaker"/>
    <s v="Electronics"/>
    <s v="S293"/>
    <s v="Crescent Logistics"/>
    <s v="Asia"/>
    <s v="WH 08"/>
    <s v="Chicago"/>
    <x v="0"/>
    <n v="317"/>
    <n v="311.3"/>
    <n v="98682.1"/>
    <n v="21.46"/>
    <n v="4"/>
    <n v="5"/>
    <n v="555"/>
    <x v="2"/>
    <x v="0"/>
    <n v="11390.66"/>
  </r>
  <r>
    <n v="100929"/>
    <d v="2025-08-30T00:00:00"/>
    <d v="2025-09-01T00:00:00"/>
    <d v="2025-09-06T00:00:00"/>
    <s v="C9383"/>
    <x v="2"/>
    <s v="Mexico"/>
    <s v="P78099"/>
    <s v="Denim Jeans"/>
    <s v="Apparel"/>
    <s v="S629"/>
    <s v="Pioneer Distribution"/>
    <s v="Africa"/>
    <s v="WH 09"/>
    <s v="Johannesburg"/>
    <x v="1"/>
    <n v="316"/>
    <n v="115.01"/>
    <n v="36343.160000000003"/>
    <n v="48.99"/>
    <n v="5"/>
    <n v="7"/>
    <n v="271"/>
    <x v="2"/>
    <x v="0"/>
    <n v="7272"/>
  </r>
  <r>
    <n v="100930"/>
    <d v="2024-10-27T00:00:00"/>
    <d v="2024-10-27T00:00:00"/>
    <d v="2024-11-01T00:00:00"/>
    <s v="C3562"/>
    <x v="3"/>
    <s v="Poland"/>
    <s v="P16641"/>
    <s v="T Shirt Bundle"/>
    <s v="Apparel"/>
    <s v="S627"/>
    <s v="BlueRiver Trading"/>
    <s v="Europe"/>
    <s v="WH 03"/>
    <s v="Dubai"/>
    <x v="1"/>
    <n v="407"/>
    <n v="14.81"/>
    <n v="6027.67"/>
    <n v="40.659999999999997"/>
    <n v="5"/>
    <n v="5"/>
    <n v="3484"/>
    <x v="2"/>
    <x v="0"/>
    <n v="1135.03"/>
  </r>
  <r>
    <n v="100931"/>
    <d v="2024-05-08T00:00:00"/>
    <d v="2024-05-09T00:00:00"/>
    <d v="2024-05-19T00:00:00"/>
    <s v="C3261"/>
    <x v="3"/>
    <s v="Italy"/>
    <s v="P37215"/>
    <s v="Toothpaste Box"/>
    <s v="FMCG"/>
    <s v="S874"/>
    <s v="Crescent Logistics"/>
    <s v="Asia"/>
    <s v="WH 07"/>
    <s v="Toronto"/>
    <x v="2"/>
    <n v="144"/>
    <n v="45.01"/>
    <n v="6481.44"/>
    <n v="10.64"/>
    <n v="10"/>
    <n v="11"/>
    <n v="4781"/>
    <x v="0"/>
    <x v="0"/>
    <n v="729.03"/>
  </r>
  <r>
    <n v="100932"/>
    <d v="2025-04-03T00:00:00"/>
    <d v="2025-04-07T00:00:00"/>
    <d v="2025-04-13T00:00:00"/>
    <s v="C5959"/>
    <x v="0"/>
    <s v="Pakistan"/>
    <s v="P92979"/>
    <s v="Floor Lamp"/>
    <s v="Furniture"/>
    <s v="S178"/>
    <s v="Orion Supplies"/>
    <s v="Europe"/>
    <s v="WH 02"/>
    <s v="Lahore"/>
    <x v="0"/>
    <n v="284"/>
    <n v="227.89"/>
    <n v="64720.76"/>
    <n v="20.53"/>
    <n v="6"/>
    <n v="10"/>
    <n v="723"/>
    <x v="0"/>
    <x v="0"/>
    <n v="14714.24"/>
  </r>
  <r>
    <n v="100933"/>
    <d v="2025-05-25T00:00:00"/>
    <d v="2025-05-25T00:00:00"/>
    <d v="2025-06-03T00:00:00"/>
    <s v="C8245"/>
    <x v="1"/>
    <s v="Morocco"/>
    <s v="P77641"/>
    <s v="Power Bank"/>
    <s v="Electronics"/>
    <s v="S629"/>
    <s v="BlueRiver Trading"/>
    <s v="North America"/>
    <s v="WH 01"/>
    <s v="Karachi"/>
    <x v="0"/>
    <n v="217"/>
    <n v="449.74"/>
    <n v="97593.58"/>
    <n v="18.63"/>
    <n v="9"/>
    <n v="9"/>
    <n v="1208"/>
    <x v="0"/>
    <x v="0"/>
    <n v="11943.94"/>
  </r>
  <r>
    <n v="100934"/>
    <d v="2024-02-13T00:00:00"/>
    <d v="2024-02-15T00:00:00"/>
    <d v="2024-02-22T00:00:00"/>
    <s v="C7642"/>
    <x v="2"/>
    <s v="Mexico"/>
    <s v="P90913"/>
    <s v="Bluetooth Speaker"/>
    <s v="Electronics"/>
    <s v="S704"/>
    <s v="BlueRiver Trading"/>
    <s v="Africa"/>
    <s v="WH 04"/>
    <s v="Istanbul"/>
    <x v="0"/>
    <n v="492"/>
    <n v="211.04"/>
    <n v="103831.67999999999"/>
    <n v="26.42"/>
    <n v="7"/>
    <n v="9"/>
    <n v="1221"/>
    <x v="0"/>
    <x v="0"/>
    <n v="9086.65"/>
  </r>
  <r>
    <n v="100935"/>
    <d v="2024-03-06T00:00:00"/>
    <d v="2024-03-10T00:00:00"/>
    <d v="2024-04-02T00:00:00"/>
    <s v="C5076"/>
    <x v="3"/>
    <s v="Poland"/>
    <s v="P42925"/>
    <s v="T Shirt Bundle"/>
    <s v="Apparel"/>
    <s v="S709"/>
    <s v="BlueRiver Trading"/>
    <s v="Europe"/>
    <s v="WH 05"/>
    <s v="Frankfurt"/>
    <x v="2"/>
    <n v="167"/>
    <n v="102.71"/>
    <n v="17152.57"/>
    <n v="8.19"/>
    <n v="23"/>
    <n v="27"/>
    <n v="3053"/>
    <x v="0"/>
    <x v="0"/>
    <n v="1934.06"/>
  </r>
  <r>
    <n v="100936"/>
    <d v="2024-03-11T00:00:00"/>
    <d v="2024-03-11T00:00:00"/>
    <d v="2024-03-14T00:00:00"/>
    <s v="C7953"/>
    <x v="2"/>
    <s v="United States"/>
    <s v="P62182"/>
    <s v="Thermometer"/>
    <s v="Healthcare"/>
    <s v="S279"/>
    <s v="Atlas Sourcing"/>
    <s v="Africa"/>
    <s v="WH 10"/>
    <s v="Cairo"/>
    <x v="1"/>
    <n v="125"/>
    <n v="48.57"/>
    <n v="6071.25"/>
    <n v="36.61"/>
    <n v="3"/>
    <n v="3"/>
    <n v="3276"/>
    <x v="2"/>
    <x v="0"/>
    <n v="1121.94"/>
  </r>
  <r>
    <n v="100937"/>
    <d v="2025-03-14T00:00:00"/>
    <d v="2025-03-16T00:00:00"/>
    <d v="2025-03-25T00:00:00"/>
    <s v="C8282"/>
    <x v="0"/>
    <s v="Vietnam"/>
    <s v="P36539"/>
    <s v="Vitamin Pack"/>
    <s v="Healthcare"/>
    <s v="S335"/>
    <s v="Summit Supply Co"/>
    <s v="Europe"/>
    <s v="WH 04"/>
    <s v="Istanbul"/>
    <x v="0"/>
    <n v="347"/>
    <n v="12.94"/>
    <n v="4490.18"/>
    <n v="22.31"/>
    <n v="9"/>
    <n v="11"/>
    <n v="1987"/>
    <x v="0"/>
    <x v="0"/>
    <n v="710.41"/>
  </r>
  <r>
    <n v="100938"/>
    <d v="2024-03-22T00:00:00"/>
    <d v="2024-03-25T00:00:00"/>
    <d v="2024-03-30T00:00:00"/>
    <s v="C7513"/>
    <x v="3"/>
    <s v="Sweden"/>
    <s v="P14642"/>
    <s v="Vitamin Pack"/>
    <s v="Healthcare"/>
    <s v="S634"/>
    <s v="BlueRiver Trading"/>
    <s v="Europe"/>
    <s v="WH 09"/>
    <s v="Johannesburg"/>
    <x v="1"/>
    <n v="115"/>
    <n v="74.010000000000005"/>
    <n v="8511.15"/>
    <n v="26.64"/>
    <n v="5"/>
    <n v="8"/>
    <n v="2474"/>
    <x v="0"/>
    <x v="0"/>
    <n v="980.21"/>
  </r>
  <r>
    <n v="100939"/>
    <d v="2024-11-10T00:00:00"/>
    <d v="2024-11-14T00:00:00"/>
    <d v="2024-12-01T00:00:00"/>
    <s v="C4177"/>
    <x v="2"/>
    <s v="Mexico"/>
    <s v="P80047"/>
    <s v="First Aid Kit"/>
    <s v="Healthcare"/>
    <s v="S656"/>
    <s v="Pioneer Distribution"/>
    <s v="Asia"/>
    <s v="WH 03"/>
    <s v="Dubai"/>
    <x v="3"/>
    <n v="307"/>
    <n v="27.91"/>
    <n v="8568.3700000000008"/>
    <n v="18.149999999999999"/>
    <n v="17"/>
    <n v="21"/>
    <n v="1744"/>
    <x v="1"/>
    <x v="3"/>
    <n v="938.09"/>
  </r>
  <r>
    <n v="100940"/>
    <d v="2025-12-07T00:00:00"/>
    <d v="2025-12-09T00:00:00"/>
    <d v="2025-12-11T00:00:00"/>
    <s v="C2145"/>
    <x v="4"/>
    <s v="Oman"/>
    <s v="P84638"/>
    <s v="Detergent Bag"/>
    <s v="FMCG"/>
    <s v="S334"/>
    <s v="Atlas Sourcing"/>
    <s v="Middle East"/>
    <s v="WH 02"/>
    <s v="Lahore"/>
    <x v="1"/>
    <n v="340"/>
    <n v="20.75"/>
    <n v="7055"/>
    <n v="37.44"/>
    <n v="2"/>
    <n v="4"/>
    <n v="3305"/>
    <x v="2"/>
    <x v="0"/>
    <n v="520.21"/>
  </r>
  <r>
    <n v="100941"/>
    <d v="2024-11-26T00:00:00"/>
    <d v="2024-11-28T00:00:00"/>
    <d v="2024-12-02T00:00:00"/>
    <s v="C9045"/>
    <x v="0"/>
    <s v="Malaysia"/>
    <s v="P62129"/>
    <s v="Router"/>
    <s v="Electronics"/>
    <s v="S327"/>
    <s v="Crescent Logistics"/>
    <s v="Middle East"/>
    <s v="WH 06"/>
    <s v="Amsterdam"/>
    <x v="1"/>
    <n v="203"/>
    <n v="182.87"/>
    <n v="37122.61"/>
    <n v="41.67"/>
    <n v="4"/>
    <n v="6"/>
    <n v="1316"/>
    <x v="2"/>
    <x v="0"/>
    <n v="7741.54"/>
  </r>
  <r>
    <n v="100942"/>
    <d v="2024-10-14T00:00:00"/>
    <d v="2024-10-15T00:00:00"/>
    <d v="2024-10-17T00:00:00"/>
    <s v="C3742"/>
    <x v="1"/>
    <s v="South Africa"/>
    <s v="P47403"/>
    <s v="Wireless Earbuds"/>
    <s v="Electronics"/>
    <s v="S429"/>
    <s v="Pioneer Distribution"/>
    <s v="Asia"/>
    <s v="WH 07"/>
    <s v="Toronto"/>
    <x v="1"/>
    <n v="479"/>
    <n v="212.38"/>
    <n v="101730.02"/>
    <n v="59.55"/>
    <n v="2"/>
    <n v="3"/>
    <n v="583"/>
    <x v="2"/>
    <x v="0"/>
    <n v="10339.91"/>
  </r>
  <r>
    <n v="100943"/>
    <d v="2024-05-01T00:00:00"/>
    <d v="2024-05-02T00:00:00"/>
    <d v="2024-05-05T00:00:00"/>
    <s v="C3971"/>
    <x v="4"/>
    <s v="Turkey"/>
    <s v="P15539"/>
    <s v="Sportswear Set"/>
    <s v="Apparel"/>
    <s v="S425"/>
    <s v="Atlas Sourcing"/>
    <s v="Africa"/>
    <s v="WH 07"/>
    <s v="Toronto"/>
    <x v="1"/>
    <n v="146"/>
    <n v="71.72"/>
    <n v="10471.120000000001"/>
    <n v="37.97"/>
    <n v="3"/>
    <n v="4"/>
    <n v="993"/>
    <x v="2"/>
    <x v="0"/>
    <n v="306.69"/>
  </r>
  <r>
    <n v="100944"/>
    <d v="2025-02-12T00:00:00"/>
    <d v="2025-02-16T00:00:00"/>
    <d v="2025-02-23T00:00:00"/>
    <s v="C1782"/>
    <x v="4"/>
    <s v="Saudi Arabia"/>
    <s v="P60659"/>
    <s v="Power Bank"/>
    <s v="Electronics"/>
    <s v="S860"/>
    <s v="Zenith Procurement"/>
    <s v="Europe"/>
    <s v="WH 01"/>
    <s v="Karachi"/>
    <x v="1"/>
    <n v="114"/>
    <n v="385.92"/>
    <n v="43994.879999999997"/>
    <n v="35.9"/>
    <n v="7"/>
    <n v="11"/>
    <n v="1056"/>
    <x v="0"/>
    <x v="0"/>
    <n v="8970.0400000000009"/>
  </r>
  <r>
    <n v="100945"/>
    <d v="2024-11-08T00:00:00"/>
    <d v="2024-11-11T00:00:00"/>
    <d v="2024-11-15T00:00:00"/>
    <s v="C3686"/>
    <x v="0"/>
    <s v="Malaysia"/>
    <s v="P18382"/>
    <s v="Storage Cabinet"/>
    <s v="Furniture"/>
    <s v="S770"/>
    <s v="BlueRiver Trading"/>
    <s v="Asia"/>
    <s v="WH 03"/>
    <s v="Dubai"/>
    <x v="3"/>
    <n v="340"/>
    <n v="334.08"/>
    <n v="113587.2"/>
    <n v="14.04"/>
    <n v="4"/>
    <n v="7"/>
    <n v="1692"/>
    <x v="2"/>
    <x v="0"/>
    <n v="31674.71"/>
  </r>
  <r>
    <n v="100946"/>
    <d v="2025-11-28T00:00:00"/>
    <d v="2025-12-02T00:00:00"/>
    <d v="2025-12-11T00:00:00"/>
    <s v="C9678"/>
    <x v="4"/>
    <s v="Turkey"/>
    <s v="P42521"/>
    <s v="Smart Watch"/>
    <s v="Electronics"/>
    <s v="S760"/>
    <s v="BlueRiver Trading"/>
    <s v="North America"/>
    <s v="WH 04"/>
    <s v="Istanbul"/>
    <x v="3"/>
    <n v="256"/>
    <n v="263.51"/>
    <n v="67458.559999999998"/>
    <n v="16.91"/>
    <n v="9"/>
    <n v="13"/>
    <n v="590"/>
    <x v="0"/>
    <x v="0"/>
    <n v="14380.25"/>
  </r>
  <r>
    <n v="100947"/>
    <d v="2025-10-05T00:00:00"/>
    <d v="2025-10-08T00:00:00"/>
    <d v="2025-10-09T00:00:00"/>
    <s v="C7196"/>
    <x v="3"/>
    <s v="Netherlands"/>
    <s v="P95827"/>
    <s v="Office Chair"/>
    <s v="Furniture"/>
    <s v="S292"/>
    <s v="Atlas Sourcing"/>
    <s v="Middle East"/>
    <s v="WH 08"/>
    <s v="Chicago"/>
    <x v="1"/>
    <n v="88"/>
    <n v="185.44"/>
    <n v="16318.72"/>
    <n v="34.21"/>
    <n v="1"/>
    <n v="4"/>
    <n v="247"/>
    <x v="2"/>
    <x v="0"/>
    <n v="3201.57"/>
  </r>
  <r>
    <n v="100948"/>
    <d v="2025-12-23T00:00:00"/>
    <d v="2025-12-27T00:00:00"/>
    <d v="2025-12-29T00:00:00"/>
    <s v="C4989"/>
    <x v="1"/>
    <s v="Morocco"/>
    <s v="P72805"/>
    <s v="Sportswear Set"/>
    <s v="Apparel"/>
    <s v="S897"/>
    <s v="Zenith Procurement"/>
    <s v="Middle East"/>
    <s v="WH 10"/>
    <s v="Cairo"/>
    <x v="1"/>
    <n v="181"/>
    <n v="111.66"/>
    <n v="20210.46"/>
    <n v="40.24"/>
    <n v="2"/>
    <n v="6"/>
    <n v="2160"/>
    <x v="2"/>
    <x v="0"/>
    <n v="5566.82"/>
  </r>
  <r>
    <n v="100949"/>
    <d v="2024-07-07T00:00:00"/>
    <d v="2024-07-07T00:00:00"/>
    <d v="2024-07-12T00:00:00"/>
    <s v="C7820"/>
    <x v="4"/>
    <s v="Turkey"/>
    <s v="P18512"/>
    <s v="Denim Jeans"/>
    <s v="Apparel"/>
    <s v="S985"/>
    <s v="Pioneer Distribution"/>
    <s v="Asia"/>
    <s v="WH 02"/>
    <s v="Lahore"/>
    <x v="3"/>
    <n v="344"/>
    <n v="28.52"/>
    <n v="9810.8799999999992"/>
    <n v="19.05"/>
    <n v="5"/>
    <n v="5"/>
    <n v="3062"/>
    <x v="1"/>
    <x v="1"/>
    <n v="-202.55"/>
  </r>
  <r>
    <n v="100950"/>
    <d v="2025-01-16T00:00:00"/>
    <d v="2025-01-19T00:00:00"/>
    <d v="2025-01-20T00:00:00"/>
    <s v="C1004"/>
    <x v="4"/>
    <s v="Oman"/>
    <s v="P28782"/>
    <s v="Toothpaste Box"/>
    <s v="FMCG"/>
    <s v="S682"/>
    <s v="Orion Supplies"/>
    <s v="Asia"/>
    <s v="WH 01"/>
    <s v="Karachi"/>
    <x v="1"/>
    <n v="474"/>
    <n v="17.239999999999998"/>
    <n v="8171.76"/>
    <n v="59.23"/>
    <n v="1"/>
    <n v="4"/>
    <n v="4520"/>
    <x v="2"/>
    <x v="0"/>
    <n v="384.84"/>
  </r>
  <r>
    <n v="100951"/>
    <d v="2024-06-01T00:00:00"/>
    <d v="2024-06-05T00:00:00"/>
    <d v="2024-06-11T00:00:00"/>
    <s v="C4521"/>
    <x v="4"/>
    <s v="United Arab Emirates"/>
    <s v="P76836"/>
    <s v="Bottled Water Case"/>
    <s v="FMCG"/>
    <s v="S551"/>
    <s v="Vertex Manufacturing"/>
    <s v="North America"/>
    <s v="WH 03"/>
    <s v="Dubai"/>
    <x v="0"/>
    <n v="437"/>
    <n v="21.57"/>
    <n v="9426.09"/>
    <n v="24.86"/>
    <n v="6"/>
    <n v="10"/>
    <n v="3589"/>
    <x v="0"/>
    <x v="0"/>
    <n v="462.7"/>
  </r>
  <r>
    <n v="100952"/>
    <d v="2025-12-11T00:00:00"/>
    <d v="2025-12-16T00:00:00"/>
    <d v="2025-12-21T00:00:00"/>
    <s v="C9171"/>
    <x v="1"/>
    <s v="Morocco"/>
    <s v="P29874"/>
    <s v="Bluetooth Speaker"/>
    <s v="Electronics"/>
    <s v="S306"/>
    <s v="Summit Supply Co"/>
    <s v="Middle East"/>
    <s v="WH 08"/>
    <s v="Chicago"/>
    <x v="1"/>
    <n v="183"/>
    <n v="257.48"/>
    <n v="47118.84"/>
    <n v="40.369999999999997"/>
    <n v="5"/>
    <n v="10"/>
    <n v="1109"/>
    <x v="0"/>
    <x v="0"/>
    <n v="4423.38"/>
  </r>
  <r>
    <n v="100953"/>
    <d v="2024-08-28T00:00:00"/>
    <d v="2024-09-01T00:00:00"/>
    <d v="2024-09-17T00:00:00"/>
    <s v="C4324"/>
    <x v="2"/>
    <s v="Mexico"/>
    <s v="P56221"/>
    <s v="Floor Lamp"/>
    <s v="Furniture"/>
    <s v="S913"/>
    <s v="Summit Supply Co"/>
    <s v="North America"/>
    <s v="WH 09"/>
    <s v="Johannesburg"/>
    <x v="2"/>
    <n v="152"/>
    <n v="185.87"/>
    <n v="28252.240000000002"/>
    <n v="7.99"/>
    <n v="16"/>
    <n v="20"/>
    <n v="57"/>
    <x v="1"/>
    <x v="1"/>
    <n v="-27.27"/>
  </r>
  <r>
    <n v="100954"/>
    <d v="2025-02-11T00:00:00"/>
    <d v="2025-02-16T00:00:00"/>
    <d v="2025-02-17T00:00:00"/>
    <s v="C1578"/>
    <x v="1"/>
    <s v="Morocco"/>
    <s v="P67290"/>
    <s v="Bluetooth Speaker"/>
    <s v="Electronics"/>
    <s v="S486"/>
    <s v="Evergreen Partners"/>
    <s v="Asia"/>
    <s v="WH 07"/>
    <s v="Toronto"/>
    <x v="1"/>
    <n v="421"/>
    <n v="173.99"/>
    <n v="73249.789999999994"/>
    <n v="55.79"/>
    <n v="1"/>
    <n v="6"/>
    <n v="1426"/>
    <x v="2"/>
    <x v="0"/>
    <n v="10591.33"/>
  </r>
  <r>
    <n v="100955"/>
    <d v="2024-05-19T00:00:00"/>
    <d v="2024-05-19T00:00:00"/>
    <d v="2024-05-30T00:00:00"/>
    <s v="C2887"/>
    <x v="2"/>
    <s v="Canada"/>
    <s v="P92911"/>
    <s v="Floor Lamp"/>
    <s v="Furniture"/>
    <s v="S208"/>
    <s v="Orion Supplies"/>
    <s v="Asia"/>
    <s v="WH 03"/>
    <s v="Dubai"/>
    <x v="3"/>
    <n v="494"/>
    <n v="75.599999999999994"/>
    <n v="37346.400000000001"/>
    <n v="22.7"/>
    <n v="11"/>
    <n v="11"/>
    <n v="1789"/>
    <x v="0"/>
    <x v="0"/>
    <n v="4567.37"/>
  </r>
  <r>
    <n v="100956"/>
    <d v="2024-03-13T00:00:00"/>
    <d v="2024-03-13T00:00:00"/>
    <d v="2024-03-17T00:00:00"/>
    <s v="C9581"/>
    <x v="3"/>
    <s v="Spain"/>
    <s v="P95333"/>
    <s v="Study Table"/>
    <s v="Furniture"/>
    <s v="S389"/>
    <s v="Nova Industrial"/>
    <s v="Middle East"/>
    <s v="WH 08"/>
    <s v="Chicago"/>
    <x v="1"/>
    <n v="65"/>
    <n v="270.14999999999998"/>
    <n v="17559.75"/>
    <n v="32.72"/>
    <n v="4"/>
    <n v="4"/>
    <n v="475"/>
    <x v="2"/>
    <x v="0"/>
    <n v="2530.2399999999998"/>
  </r>
  <r>
    <n v="100957"/>
    <d v="2025-04-23T00:00:00"/>
    <d v="2025-04-24T00:00:00"/>
    <d v="2025-05-03T00:00:00"/>
    <s v="C6083"/>
    <x v="1"/>
    <s v="Egypt"/>
    <s v="P18816"/>
    <s v="Thermometer"/>
    <s v="Healthcare"/>
    <s v="S129"/>
    <s v="Vertex Manufacturing"/>
    <s v="Middle East"/>
    <s v="WH 08"/>
    <s v="Chicago"/>
    <x v="0"/>
    <n v="137"/>
    <n v="14.91"/>
    <n v="2042.67"/>
    <n v="16.36"/>
    <n v="9"/>
    <n v="10"/>
    <n v="1278"/>
    <x v="0"/>
    <x v="0"/>
    <n v="218.71"/>
  </r>
  <r>
    <n v="100958"/>
    <d v="2025-01-25T00:00:00"/>
    <d v="2025-01-25T00:00:00"/>
    <d v="2025-02-08T00:00:00"/>
    <s v="C1171"/>
    <x v="1"/>
    <s v="South Africa"/>
    <s v="P63294"/>
    <s v="Bookshelf"/>
    <s v="Furniture"/>
    <s v="S725"/>
    <s v="Pioneer Distribution"/>
    <s v="Africa"/>
    <s v="WH 07"/>
    <s v="Toronto"/>
    <x v="2"/>
    <n v="284"/>
    <n v="297.93"/>
    <n v="84612.12"/>
    <n v="9.77"/>
    <n v="14"/>
    <n v="14"/>
    <n v="502"/>
    <x v="0"/>
    <x v="0"/>
    <n v="19115.580000000002"/>
  </r>
  <r>
    <n v="100959"/>
    <d v="2024-06-24T00:00:00"/>
    <d v="2024-06-29T00:00:00"/>
    <d v="2024-07-06T00:00:00"/>
    <s v="C9359"/>
    <x v="2"/>
    <s v="Canada"/>
    <s v="P13685"/>
    <s v="Bluetooth Speaker"/>
    <s v="Electronics"/>
    <s v="S185"/>
    <s v="Vertex Manufacturing"/>
    <s v="Asia"/>
    <s v="WH 03"/>
    <s v="Dubai"/>
    <x v="1"/>
    <n v="151"/>
    <n v="84.06"/>
    <n v="12693.06"/>
    <n v="38.299999999999997"/>
    <n v="7"/>
    <n v="12"/>
    <n v="1798"/>
    <x v="0"/>
    <x v="0"/>
    <n v="1717.9"/>
  </r>
  <r>
    <n v="100960"/>
    <d v="2024-07-01T00:00:00"/>
    <d v="2024-07-04T00:00:00"/>
    <d v="2024-07-06T00:00:00"/>
    <s v="C3291"/>
    <x v="2"/>
    <s v="Mexico"/>
    <s v="P11532"/>
    <s v="Vitamin Pack"/>
    <s v="Healthcare"/>
    <s v="S450"/>
    <s v="Zenith Procurement"/>
    <s v="Middle East"/>
    <s v="WH 02"/>
    <s v="Lahore"/>
    <x v="1"/>
    <n v="276"/>
    <n v="88.11"/>
    <n v="24318.36"/>
    <n v="46.4"/>
    <n v="2"/>
    <n v="5"/>
    <n v="438"/>
    <x v="2"/>
    <x v="0"/>
    <n v="2286.39"/>
  </r>
  <r>
    <n v="100961"/>
    <d v="2024-09-02T00:00:00"/>
    <d v="2024-09-03T00:00:00"/>
    <d v="2024-09-14T00:00:00"/>
    <s v="C3258"/>
    <x v="2"/>
    <s v="Canada"/>
    <s v="P46509"/>
    <s v="Bookshelf"/>
    <s v="Furniture"/>
    <s v="S669"/>
    <s v="Orion Supplies"/>
    <s v="Europe"/>
    <s v="WH 04"/>
    <s v="Istanbul"/>
    <x v="3"/>
    <n v="95"/>
    <n v="252.57"/>
    <n v="23994.15"/>
    <n v="13"/>
    <n v="11"/>
    <n v="12"/>
    <n v="1707"/>
    <x v="0"/>
    <x v="0"/>
    <n v="3660.01"/>
  </r>
  <r>
    <n v="100962"/>
    <d v="2025-01-19T00:00:00"/>
    <d v="2025-01-22T00:00:00"/>
    <d v="2025-02-06T00:00:00"/>
    <s v="C3804"/>
    <x v="2"/>
    <s v="Mexico"/>
    <s v="P27610"/>
    <s v="Bluetooth Speaker"/>
    <s v="Electronics"/>
    <s v="S360"/>
    <s v="Nova Industrial"/>
    <s v="Asia"/>
    <s v="WH 06"/>
    <s v="Amsterdam"/>
    <x v="2"/>
    <n v="187"/>
    <n v="177.72"/>
    <n v="33233.64"/>
    <n v="11.43"/>
    <n v="15"/>
    <n v="18"/>
    <n v="835"/>
    <x v="0"/>
    <x v="0"/>
    <n v="5468.93"/>
  </r>
  <r>
    <n v="100963"/>
    <d v="2025-03-05T00:00:00"/>
    <d v="2025-03-09T00:00:00"/>
    <d v="2025-04-02T00:00:00"/>
    <s v="C9631"/>
    <x v="0"/>
    <s v="Indonesia"/>
    <s v="P97388"/>
    <s v="T Shirt Bundle"/>
    <s v="Apparel"/>
    <s v="S994"/>
    <s v="Pioneer Distribution"/>
    <s v="Middle East"/>
    <s v="WH 10"/>
    <s v="Cairo"/>
    <x v="2"/>
    <n v="421"/>
    <n v="52.22"/>
    <n v="21984.62"/>
    <n v="15.69"/>
    <n v="24"/>
    <n v="28"/>
    <n v="3146"/>
    <x v="1"/>
    <x v="2"/>
    <n v="3392.17"/>
  </r>
  <r>
    <n v="100964"/>
    <d v="2024-12-30T00:00:00"/>
    <d v="2025-01-01T00:00:00"/>
    <d v="2025-01-05T00:00:00"/>
    <s v="C6297"/>
    <x v="2"/>
    <s v="United States"/>
    <s v="P35511"/>
    <s v="Storage Cabinet"/>
    <s v="Furniture"/>
    <s v="S481"/>
    <s v="Orion Supplies"/>
    <s v="North America"/>
    <s v="WH 07"/>
    <s v="Toronto"/>
    <x v="3"/>
    <n v="232"/>
    <n v="128.63999999999999"/>
    <n v="29844.48"/>
    <n v="12.1"/>
    <n v="4"/>
    <n v="6"/>
    <n v="1262"/>
    <x v="2"/>
    <x v="0"/>
    <n v="7939.31"/>
  </r>
  <r>
    <n v="100965"/>
    <d v="2025-03-17T00:00:00"/>
    <d v="2025-03-21T00:00:00"/>
    <d v="2025-04-01T00:00:00"/>
    <s v="C7940"/>
    <x v="2"/>
    <s v="Mexico"/>
    <s v="P94590"/>
    <s v="Power Bank"/>
    <s v="Electronics"/>
    <s v="S877"/>
    <s v="BlueRiver Trading"/>
    <s v="Europe"/>
    <s v="WH 06"/>
    <s v="Amsterdam"/>
    <x v="3"/>
    <n v="100"/>
    <n v="297.77999999999997"/>
    <n v="29778"/>
    <n v="13.12"/>
    <n v="11"/>
    <n v="15"/>
    <n v="792"/>
    <x v="0"/>
    <x v="0"/>
    <n v="2498.75"/>
  </r>
  <r>
    <n v="100966"/>
    <d v="2024-09-23T00:00:00"/>
    <d v="2024-09-28T00:00:00"/>
    <d v="2024-10-03T00:00:00"/>
    <s v="C4333"/>
    <x v="1"/>
    <s v="Nigeria"/>
    <s v="P50002"/>
    <s v="Detergent Bag"/>
    <s v="FMCG"/>
    <s v="S673"/>
    <s v="Nova Industrial"/>
    <s v="North America"/>
    <s v="WH 07"/>
    <s v="Toronto"/>
    <x v="3"/>
    <n v="142"/>
    <n v="31.47"/>
    <n v="4468.74"/>
    <n v="14.14"/>
    <n v="5"/>
    <n v="10"/>
    <n v="811"/>
    <x v="0"/>
    <x v="0"/>
    <n v="658.54"/>
  </r>
  <r>
    <n v="100967"/>
    <d v="2025-02-08T00:00:00"/>
    <d v="2025-02-10T00:00:00"/>
    <d v="2025-03-05T00:00:00"/>
    <s v="C2701"/>
    <x v="4"/>
    <s v="United Arab Emirates"/>
    <s v="P18496"/>
    <s v="First Aid Kit"/>
    <s v="Healthcare"/>
    <s v="S814"/>
    <s v="Nova Industrial"/>
    <s v="North America"/>
    <s v="WH 01"/>
    <s v="Karachi"/>
    <x v="2"/>
    <n v="242"/>
    <n v="81.56"/>
    <n v="19737.52"/>
    <n v="12.43"/>
    <n v="23"/>
    <n v="25"/>
    <n v="3007"/>
    <x v="1"/>
    <x v="1"/>
    <n v="-97.84"/>
  </r>
  <r>
    <n v="100968"/>
    <d v="2025-05-21T00:00:00"/>
    <d v="2025-05-21T00:00:00"/>
    <d v="2025-05-28T00:00:00"/>
    <s v="C5587"/>
    <x v="1"/>
    <s v="Egypt"/>
    <s v="P47690"/>
    <s v="Detergent Bag"/>
    <s v="FMCG"/>
    <s v="S946"/>
    <s v="BlueRiver Trading"/>
    <s v="Africa"/>
    <s v="WH 02"/>
    <s v="Lahore"/>
    <x v="1"/>
    <n v="45"/>
    <n v="45.27"/>
    <n v="2037.15"/>
    <n v="23.28"/>
    <n v="7"/>
    <n v="7"/>
    <n v="1400"/>
    <x v="2"/>
    <x v="0"/>
    <n v="148.62"/>
  </r>
  <r>
    <n v="100969"/>
    <d v="2024-05-01T00:00:00"/>
    <d v="2024-05-04T00:00:00"/>
    <d v="2024-05-07T00:00:00"/>
    <s v="C5029"/>
    <x v="2"/>
    <s v="United States"/>
    <s v="P57345"/>
    <s v="Thermometer"/>
    <s v="Healthcare"/>
    <s v="S721"/>
    <s v="Pioneer Distribution"/>
    <s v="Middle East"/>
    <s v="WH 04"/>
    <s v="Istanbul"/>
    <x v="1"/>
    <n v="123"/>
    <n v="28.12"/>
    <n v="3458.76"/>
    <n v="36.479999999999997"/>
    <n v="3"/>
    <n v="6"/>
    <n v="1517"/>
    <x v="2"/>
    <x v="0"/>
    <n v="229.65"/>
  </r>
  <r>
    <n v="100970"/>
    <d v="2024-02-19T00:00:00"/>
    <d v="2024-02-22T00:00:00"/>
    <d v="2024-02-25T00:00:00"/>
    <s v="C8399"/>
    <x v="0"/>
    <s v="China"/>
    <s v="P11908"/>
    <s v="Socks Pack"/>
    <s v="Apparel"/>
    <s v="S910"/>
    <s v="Nova Industrial"/>
    <s v="Middle East"/>
    <s v="WH 09"/>
    <s v="Johannesburg"/>
    <x v="1"/>
    <n v="347"/>
    <n v="14.66"/>
    <n v="5087.0200000000004"/>
    <n v="51"/>
    <n v="3"/>
    <n v="6"/>
    <n v="1493"/>
    <x v="2"/>
    <x v="0"/>
    <n v="771.87"/>
  </r>
  <r>
    <n v="100971"/>
    <d v="2025-05-28T00:00:00"/>
    <d v="2025-05-31T00:00:00"/>
    <d v="2025-06-04T00:00:00"/>
    <s v="C6311"/>
    <x v="3"/>
    <s v="Spain"/>
    <s v="P84893"/>
    <s v="Bookshelf"/>
    <s v="Furniture"/>
    <s v="S759"/>
    <s v="Vertex Manufacturing"/>
    <s v="Africa"/>
    <s v="WH 08"/>
    <s v="Chicago"/>
    <x v="1"/>
    <n v="98"/>
    <n v="335.82"/>
    <n v="32910.36"/>
    <n v="34.86"/>
    <n v="4"/>
    <n v="7"/>
    <n v="1037"/>
    <x v="1"/>
    <x v="2"/>
    <n v="4483.92"/>
  </r>
  <r>
    <n v="100972"/>
    <d v="2024-01-16T00:00:00"/>
    <d v="2024-01-17T00:00:00"/>
    <d v="2024-02-06T00:00:00"/>
    <s v="C6154"/>
    <x v="0"/>
    <s v="China"/>
    <s v="P98176"/>
    <s v="First Aid Kit"/>
    <s v="Healthcare"/>
    <s v="S407"/>
    <s v="Vertex Manufacturing"/>
    <s v="Middle East"/>
    <s v="WH 04"/>
    <s v="Istanbul"/>
    <x v="2"/>
    <n v="408"/>
    <n v="18.71"/>
    <n v="7633.68"/>
    <n v="15.45"/>
    <n v="20"/>
    <n v="21"/>
    <n v="1839"/>
    <x v="0"/>
    <x v="0"/>
    <n v="623.63"/>
  </r>
  <r>
    <n v="100973"/>
    <d v="2024-02-03T00:00:00"/>
    <d v="2024-02-05T00:00:00"/>
    <d v="2024-02-15T00:00:00"/>
    <s v="C4600"/>
    <x v="2"/>
    <s v="Mexico"/>
    <s v="P54109"/>
    <s v="Thermometer"/>
    <s v="Healthcare"/>
    <s v="S817"/>
    <s v="Evergreen Partners"/>
    <s v="Africa"/>
    <s v="WH 01"/>
    <s v="Karachi"/>
    <x v="3"/>
    <n v="311"/>
    <n v="75.760000000000005"/>
    <n v="23561.360000000001"/>
    <n v="18.25"/>
    <n v="10"/>
    <n v="12"/>
    <n v="3144"/>
    <x v="0"/>
    <x v="0"/>
    <n v="3866.32"/>
  </r>
  <r>
    <n v="100974"/>
    <d v="2025-11-20T00:00:00"/>
    <d v="2025-11-21T00:00:00"/>
    <d v="2025-12-08T00:00:00"/>
    <s v="C8518"/>
    <x v="2"/>
    <s v="Canada"/>
    <s v="P93098"/>
    <s v="Toothpaste Box"/>
    <s v="FMCG"/>
    <s v="S883"/>
    <s v="Crescent Logistics"/>
    <s v="North America"/>
    <s v="WH 07"/>
    <s v="Toronto"/>
    <x v="2"/>
    <n v="275"/>
    <n v="12.64"/>
    <n v="3476"/>
    <n v="9.65"/>
    <n v="17"/>
    <n v="18"/>
    <n v="827"/>
    <x v="0"/>
    <x v="0"/>
    <n v="594.16"/>
  </r>
  <r>
    <n v="100975"/>
    <d v="2024-01-30T00:00:00"/>
    <d v="2024-01-30T00:00:00"/>
    <d v="2024-02-07T00:00:00"/>
    <s v="C7820"/>
    <x v="2"/>
    <s v="United States"/>
    <s v="P52800"/>
    <s v="Bottled Water Case"/>
    <s v="FMCG"/>
    <s v="S871"/>
    <s v="Nova Industrial"/>
    <s v="North America"/>
    <s v="WH 03"/>
    <s v="Dubai"/>
    <x v="3"/>
    <n v="201"/>
    <n v="23.18"/>
    <n v="4659.18"/>
    <n v="11.54"/>
    <n v="8"/>
    <n v="8"/>
    <n v="2438"/>
    <x v="0"/>
    <x v="0"/>
    <n v="288.37"/>
  </r>
  <r>
    <n v="100976"/>
    <d v="2025-09-14T00:00:00"/>
    <d v="2025-09-19T00:00:00"/>
    <d v="2025-09-21T00:00:00"/>
    <s v="C3691"/>
    <x v="1"/>
    <s v="Kenya"/>
    <s v="P20222"/>
    <s v="Study Table"/>
    <s v="Furniture"/>
    <s v="S334"/>
    <s v="BlueRiver Trading"/>
    <s v="Europe"/>
    <s v="WH 04"/>
    <s v="Istanbul"/>
    <x v="1"/>
    <n v="287"/>
    <n v="273.27"/>
    <n v="78428.490000000005"/>
    <n v="47.11"/>
    <n v="2"/>
    <n v="7"/>
    <n v="1684"/>
    <x v="2"/>
    <x v="0"/>
    <n v="14630.59"/>
  </r>
  <r>
    <n v="100977"/>
    <d v="2024-04-26T00:00:00"/>
    <d v="2024-04-26T00:00:00"/>
    <d v="2024-05-05T00:00:00"/>
    <s v="C5901"/>
    <x v="3"/>
    <s v="Sweden"/>
    <s v="P52889"/>
    <s v="Sportswear Set"/>
    <s v="Apparel"/>
    <s v="S397"/>
    <s v="Pioneer Distribution"/>
    <s v="Africa"/>
    <s v="WH 07"/>
    <s v="Toronto"/>
    <x v="0"/>
    <n v="302"/>
    <n v="57.64"/>
    <n v="17407.28"/>
    <n v="21.04"/>
    <n v="9"/>
    <n v="9"/>
    <n v="1825"/>
    <x v="0"/>
    <x v="0"/>
    <n v="4793.7299999999996"/>
  </r>
  <r>
    <n v="100978"/>
    <d v="2024-03-22T00:00:00"/>
    <d v="2024-03-25T00:00:00"/>
    <d v="2024-03-30T00:00:00"/>
    <s v="C7416"/>
    <x v="0"/>
    <s v="India"/>
    <s v="P20633"/>
    <s v="Snack Carton"/>
    <s v="FMCG"/>
    <s v="S885"/>
    <s v="Crescent Logistics"/>
    <s v="Asia"/>
    <s v="WH 05"/>
    <s v="Frankfurt"/>
    <x v="3"/>
    <n v="287"/>
    <n v="35.99"/>
    <n v="10329.129999999999"/>
    <n v="13.09"/>
    <n v="5"/>
    <n v="8"/>
    <n v="2912"/>
    <x v="0"/>
    <x v="0"/>
    <n v="1306.54"/>
  </r>
  <r>
    <n v="100979"/>
    <d v="2024-10-13T00:00:00"/>
    <d v="2024-10-14T00:00:00"/>
    <d v="2024-10-17T00:00:00"/>
    <s v="C8625"/>
    <x v="1"/>
    <s v="Kenya"/>
    <s v="P10094"/>
    <s v="Power Bank"/>
    <s v="Electronics"/>
    <s v="S592"/>
    <s v="Orion Supplies"/>
    <s v="Asia"/>
    <s v="WH 02"/>
    <s v="Lahore"/>
    <x v="1"/>
    <n v="262"/>
    <n v="233.59"/>
    <n v="61200.58"/>
    <n v="45.49"/>
    <n v="3"/>
    <n v="4"/>
    <n v="1096"/>
    <x v="2"/>
    <x v="0"/>
    <n v="10745.26"/>
  </r>
  <r>
    <n v="100980"/>
    <d v="2024-04-18T00:00:00"/>
    <d v="2024-04-18T00:00:00"/>
    <d v="2024-04-20T00:00:00"/>
    <s v="C2946"/>
    <x v="1"/>
    <s v="Nigeria"/>
    <s v="P50078"/>
    <s v="Power Bank"/>
    <s v="Electronics"/>
    <s v="S136"/>
    <s v="Zenith Procurement"/>
    <s v="Asia"/>
    <s v="WH 07"/>
    <s v="Toronto"/>
    <x v="1"/>
    <n v="195"/>
    <n v="134.83000000000001"/>
    <n v="26291.85"/>
    <n v="41.15"/>
    <n v="2"/>
    <n v="2"/>
    <n v="303"/>
    <x v="2"/>
    <x v="0"/>
    <n v="5173.7700000000004"/>
  </r>
  <r>
    <n v="100981"/>
    <d v="2024-08-17T00:00:00"/>
    <d v="2024-08-22T00:00:00"/>
    <d v="2024-09-09T00:00:00"/>
    <s v="C7042"/>
    <x v="3"/>
    <s v="Germany"/>
    <s v="P40982"/>
    <s v="Thermometer"/>
    <s v="Healthcare"/>
    <s v="S428"/>
    <s v="BlueRiver Trading"/>
    <s v="Africa"/>
    <s v="WH 10"/>
    <s v="Cairo"/>
    <x v="2"/>
    <n v="372"/>
    <n v="56.75"/>
    <n v="21111"/>
    <n v="14.8"/>
    <n v="18"/>
    <n v="23"/>
    <n v="4051"/>
    <x v="0"/>
    <x v="0"/>
    <n v="2176.84"/>
  </r>
  <r>
    <n v="100982"/>
    <d v="2024-11-03T00:00:00"/>
    <d v="2024-11-08T00:00:00"/>
    <d v="2024-11-12T00:00:00"/>
    <s v="C8868"/>
    <x v="4"/>
    <s v="United Arab Emirates"/>
    <s v="P34003"/>
    <s v="Detergent Bag"/>
    <s v="FMCG"/>
    <s v="S350"/>
    <s v="BlueRiver Trading"/>
    <s v="North America"/>
    <s v="WH 06"/>
    <s v="Amsterdam"/>
    <x v="1"/>
    <n v="333"/>
    <n v="21.65"/>
    <n v="7209.45"/>
    <n v="50.09"/>
    <n v="4"/>
    <n v="9"/>
    <n v="3967"/>
    <x v="0"/>
    <x v="0"/>
    <n v="1212.8900000000001"/>
  </r>
  <r>
    <n v="100983"/>
    <d v="2025-03-23T00:00:00"/>
    <d v="2025-03-24T00:00:00"/>
    <d v="2025-03-31T00:00:00"/>
    <s v="C6153"/>
    <x v="3"/>
    <s v="Spain"/>
    <s v="P44370"/>
    <s v="Toothpaste Box"/>
    <s v="FMCG"/>
    <s v="S308"/>
    <s v="BlueRiver Trading"/>
    <s v="Europe"/>
    <s v="WH 04"/>
    <s v="Istanbul"/>
    <x v="3"/>
    <n v="327"/>
    <n v="29.94"/>
    <n v="9790.3799999999992"/>
    <n v="13.81"/>
    <n v="7"/>
    <n v="8"/>
    <n v="2948"/>
    <x v="0"/>
    <x v="0"/>
    <n v="1527.46"/>
  </r>
  <r>
    <n v="100984"/>
    <d v="2024-03-27T00:00:00"/>
    <d v="2024-03-27T00:00:00"/>
    <d v="2024-04-01T00:00:00"/>
    <s v="C4651"/>
    <x v="4"/>
    <s v="Oman"/>
    <s v="P20431"/>
    <s v="Socks Pack"/>
    <s v="Apparel"/>
    <s v="S639"/>
    <s v="Orion Supplies"/>
    <s v="Middle East"/>
    <s v="WH 09"/>
    <s v="Johannesburg"/>
    <x v="1"/>
    <n v="279"/>
    <n v="61.68"/>
    <n v="17208.72"/>
    <n v="34.51"/>
    <n v="5"/>
    <n v="5"/>
    <n v="2274"/>
    <x v="2"/>
    <x v="0"/>
    <n v="1965.79"/>
  </r>
  <r>
    <n v="100985"/>
    <d v="2025-10-10T00:00:00"/>
    <d v="2025-10-13T00:00:00"/>
    <d v="2025-10-15T00:00:00"/>
    <s v="C9308"/>
    <x v="0"/>
    <s v="Bangladesh"/>
    <s v="P39654"/>
    <s v="Face Mask Box"/>
    <s v="Healthcare"/>
    <s v="S432"/>
    <s v="Pioneer Distribution"/>
    <s v="Europe"/>
    <s v="WH 05"/>
    <s v="Frankfurt"/>
    <x v="1"/>
    <n v="320"/>
    <n v="60.89"/>
    <n v="19484.8"/>
    <n v="49.25"/>
    <n v="2"/>
    <n v="5"/>
    <n v="2893"/>
    <x v="2"/>
    <x v="0"/>
    <n v="1463.1"/>
  </r>
  <r>
    <n v="100986"/>
    <d v="2024-09-09T00:00:00"/>
    <d v="2024-09-09T00:00:00"/>
    <d v="2024-10-03T00:00:00"/>
    <s v="C7953"/>
    <x v="2"/>
    <s v="Canada"/>
    <s v="P75907"/>
    <s v="Hoodie"/>
    <s v="Apparel"/>
    <s v="S859"/>
    <s v="Orion Supplies"/>
    <s v="Africa"/>
    <s v="WH 01"/>
    <s v="Karachi"/>
    <x v="2"/>
    <n v="374"/>
    <n v="118.68"/>
    <n v="44386.32"/>
    <n v="14.84"/>
    <n v="24"/>
    <n v="24"/>
    <n v="305"/>
    <x v="0"/>
    <x v="0"/>
    <n v="9780.49"/>
  </r>
  <r>
    <n v="100987"/>
    <d v="2024-04-26T00:00:00"/>
    <d v="2024-04-28T00:00:00"/>
    <d v="2024-05-07T00:00:00"/>
    <s v="C8393"/>
    <x v="3"/>
    <s v="Italy"/>
    <s v="P79939"/>
    <s v="Face Mask Box"/>
    <s v="Healthcare"/>
    <s v="S574"/>
    <s v="Nova Industrial"/>
    <s v="North America"/>
    <s v="WH 02"/>
    <s v="Lahore"/>
    <x v="0"/>
    <n v="403"/>
    <n v="55.03"/>
    <n v="22177.09"/>
    <n v="23.9"/>
    <n v="9"/>
    <n v="11"/>
    <n v="3611"/>
    <x v="0"/>
    <x v="0"/>
    <n v="2375.17"/>
  </r>
  <r>
    <n v="100988"/>
    <d v="2024-04-21T00:00:00"/>
    <d v="2024-04-23T00:00:00"/>
    <d v="2024-05-12T00:00:00"/>
    <s v="C6426"/>
    <x v="4"/>
    <s v="Oman"/>
    <s v="P51120"/>
    <s v="Power Bank"/>
    <s v="Electronics"/>
    <s v="S501"/>
    <s v="Nova Industrial"/>
    <s v="North America"/>
    <s v="WH 02"/>
    <s v="Lahore"/>
    <x v="2"/>
    <n v="87"/>
    <n v="238.86"/>
    <n v="20780.82"/>
    <n v="9.6"/>
    <n v="19"/>
    <n v="21"/>
    <n v="1606"/>
    <x v="0"/>
    <x v="0"/>
    <n v="3620.24"/>
  </r>
  <r>
    <n v="100989"/>
    <d v="2025-03-13T00:00:00"/>
    <d v="2025-03-18T00:00:00"/>
    <d v="2025-04-12T00:00:00"/>
    <s v="C5768"/>
    <x v="2"/>
    <s v="United States"/>
    <s v="P39945"/>
    <s v="Bottled Water Case"/>
    <s v="FMCG"/>
    <s v="S862"/>
    <s v="Zenith Procurement"/>
    <s v="Middle East"/>
    <s v="WH 01"/>
    <s v="Karachi"/>
    <x v="2"/>
    <n v="432"/>
    <n v="32.950000000000003"/>
    <n v="14234.4"/>
    <n v="15.89"/>
    <n v="25"/>
    <n v="30"/>
    <n v="2018"/>
    <x v="1"/>
    <x v="3"/>
    <n v="2277.65"/>
  </r>
  <r>
    <n v="100990"/>
    <d v="2024-04-19T00:00:00"/>
    <d v="2024-04-22T00:00:00"/>
    <d v="2024-04-25T00:00:00"/>
    <s v="C1284"/>
    <x v="0"/>
    <s v="Vietnam"/>
    <s v="P26246"/>
    <s v="Floor Lamp"/>
    <s v="Furniture"/>
    <s v="S520"/>
    <s v="Evergreen Partners"/>
    <s v="North America"/>
    <s v="WH 07"/>
    <s v="Toronto"/>
    <x v="1"/>
    <n v="122"/>
    <n v="165"/>
    <n v="20130"/>
    <n v="36.42"/>
    <n v="3"/>
    <n v="6"/>
    <n v="1544"/>
    <x v="1"/>
    <x v="1"/>
    <n v="-191.55"/>
  </r>
  <r>
    <n v="100991"/>
    <d v="2025-03-02T00:00:00"/>
    <d v="2025-03-02T00:00:00"/>
    <d v="2025-03-04T00:00:00"/>
    <s v="C8699"/>
    <x v="3"/>
    <s v="Poland"/>
    <s v="P78165"/>
    <s v="Socks Pack"/>
    <s v="Apparel"/>
    <s v="S619"/>
    <s v="BlueRiver Trading"/>
    <s v="North America"/>
    <s v="WH 07"/>
    <s v="Toronto"/>
    <x v="0"/>
    <n v="438"/>
    <n v="23.87"/>
    <n v="10455.06"/>
    <n v="24.89"/>
    <n v="2"/>
    <n v="2"/>
    <n v="885"/>
    <x v="2"/>
    <x v="0"/>
    <n v="2370.0100000000002"/>
  </r>
  <r>
    <n v="100992"/>
    <d v="2024-01-24T00:00:00"/>
    <d v="2024-01-25T00:00:00"/>
    <d v="2024-01-26T00:00:00"/>
    <s v="C8179"/>
    <x v="4"/>
    <s v="United Arab Emirates"/>
    <s v="P13712"/>
    <s v="Smart Watch"/>
    <s v="Electronics"/>
    <s v="S983"/>
    <s v="Pioneer Distribution"/>
    <s v="Europe"/>
    <s v="WH 01"/>
    <s v="Karachi"/>
    <x v="1"/>
    <n v="443"/>
    <n v="298.99"/>
    <n v="132452.57"/>
    <n v="57.22"/>
    <n v="1"/>
    <n v="2"/>
    <n v="182"/>
    <x v="2"/>
    <x v="0"/>
    <n v="20704.53"/>
  </r>
  <r>
    <n v="100993"/>
    <d v="2025-09-23T00:00:00"/>
    <d v="2025-09-23T00:00:00"/>
    <d v="2025-09-30T00:00:00"/>
    <s v="C1566"/>
    <x v="3"/>
    <s v="Poland"/>
    <s v="P91288"/>
    <s v="Hoodie"/>
    <s v="Apparel"/>
    <s v="S626"/>
    <s v="Vertex Manufacturing"/>
    <s v="Asia"/>
    <s v="WH 02"/>
    <s v="Lahore"/>
    <x v="3"/>
    <n v="46"/>
    <n v="104.7"/>
    <n v="4816.2"/>
    <n v="11.81"/>
    <n v="7"/>
    <n v="7"/>
    <n v="3049"/>
    <x v="2"/>
    <x v="0"/>
    <n v="868.66"/>
  </r>
  <r>
    <n v="100994"/>
    <d v="2025-01-08T00:00:00"/>
    <d v="2025-01-13T00:00:00"/>
    <d v="2025-01-29T00:00:00"/>
    <s v="C1770"/>
    <x v="3"/>
    <s v="Netherlands"/>
    <s v="P37115"/>
    <s v="Detergent Bag"/>
    <s v="FMCG"/>
    <s v="S538"/>
    <s v="Evergreen Partners"/>
    <s v="North America"/>
    <s v="WH 08"/>
    <s v="Chicago"/>
    <x v="2"/>
    <n v="280"/>
    <n v="44.96"/>
    <n v="12588.8"/>
    <n v="13.12"/>
    <n v="16"/>
    <n v="21"/>
    <n v="2009"/>
    <x v="1"/>
    <x v="3"/>
    <n v="1342.37"/>
  </r>
  <r>
    <n v="100995"/>
    <d v="2024-02-08T00:00:00"/>
    <d v="2024-02-11T00:00:00"/>
    <d v="2024-02-17T00:00:00"/>
    <s v="C5857"/>
    <x v="3"/>
    <s v="Italy"/>
    <s v="P26312"/>
    <s v="Detergent Bag"/>
    <s v="FMCG"/>
    <s v="S512"/>
    <s v="Zenith Procurement"/>
    <s v="North America"/>
    <s v="WH 04"/>
    <s v="Istanbul"/>
    <x v="3"/>
    <n v="443"/>
    <n v="30.73"/>
    <n v="13613.39"/>
    <n v="21.46"/>
    <n v="6"/>
    <n v="9"/>
    <n v="673"/>
    <x v="0"/>
    <x v="0"/>
    <n v="1102.94"/>
  </r>
  <r>
    <n v="100996"/>
    <d v="2024-12-16T00:00:00"/>
    <d v="2024-12-20T00:00:00"/>
    <d v="2024-12-24T00:00:00"/>
    <s v="C8550"/>
    <x v="4"/>
    <s v="Qatar"/>
    <s v="P78659"/>
    <s v="Bottled Water Case"/>
    <s v="FMCG"/>
    <s v="S753"/>
    <s v="Evergreen Partners"/>
    <s v="Africa"/>
    <s v="WH 04"/>
    <s v="Istanbul"/>
    <x v="0"/>
    <n v="72"/>
    <n v="43.84"/>
    <n v="3156.48"/>
    <n v="14.52"/>
    <n v="4"/>
    <n v="8"/>
    <n v="3462"/>
    <x v="0"/>
    <x v="0"/>
    <n v="512.51"/>
  </r>
  <r>
    <n v="100997"/>
    <d v="2025-08-03T00:00:00"/>
    <d v="2025-08-06T00:00:00"/>
    <d v="2025-08-11T00:00:00"/>
    <s v="C6360"/>
    <x v="0"/>
    <s v="Indonesia"/>
    <s v="P70558"/>
    <s v="First Aid Kit"/>
    <s v="Healthcare"/>
    <s v="S425"/>
    <s v="BlueRiver Trading"/>
    <s v="Middle East"/>
    <s v="WH 04"/>
    <s v="Istanbul"/>
    <x v="0"/>
    <n v="192"/>
    <n v="83.66"/>
    <n v="16062.72"/>
    <n v="17.920000000000002"/>
    <n v="5"/>
    <n v="8"/>
    <n v="310"/>
    <x v="0"/>
    <x v="0"/>
    <n v="2788.76"/>
  </r>
  <r>
    <n v="100998"/>
    <d v="2025-10-28T00:00:00"/>
    <d v="2025-10-28T00:00:00"/>
    <d v="2025-11-02T00:00:00"/>
    <s v="C9990"/>
    <x v="3"/>
    <s v="Germany"/>
    <s v="P39954"/>
    <s v="Storage Cabinet"/>
    <s v="Furniture"/>
    <s v="S897"/>
    <s v="Evergreen Partners"/>
    <s v="Africa"/>
    <s v="WH 05"/>
    <s v="Frankfurt"/>
    <x v="1"/>
    <n v="158"/>
    <n v="299.91000000000003"/>
    <n v="47385.78"/>
    <n v="38.75"/>
    <n v="5"/>
    <n v="5"/>
    <n v="2061"/>
    <x v="2"/>
    <x v="0"/>
    <n v="11231.24"/>
  </r>
  <r>
    <n v="100999"/>
    <d v="2024-11-15T00:00:00"/>
    <d v="2024-11-20T00:00:00"/>
    <d v="2024-12-13T00:00:00"/>
    <s v="C4039"/>
    <x v="0"/>
    <s v="Bangladesh"/>
    <s v="P43952"/>
    <s v="Detergent Bag"/>
    <s v="FMCG"/>
    <s v="S802"/>
    <s v="BlueRiver Trading"/>
    <s v="Asia"/>
    <s v="WH 09"/>
    <s v="Johannesburg"/>
    <x v="2"/>
    <n v="34"/>
    <n v="7.93"/>
    <n v="269.62"/>
    <n v="6.4"/>
    <n v="23"/>
    <n v="28"/>
    <n v="3813"/>
    <x v="1"/>
    <x v="2"/>
    <n v="33.74"/>
  </r>
  <r>
    <n v="101000"/>
    <d v="2025-11-06T00:00:00"/>
    <d v="2025-11-09T00:00:00"/>
    <d v="2025-11-14T00:00:00"/>
    <s v="C4535"/>
    <x v="4"/>
    <s v="Oman"/>
    <s v="P47622"/>
    <s v="Smart Watch"/>
    <s v="Electronics"/>
    <s v="S347"/>
    <s v="Atlas Sourcing"/>
    <s v="Europe"/>
    <s v="WH 05"/>
    <s v="Frankfurt"/>
    <x v="3"/>
    <n v="340"/>
    <n v="332.68"/>
    <n v="113111.2"/>
    <n v="18.95"/>
    <n v="5"/>
    <n v="8"/>
    <n v="1775"/>
    <x v="0"/>
    <x v="0"/>
    <n v="18905.419999999998"/>
  </r>
  <r>
    <n v="101001"/>
    <d v="2024-02-01T00:00:00"/>
    <d v="2024-02-06T00:00:00"/>
    <d v="2024-02-09T00:00:00"/>
    <s v="C3121"/>
    <x v="4"/>
    <s v="Oman"/>
    <s v="P55678"/>
    <s v="Bottled Water Case"/>
    <s v="FMCG"/>
    <s v="S202"/>
    <s v="Atlas Sourcing"/>
    <s v="Africa"/>
    <s v="WH 04"/>
    <s v="Istanbul"/>
    <x v="1"/>
    <n v="368"/>
    <n v="28.69"/>
    <n v="10557.92"/>
    <n v="52.36"/>
    <n v="3"/>
    <n v="8"/>
    <n v="772"/>
    <x v="1"/>
    <x v="1"/>
    <n v="-149.30000000000001"/>
  </r>
  <r>
    <n v="101002"/>
    <d v="2024-03-19T00:00:00"/>
    <d v="2024-03-20T00:00:00"/>
    <d v="2024-03-25T00:00:00"/>
    <s v="C5318"/>
    <x v="3"/>
    <s v="Spain"/>
    <s v="P20832"/>
    <s v="Bottled Water Case"/>
    <s v="FMCG"/>
    <s v="S365"/>
    <s v="Crescent Logistics"/>
    <s v="Asia"/>
    <s v="WH 05"/>
    <s v="Frankfurt"/>
    <x v="1"/>
    <n v="164"/>
    <n v="21.73"/>
    <n v="3563.72"/>
    <n v="39.14"/>
    <n v="5"/>
    <n v="6"/>
    <n v="1127"/>
    <x v="2"/>
    <x v="0"/>
    <n v="430.75"/>
  </r>
  <r>
    <n v="101003"/>
    <d v="2025-01-14T00:00:00"/>
    <d v="2025-01-15T00:00:00"/>
    <d v="2025-01-18T00:00:00"/>
    <s v="C6840"/>
    <x v="3"/>
    <s v="Netherlands"/>
    <s v="P25154"/>
    <s v="Study Table"/>
    <s v="Furniture"/>
    <s v="S742"/>
    <s v="Zenith Procurement"/>
    <s v="Africa"/>
    <s v="WH 08"/>
    <s v="Chicago"/>
    <x v="1"/>
    <n v="279"/>
    <n v="144.38"/>
    <n v="40282.019999999997"/>
    <n v="46.59"/>
    <n v="3"/>
    <n v="4"/>
    <n v="780"/>
    <x v="2"/>
    <x v="0"/>
    <n v="5025.03"/>
  </r>
  <r>
    <n v="101004"/>
    <d v="2024-07-05T00:00:00"/>
    <d v="2024-07-05T00:00:00"/>
    <d v="2024-07-09T00:00:00"/>
    <s v="C1600"/>
    <x v="0"/>
    <s v="Malaysia"/>
    <s v="P62185"/>
    <s v="Snack Carton"/>
    <s v="FMCG"/>
    <s v="S450"/>
    <s v="Evergreen Partners"/>
    <s v="Europe"/>
    <s v="WH 07"/>
    <s v="Toronto"/>
    <x v="0"/>
    <n v="18"/>
    <n v="38.69"/>
    <n v="696.42"/>
    <n v="12.98"/>
    <n v="4"/>
    <n v="4"/>
    <n v="832"/>
    <x v="2"/>
    <x v="0"/>
    <n v="27.16"/>
  </r>
  <r>
    <n v="101005"/>
    <d v="2024-04-12T00:00:00"/>
    <d v="2024-04-17T00:00:00"/>
    <d v="2024-04-30T00:00:00"/>
    <s v="C1783"/>
    <x v="1"/>
    <s v="Nigeria"/>
    <s v="P97844"/>
    <s v="Bluetooth Speaker"/>
    <s v="Electronics"/>
    <s v="S431"/>
    <s v="Summit Supply Co"/>
    <s v="Asia"/>
    <s v="WH 01"/>
    <s v="Karachi"/>
    <x v="3"/>
    <n v="161"/>
    <n v="421.92"/>
    <n v="67929.119999999995"/>
    <n v="14.6"/>
    <n v="13"/>
    <n v="18"/>
    <n v="698"/>
    <x v="0"/>
    <x v="0"/>
    <n v="6536.9"/>
  </r>
  <r>
    <n v="101006"/>
    <d v="2024-10-09T00:00:00"/>
    <d v="2024-10-14T00:00:00"/>
    <d v="2024-10-19T00:00:00"/>
    <s v="C4526"/>
    <x v="3"/>
    <s v="Spain"/>
    <s v="P54361"/>
    <s v="Socks Pack"/>
    <s v="Apparel"/>
    <s v="S354"/>
    <s v="Vertex Manufacturing"/>
    <s v="Asia"/>
    <s v="WH 01"/>
    <s v="Karachi"/>
    <x v="1"/>
    <n v="96"/>
    <n v="26.32"/>
    <n v="2526.7199999999998"/>
    <n v="34.729999999999997"/>
    <n v="5"/>
    <n v="10"/>
    <n v="2807"/>
    <x v="0"/>
    <x v="0"/>
    <n v="253.21"/>
  </r>
  <r>
    <n v="101007"/>
    <d v="2024-10-16T00:00:00"/>
    <d v="2024-10-19T00:00:00"/>
    <d v="2024-10-29T00:00:00"/>
    <s v="C6962"/>
    <x v="1"/>
    <s v="Morocco"/>
    <s v="P96732"/>
    <s v="Bookshelf"/>
    <s v="Furniture"/>
    <s v="S196"/>
    <s v="Evergreen Partners"/>
    <s v="North America"/>
    <s v="WH 03"/>
    <s v="Dubai"/>
    <x v="1"/>
    <n v="386"/>
    <n v="63.55"/>
    <n v="24530.3"/>
    <n v="53.52"/>
    <n v="10"/>
    <n v="13"/>
    <n v="1043"/>
    <x v="0"/>
    <x v="0"/>
    <n v="3534.96"/>
  </r>
  <r>
    <n v="101008"/>
    <d v="2025-04-20T00:00:00"/>
    <d v="2025-04-22T00:00:00"/>
    <d v="2025-04-27T00:00:00"/>
    <s v="C6905"/>
    <x v="1"/>
    <s v="Kenya"/>
    <s v="P15054"/>
    <s v="Denim Jeans"/>
    <s v="Apparel"/>
    <s v="S792"/>
    <s v="Summit Supply Co"/>
    <s v="Middle East"/>
    <s v="WH 06"/>
    <s v="Amsterdam"/>
    <x v="0"/>
    <n v="292"/>
    <n v="91.96"/>
    <n v="26852.32"/>
    <n v="20.75"/>
    <n v="5"/>
    <n v="7"/>
    <n v="767"/>
    <x v="2"/>
    <x v="0"/>
    <n v="5331.87"/>
  </r>
  <r>
    <n v="101009"/>
    <d v="2025-12-25T00:00:00"/>
    <d v="2025-12-29T00:00:00"/>
    <d v="2026-01-03T00:00:00"/>
    <s v="C2139"/>
    <x v="3"/>
    <s v="Germany"/>
    <s v="P85164"/>
    <s v="Socks Pack"/>
    <s v="Apparel"/>
    <s v="S636"/>
    <s v="Evergreen Partners"/>
    <s v="Europe"/>
    <s v="WH 05"/>
    <s v="Frankfurt"/>
    <x v="3"/>
    <n v="449"/>
    <n v="112.2"/>
    <n v="50377.8"/>
    <n v="16"/>
    <n v="5"/>
    <n v="9"/>
    <n v="3156"/>
    <x v="0"/>
    <x v="0"/>
    <n v="8119.63"/>
  </r>
  <r>
    <n v="101010"/>
    <d v="2024-09-13T00:00:00"/>
    <d v="2024-09-13T00:00:00"/>
    <d v="2024-09-22T00:00:00"/>
    <s v="C4046"/>
    <x v="2"/>
    <s v="United States"/>
    <s v="P71743"/>
    <s v="Bottled Water Case"/>
    <s v="FMCG"/>
    <s v="S586"/>
    <s v="Nova Industrial"/>
    <s v="North America"/>
    <s v="WH 07"/>
    <s v="Toronto"/>
    <x v="0"/>
    <n v="425"/>
    <n v="37.18"/>
    <n v="15801.5"/>
    <n v="18.16"/>
    <n v="9"/>
    <n v="9"/>
    <n v="3147"/>
    <x v="0"/>
    <x v="0"/>
    <n v="1592.15"/>
  </r>
  <r>
    <n v="101011"/>
    <d v="2025-10-19T00:00:00"/>
    <d v="2025-10-24T00:00:00"/>
    <d v="2025-10-26T00:00:00"/>
    <s v="C7506"/>
    <x v="2"/>
    <s v="Mexico"/>
    <s v="P60924"/>
    <s v="Socks Pack"/>
    <s v="Apparel"/>
    <s v="S270"/>
    <s v="Zenith Procurement"/>
    <s v="Middle East"/>
    <s v="WH 03"/>
    <s v="Dubai"/>
    <x v="1"/>
    <n v="60"/>
    <n v="80.34"/>
    <n v="4820.3999999999996"/>
    <n v="32.4"/>
    <n v="2"/>
    <n v="7"/>
    <n v="814"/>
    <x v="2"/>
    <x v="0"/>
    <n v="147.49"/>
  </r>
  <r>
    <n v="101012"/>
    <d v="2024-12-28T00:00:00"/>
    <d v="2025-01-01T00:00:00"/>
    <d v="2025-01-03T00:00:00"/>
    <s v="C4956"/>
    <x v="4"/>
    <s v="Saudi Arabia"/>
    <s v="P82089"/>
    <s v="Face Mask Box"/>
    <s v="Healthcare"/>
    <s v="S825"/>
    <s v="Orion Supplies"/>
    <s v="Europe"/>
    <s v="WH 03"/>
    <s v="Dubai"/>
    <x v="1"/>
    <n v="373"/>
    <n v="25.98"/>
    <n v="9690.5400000000009"/>
    <n v="52.68"/>
    <n v="2"/>
    <n v="6"/>
    <n v="3547"/>
    <x v="2"/>
    <x v="0"/>
    <n v="1522.86"/>
  </r>
  <r>
    <n v="101013"/>
    <d v="2024-04-17T00:00:00"/>
    <d v="2024-04-17T00:00:00"/>
    <d v="2024-04-22T00:00:00"/>
    <s v="C5415"/>
    <x v="3"/>
    <s v="France"/>
    <s v="P62509"/>
    <s v="Power Bank"/>
    <s v="Electronics"/>
    <s v="S975"/>
    <s v="Nova Industrial"/>
    <s v="Europe"/>
    <s v="WH 08"/>
    <s v="Chicago"/>
    <x v="0"/>
    <n v="338"/>
    <n v="379.1"/>
    <n v="128135.8"/>
    <n v="16.34"/>
    <n v="5"/>
    <n v="5"/>
    <n v="706"/>
    <x v="2"/>
    <x v="0"/>
    <n v="20771.439999999999"/>
  </r>
  <r>
    <n v="101014"/>
    <d v="2025-06-06T00:00:00"/>
    <d v="2025-06-07T00:00:00"/>
    <d v="2025-06-12T00:00:00"/>
    <s v="C8899"/>
    <x v="0"/>
    <s v="Malaysia"/>
    <s v="P56429"/>
    <s v="Power Bank"/>
    <s v="Electronics"/>
    <s v="S523"/>
    <s v="Zenith Procurement"/>
    <s v="Africa"/>
    <s v="WH 08"/>
    <s v="Chicago"/>
    <x v="3"/>
    <n v="480"/>
    <n v="320.22000000000003"/>
    <n v="153705.60000000001"/>
    <n v="22.36"/>
    <n v="5"/>
    <n v="6"/>
    <n v="1166"/>
    <x v="2"/>
    <x v="0"/>
    <n v="10227.18"/>
  </r>
  <r>
    <n v="101015"/>
    <d v="2025-01-06T00:00:00"/>
    <d v="2025-01-11T00:00:00"/>
    <d v="2025-01-25T00:00:00"/>
    <s v="C1254"/>
    <x v="4"/>
    <s v="United Arab Emirates"/>
    <s v="P69051"/>
    <s v="Shampoo Pack"/>
    <s v="FMCG"/>
    <s v="S791"/>
    <s v="Zenith Procurement"/>
    <s v="Asia"/>
    <s v="WH 04"/>
    <s v="Istanbul"/>
    <x v="3"/>
    <n v="273"/>
    <n v="41.74"/>
    <n v="11395.02"/>
    <n v="17.329999999999998"/>
    <n v="14"/>
    <n v="19"/>
    <n v="3064"/>
    <x v="0"/>
    <x v="0"/>
    <n v="1673.25"/>
  </r>
  <r>
    <n v="101016"/>
    <d v="2024-04-21T00:00:00"/>
    <d v="2024-04-24T00:00:00"/>
    <d v="2024-04-27T00:00:00"/>
    <s v="C1182"/>
    <x v="3"/>
    <s v="Sweden"/>
    <s v="P65892"/>
    <s v="Detergent Bag"/>
    <s v="FMCG"/>
    <s v="S880"/>
    <s v="Nova Industrial"/>
    <s v="Africa"/>
    <s v="WH 10"/>
    <s v="Cairo"/>
    <x v="1"/>
    <n v="174"/>
    <n v="10.88"/>
    <n v="1893.12"/>
    <n v="39.79"/>
    <n v="3"/>
    <n v="6"/>
    <n v="2323"/>
    <x v="2"/>
    <x v="0"/>
    <n v="65.239999999999995"/>
  </r>
  <r>
    <n v="101017"/>
    <d v="2025-09-09T00:00:00"/>
    <d v="2025-09-10T00:00:00"/>
    <d v="2025-10-03T00:00:00"/>
    <s v="C6785"/>
    <x v="1"/>
    <s v="South Africa"/>
    <s v="P30998"/>
    <s v="Thermometer"/>
    <s v="Healthcare"/>
    <s v="S296"/>
    <s v="Crescent Logistics"/>
    <s v="Middle East"/>
    <s v="WH 02"/>
    <s v="Lahore"/>
    <x v="2"/>
    <n v="330"/>
    <n v="77.180000000000007"/>
    <n v="25469.4"/>
    <n v="14.03"/>
    <n v="23"/>
    <n v="24"/>
    <n v="1888"/>
    <x v="0"/>
    <x v="0"/>
    <n v="3208.1"/>
  </r>
  <r>
    <n v="101018"/>
    <d v="2025-09-24T00:00:00"/>
    <d v="2025-09-26T00:00:00"/>
    <d v="2025-10-16T00:00:00"/>
    <s v="C9669"/>
    <x v="4"/>
    <s v="United Arab Emirates"/>
    <s v="P77902"/>
    <s v="T Shirt Bundle"/>
    <s v="Apparel"/>
    <s v="S491"/>
    <s v="Nova Industrial"/>
    <s v="Asia"/>
    <s v="WH 07"/>
    <s v="Toronto"/>
    <x v="2"/>
    <n v="488"/>
    <n v="50.15"/>
    <n v="24473.200000000001"/>
    <n v="16.91"/>
    <n v="20"/>
    <n v="22"/>
    <n v="516"/>
    <x v="1"/>
    <x v="3"/>
    <n v="6138.87"/>
  </r>
  <r>
    <n v="101019"/>
    <d v="2024-01-13T00:00:00"/>
    <d v="2024-01-18T00:00:00"/>
    <d v="2024-01-22T00:00:00"/>
    <s v="C8485"/>
    <x v="1"/>
    <s v="South Africa"/>
    <s v="P59527"/>
    <s v="Denim Jeans"/>
    <s v="Apparel"/>
    <s v="S188"/>
    <s v="Orion Supplies"/>
    <s v="Asia"/>
    <s v="WH 08"/>
    <s v="Chicago"/>
    <x v="1"/>
    <n v="198"/>
    <n v="101.07"/>
    <n v="20011.86"/>
    <n v="41.34"/>
    <n v="4"/>
    <n v="9"/>
    <n v="599"/>
    <x v="0"/>
    <x v="0"/>
    <n v="5118.92"/>
  </r>
  <r>
    <n v="101020"/>
    <d v="2024-09-16T00:00:00"/>
    <d v="2024-09-20T00:00:00"/>
    <d v="2024-09-25T00:00:00"/>
    <s v="C9339"/>
    <x v="4"/>
    <s v="Qatar"/>
    <s v="P22943"/>
    <s v="Vitamin Pack"/>
    <s v="Healthcare"/>
    <s v="S166"/>
    <s v="Zenith Procurement"/>
    <s v="Asia"/>
    <s v="WH 10"/>
    <s v="Cairo"/>
    <x v="3"/>
    <n v="442"/>
    <n v="35.22"/>
    <n v="15567.24"/>
    <n v="21.43"/>
    <n v="5"/>
    <n v="9"/>
    <n v="4271"/>
    <x v="0"/>
    <x v="0"/>
    <n v="1381.07"/>
  </r>
  <r>
    <n v="101021"/>
    <d v="2024-05-07T00:00:00"/>
    <d v="2024-05-07T00:00:00"/>
    <d v="2024-05-12T00:00:00"/>
    <s v="C7329"/>
    <x v="2"/>
    <s v="Mexico"/>
    <s v="P44984"/>
    <s v="First Aid Kit"/>
    <s v="Healthcare"/>
    <s v="S783"/>
    <s v="Atlas Sourcing"/>
    <s v="Asia"/>
    <s v="WH 05"/>
    <s v="Frankfurt"/>
    <x v="3"/>
    <n v="269"/>
    <n v="21.92"/>
    <n v="5896.48"/>
    <n v="17.23"/>
    <n v="5"/>
    <n v="5"/>
    <n v="2768"/>
    <x v="2"/>
    <x v="0"/>
    <n v="623.86"/>
  </r>
  <r>
    <n v="101022"/>
    <d v="2025-04-19T00:00:00"/>
    <d v="2025-04-23T00:00:00"/>
    <d v="2025-04-26T00:00:00"/>
    <s v="C5918"/>
    <x v="0"/>
    <s v="China"/>
    <s v="P71064"/>
    <s v="Router"/>
    <s v="Electronics"/>
    <s v="S884"/>
    <s v="Vertex Manufacturing"/>
    <s v="Middle East"/>
    <s v="WH 02"/>
    <s v="Lahore"/>
    <x v="1"/>
    <n v="158"/>
    <n v="175.37"/>
    <n v="27708.46"/>
    <n v="38.75"/>
    <n v="3"/>
    <n v="7"/>
    <n v="180"/>
    <x v="2"/>
    <x v="0"/>
    <n v="5350.62"/>
  </r>
  <r>
    <n v="101023"/>
    <d v="2025-09-28T00:00:00"/>
    <d v="2025-10-01T00:00:00"/>
    <d v="2025-10-14T00:00:00"/>
    <s v="C7731"/>
    <x v="2"/>
    <s v="United States"/>
    <s v="P20965"/>
    <s v="Bottled Water Case"/>
    <s v="FMCG"/>
    <s v="S475"/>
    <s v="BlueRiver Trading"/>
    <s v="Asia"/>
    <s v="WH 04"/>
    <s v="Istanbul"/>
    <x v="3"/>
    <n v="167"/>
    <n v="23.66"/>
    <n v="3951.22"/>
    <n v="14.75"/>
    <n v="13"/>
    <n v="16"/>
    <n v="3336"/>
    <x v="0"/>
    <x v="0"/>
    <n v="655.16999999999996"/>
  </r>
  <r>
    <n v="101024"/>
    <d v="2024-04-17T00:00:00"/>
    <d v="2024-04-19T00:00:00"/>
    <d v="2024-05-14T00:00:00"/>
    <s v="C3774"/>
    <x v="4"/>
    <s v="Oman"/>
    <s v="P47117"/>
    <s v="Denim Jeans"/>
    <s v="Apparel"/>
    <s v="S969"/>
    <s v="BlueRiver Trading"/>
    <s v="North America"/>
    <s v="WH 08"/>
    <s v="Chicago"/>
    <x v="2"/>
    <n v="96"/>
    <n v="44.99"/>
    <n v="4319.04"/>
    <n v="9.77"/>
    <n v="25"/>
    <n v="27"/>
    <n v="2419"/>
    <x v="1"/>
    <x v="3"/>
    <n v="634.51"/>
  </r>
  <r>
    <n v="101025"/>
    <d v="2024-11-06T00:00:00"/>
    <d v="2024-11-07T00:00:00"/>
    <d v="2024-11-13T00:00:00"/>
    <s v="C4743"/>
    <x v="2"/>
    <s v="Mexico"/>
    <s v="P17159"/>
    <s v="First Aid Kit"/>
    <s v="Healthcare"/>
    <s v="S507"/>
    <s v="Zenith Procurement"/>
    <s v="Asia"/>
    <s v="WH 06"/>
    <s v="Amsterdam"/>
    <x v="3"/>
    <n v="16"/>
    <n v="44.08"/>
    <n v="705.28"/>
    <n v="11.08"/>
    <n v="6"/>
    <n v="7"/>
    <n v="4385"/>
    <x v="1"/>
    <x v="2"/>
    <n v="82.7"/>
  </r>
  <r>
    <n v="101026"/>
    <d v="2024-10-14T00:00:00"/>
    <d v="2024-10-16T00:00:00"/>
    <d v="2024-10-26T00:00:00"/>
    <s v="C9083"/>
    <x v="4"/>
    <s v="Oman"/>
    <s v="P91256"/>
    <s v="Floor Lamp"/>
    <s v="Furniture"/>
    <s v="S523"/>
    <s v="Nova Industrial"/>
    <s v="Africa"/>
    <s v="WH 10"/>
    <s v="Cairo"/>
    <x v="2"/>
    <n v="196"/>
    <n v="124.46"/>
    <n v="24394.16"/>
    <n v="11.59"/>
    <n v="10"/>
    <n v="12"/>
    <n v="2013"/>
    <x v="0"/>
    <x v="0"/>
    <n v="2903.18"/>
  </r>
  <r>
    <n v="101027"/>
    <d v="2025-07-18T00:00:00"/>
    <d v="2025-07-19T00:00:00"/>
    <d v="2025-07-25T00:00:00"/>
    <s v="C3436"/>
    <x v="0"/>
    <s v="Vietnam"/>
    <s v="P15769"/>
    <s v="Bookshelf"/>
    <s v="Furniture"/>
    <s v="S407"/>
    <s v="Vertex Manufacturing"/>
    <s v="Europe"/>
    <s v="WH 07"/>
    <s v="Toronto"/>
    <x v="3"/>
    <n v="422"/>
    <n v="198.41"/>
    <n v="83729.02"/>
    <n v="20.95"/>
    <n v="6"/>
    <n v="7"/>
    <n v="1139"/>
    <x v="2"/>
    <x v="0"/>
    <n v="11864.75"/>
  </r>
  <r>
    <n v="101028"/>
    <d v="2024-07-05T00:00:00"/>
    <d v="2024-07-09T00:00:00"/>
    <d v="2024-07-20T00:00:00"/>
    <s v="C8275"/>
    <x v="0"/>
    <s v="Pakistan"/>
    <s v="P92096"/>
    <s v="Hand Sanitizer Case"/>
    <s v="Healthcare"/>
    <s v="S664"/>
    <s v="Pioneer Distribution"/>
    <s v="Europe"/>
    <s v="WH 03"/>
    <s v="Dubai"/>
    <x v="3"/>
    <n v="339"/>
    <n v="28.18"/>
    <n v="9553.02"/>
    <n v="18.93"/>
    <n v="11"/>
    <n v="15"/>
    <n v="825"/>
    <x v="0"/>
    <x v="0"/>
    <n v="1422.98"/>
  </r>
  <r>
    <n v="101029"/>
    <d v="2024-07-16T00:00:00"/>
    <d v="2024-07-16T00:00:00"/>
    <d v="2024-07-24T00:00:00"/>
    <s v="C3504"/>
    <x v="1"/>
    <s v="Morocco"/>
    <s v="P66795"/>
    <s v="Wireless Earbuds"/>
    <s v="Electronics"/>
    <s v="S352"/>
    <s v="Pioneer Distribution"/>
    <s v="Middle East"/>
    <s v="WH 02"/>
    <s v="Lahore"/>
    <x v="3"/>
    <n v="384"/>
    <n v="61.46"/>
    <n v="23600.639999999999"/>
    <n v="20.02"/>
    <n v="8"/>
    <n v="8"/>
    <n v="325"/>
    <x v="0"/>
    <x v="0"/>
    <n v="3285.81"/>
  </r>
  <r>
    <n v="101030"/>
    <d v="2024-01-07T00:00:00"/>
    <d v="2024-01-10T00:00:00"/>
    <d v="2024-01-21T00:00:00"/>
    <s v="C2148"/>
    <x v="2"/>
    <s v="United States"/>
    <s v="P13086"/>
    <s v="Snack Carton"/>
    <s v="FMCG"/>
    <s v="S624"/>
    <s v="Atlas Sourcing"/>
    <s v="Africa"/>
    <s v="WH 07"/>
    <s v="Toronto"/>
    <x v="3"/>
    <n v="127"/>
    <n v="48.99"/>
    <n v="6221.73"/>
    <n v="13.78"/>
    <n v="11"/>
    <n v="14"/>
    <n v="659"/>
    <x v="0"/>
    <x v="0"/>
    <n v="741.65"/>
  </r>
  <r>
    <n v="101031"/>
    <d v="2024-06-04T00:00:00"/>
    <d v="2024-06-09T00:00:00"/>
    <d v="2024-06-19T00:00:00"/>
    <s v="C7542"/>
    <x v="1"/>
    <s v="South Africa"/>
    <s v="P48233"/>
    <s v="Vitamin Pack"/>
    <s v="Healthcare"/>
    <s v="S294"/>
    <s v="Orion Supplies"/>
    <s v="Africa"/>
    <s v="WH 02"/>
    <s v="Lahore"/>
    <x v="1"/>
    <n v="177"/>
    <n v="84.09"/>
    <n v="14883.93"/>
    <n v="29.62"/>
    <n v="10"/>
    <n v="15"/>
    <n v="1974"/>
    <x v="0"/>
    <x v="0"/>
    <n v="2543.88"/>
  </r>
  <r>
    <n v="101032"/>
    <d v="2025-05-27T00:00:00"/>
    <d v="2025-06-01T00:00:00"/>
    <d v="2025-06-14T00:00:00"/>
    <s v="C4839"/>
    <x v="4"/>
    <s v="United Arab Emirates"/>
    <s v="P54138"/>
    <s v="Storage Cabinet"/>
    <s v="Furniture"/>
    <s v="S272"/>
    <s v="Nova Industrial"/>
    <s v="North America"/>
    <s v="WH 05"/>
    <s v="Frankfurt"/>
    <x v="3"/>
    <n v="139"/>
    <n v="61.95"/>
    <n v="8611.0499999999993"/>
    <n v="14.07"/>
    <n v="13"/>
    <n v="18"/>
    <n v="601"/>
    <x v="0"/>
    <x v="0"/>
    <n v="2130.5100000000002"/>
  </r>
  <r>
    <n v="101033"/>
    <d v="2024-05-13T00:00:00"/>
    <d v="2024-05-15T00:00:00"/>
    <d v="2024-05-18T00:00:00"/>
    <s v="C1458"/>
    <x v="1"/>
    <s v="South Africa"/>
    <s v="P26066"/>
    <s v="Power Bank"/>
    <s v="Electronics"/>
    <s v="S725"/>
    <s v="Crescent Logistics"/>
    <s v="Europe"/>
    <s v="WH 07"/>
    <s v="Toronto"/>
    <x v="0"/>
    <n v="168"/>
    <n v="433.5"/>
    <n v="72828"/>
    <n v="17.239999999999998"/>
    <n v="3"/>
    <n v="5"/>
    <n v="989"/>
    <x v="2"/>
    <x v="0"/>
    <n v="11350.93"/>
  </r>
  <r>
    <n v="101034"/>
    <d v="2024-03-07T00:00:00"/>
    <d v="2024-03-12T00:00:00"/>
    <d v="2024-03-20T00:00:00"/>
    <s v="C8711"/>
    <x v="0"/>
    <s v="Malaysia"/>
    <s v="P96900"/>
    <s v="Hoodie"/>
    <s v="Apparel"/>
    <s v="S138"/>
    <s v="Vertex Manufacturing"/>
    <s v="Middle East"/>
    <s v="WH 08"/>
    <s v="Chicago"/>
    <x v="0"/>
    <n v="361"/>
    <n v="97.15"/>
    <n v="35071.15"/>
    <n v="22.71"/>
    <n v="8"/>
    <n v="13"/>
    <n v="355"/>
    <x v="1"/>
    <x v="2"/>
    <n v="6262.21"/>
  </r>
  <r>
    <n v="101035"/>
    <d v="2024-09-05T00:00:00"/>
    <d v="2024-09-06T00:00:00"/>
    <d v="2024-09-14T00:00:00"/>
    <s v="C5930"/>
    <x v="2"/>
    <s v="United States"/>
    <s v="P33398"/>
    <s v="Toothpaste Box"/>
    <s v="FMCG"/>
    <s v="S801"/>
    <s v="BlueRiver Trading"/>
    <s v="Africa"/>
    <s v="WH 05"/>
    <s v="Frankfurt"/>
    <x v="1"/>
    <n v="147"/>
    <n v="37.700000000000003"/>
    <n v="5541.9"/>
    <n v="38.04"/>
    <n v="8"/>
    <n v="9"/>
    <n v="1241"/>
    <x v="0"/>
    <x v="0"/>
    <n v="328.3"/>
  </r>
  <r>
    <n v="101036"/>
    <d v="2025-06-21T00:00:00"/>
    <d v="2025-06-26T00:00:00"/>
    <d v="2025-07-02T00:00:00"/>
    <s v="C4656"/>
    <x v="4"/>
    <s v="Turkey"/>
    <s v="P97154"/>
    <s v="Bluetooth Speaker"/>
    <s v="Electronics"/>
    <s v="S150"/>
    <s v="Evergreen Partners"/>
    <s v="Asia"/>
    <s v="WH 01"/>
    <s v="Karachi"/>
    <x v="0"/>
    <n v="378"/>
    <n v="227.05"/>
    <n v="85824.9"/>
    <n v="23.19"/>
    <n v="6"/>
    <n v="11"/>
    <n v="1588"/>
    <x v="0"/>
    <x v="0"/>
    <n v="10724.33"/>
  </r>
  <r>
    <n v="101037"/>
    <d v="2025-09-18T00:00:00"/>
    <d v="2025-09-20T00:00:00"/>
    <d v="2025-10-08T00:00:00"/>
    <s v="C5363"/>
    <x v="4"/>
    <s v="Oman"/>
    <s v="P77699"/>
    <s v="Storage Cabinet"/>
    <s v="Furniture"/>
    <s v="S699"/>
    <s v="Pioneer Distribution"/>
    <s v="North America"/>
    <s v="WH 10"/>
    <s v="Cairo"/>
    <x v="2"/>
    <n v="327"/>
    <n v="209.84"/>
    <n v="68617.679999999993"/>
    <n v="13.98"/>
    <n v="18"/>
    <n v="20"/>
    <n v="1402"/>
    <x v="1"/>
    <x v="2"/>
    <n v="14656.36"/>
  </r>
  <r>
    <n v="101038"/>
    <d v="2025-01-16T00:00:00"/>
    <d v="2025-01-17T00:00:00"/>
    <d v="2025-01-19T00:00:00"/>
    <s v="C7098"/>
    <x v="4"/>
    <s v="Qatar"/>
    <s v="P15280"/>
    <s v="Smart Watch"/>
    <s v="Electronics"/>
    <s v="S248"/>
    <s v="Crescent Logistics"/>
    <s v="Asia"/>
    <s v="WH 04"/>
    <s v="Istanbul"/>
    <x v="1"/>
    <n v="126"/>
    <n v="298.74"/>
    <n v="37641.24"/>
    <n v="36.68"/>
    <n v="2"/>
    <n v="3"/>
    <n v="863"/>
    <x v="2"/>
    <x v="0"/>
    <n v="6316.66"/>
  </r>
  <r>
    <n v="101039"/>
    <d v="2024-08-21T00:00:00"/>
    <d v="2024-08-23T00:00:00"/>
    <d v="2024-08-26T00:00:00"/>
    <s v="C7168"/>
    <x v="0"/>
    <s v="China"/>
    <s v="P92633"/>
    <s v="Shampoo Pack"/>
    <s v="FMCG"/>
    <s v="S884"/>
    <s v="Atlas Sourcing"/>
    <s v="Middle East"/>
    <s v="WH 03"/>
    <s v="Dubai"/>
    <x v="0"/>
    <n v="45"/>
    <n v="7.24"/>
    <n v="325.8"/>
    <n v="13.75"/>
    <n v="3"/>
    <n v="5"/>
    <n v="1163"/>
    <x v="2"/>
    <x v="0"/>
    <n v="44.02"/>
  </r>
  <r>
    <n v="101040"/>
    <d v="2025-08-13T00:00:00"/>
    <d v="2025-08-16T00:00:00"/>
    <d v="2025-08-27T00:00:00"/>
    <s v="C6106"/>
    <x v="4"/>
    <s v="Turkey"/>
    <s v="P47204"/>
    <s v="Shampoo Pack"/>
    <s v="FMCG"/>
    <s v="S909"/>
    <s v="Nova Industrial"/>
    <s v="Middle East"/>
    <s v="WH 03"/>
    <s v="Dubai"/>
    <x v="2"/>
    <n v="266"/>
    <n v="47.94"/>
    <n v="12752.04"/>
    <n v="9.5299999999999994"/>
    <n v="11"/>
    <n v="14"/>
    <n v="3937"/>
    <x v="0"/>
    <x v="0"/>
    <n v="1987.54"/>
  </r>
  <r>
    <n v="101041"/>
    <d v="2024-11-25T00:00:00"/>
    <d v="2024-11-27T00:00:00"/>
    <d v="2024-12-10T00:00:00"/>
    <s v="C5682"/>
    <x v="4"/>
    <s v="United Arab Emirates"/>
    <s v="P21154"/>
    <s v="Smart Watch"/>
    <s v="Electronics"/>
    <s v="S714"/>
    <s v="Crescent Logistics"/>
    <s v="Middle East"/>
    <s v="WH 08"/>
    <s v="Chicago"/>
    <x v="3"/>
    <n v="353"/>
    <n v="262.01"/>
    <n v="92489.53"/>
    <n v="14.27"/>
    <n v="13"/>
    <n v="15"/>
    <n v="879"/>
    <x v="0"/>
    <x v="0"/>
    <n v="10063.98"/>
  </r>
  <r>
    <n v="101042"/>
    <d v="2024-01-22T00:00:00"/>
    <d v="2024-01-25T00:00:00"/>
    <d v="2024-02-06T00:00:00"/>
    <s v="C2248"/>
    <x v="0"/>
    <s v="Vietnam"/>
    <s v="P36234"/>
    <s v="Storage Cabinet"/>
    <s v="Furniture"/>
    <s v="S137"/>
    <s v="Atlas Sourcing"/>
    <s v="Europe"/>
    <s v="WH 05"/>
    <s v="Frankfurt"/>
    <x v="3"/>
    <n v="500"/>
    <n v="111.23"/>
    <n v="55615"/>
    <n v="22.84"/>
    <n v="12"/>
    <n v="15"/>
    <n v="2067"/>
    <x v="0"/>
    <x v="0"/>
    <n v="15201.04"/>
  </r>
  <r>
    <n v="101043"/>
    <d v="2025-10-22T00:00:00"/>
    <d v="2025-10-26T00:00:00"/>
    <d v="2025-10-30T00:00:00"/>
    <s v="C8512"/>
    <x v="0"/>
    <s v="Bangladesh"/>
    <s v="P33289"/>
    <s v="Bluetooth Speaker"/>
    <s v="Electronics"/>
    <s v="S419"/>
    <s v="Evergreen Partners"/>
    <s v="Middle East"/>
    <s v="WH 08"/>
    <s v="Chicago"/>
    <x v="3"/>
    <n v="186"/>
    <n v="363.71"/>
    <n v="67650.06"/>
    <n v="15.21"/>
    <n v="4"/>
    <n v="8"/>
    <n v="1233"/>
    <x v="0"/>
    <x v="0"/>
    <n v="14141.21"/>
  </r>
  <r>
    <n v="101044"/>
    <d v="2024-10-09T00:00:00"/>
    <d v="2024-10-09T00:00:00"/>
    <d v="2024-10-16T00:00:00"/>
    <s v="C8409"/>
    <x v="0"/>
    <s v="Malaysia"/>
    <s v="P91909"/>
    <s v="Floor Lamp"/>
    <s v="Furniture"/>
    <s v="S469"/>
    <s v="Summit Supply Co"/>
    <s v="Africa"/>
    <s v="WH 10"/>
    <s v="Cairo"/>
    <x v="1"/>
    <n v="298"/>
    <n v="333.42"/>
    <n v="99359.16"/>
    <n v="47.82"/>
    <n v="7"/>
    <n v="7"/>
    <n v="1343"/>
    <x v="2"/>
    <x v="0"/>
    <n v="21636.82"/>
  </r>
  <r>
    <n v="101045"/>
    <d v="2024-05-12T00:00:00"/>
    <d v="2024-05-15T00:00:00"/>
    <d v="2024-05-27T00:00:00"/>
    <s v="C1037"/>
    <x v="3"/>
    <s v="Poland"/>
    <s v="P58503"/>
    <s v="Router"/>
    <s v="Electronics"/>
    <s v="S659"/>
    <s v="Orion Supplies"/>
    <s v="Middle East"/>
    <s v="WH 10"/>
    <s v="Cairo"/>
    <x v="3"/>
    <n v="114"/>
    <n v="319.11"/>
    <n v="36378.54"/>
    <n v="13.46"/>
    <n v="12"/>
    <n v="15"/>
    <n v="638"/>
    <x v="0"/>
    <x v="0"/>
    <n v="5511.54"/>
  </r>
  <r>
    <n v="101046"/>
    <d v="2025-01-17T00:00:00"/>
    <d v="2025-01-20T00:00:00"/>
    <d v="2025-01-25T00:00:00"/>
    <s v="C3674"/>
    <x v="1"/>
    <s v="South Africa"/>
    <s v="P32820"/>
    <s v="Sportswear Set"/>
    <s v="Apparel"/>
    <s v="S148"/>
    <s v="Pioneer Distribution"/>
    <s v="Asia"/>
    <s v="WH 08"/>
    <s v="Chicago"/>
    <x v="1"/>
    <n v="76"/>
    <n v="88.55"/>
    <n v="6729.8"/>
    <n v="33.44"/>
    <n v="5"/>
    <n v="8"/>
    <n v="2226"/>
    <x v="0"/>
    <x v="0"/>
    <n v="718.96"/>
  </r>
  <r>
    <n v="101047"/>
    <d v="2024-07-03T00:00:00"/>
    <d v="2024-07-04T00:00:00"/>
    <d v="2024-07-11T00:00:00"/>
    <s v="C4787"/>
    <x v="4"/>
    <s v="Oman"/>
    <s v="P24333"/>
    <s v="Smart Watch"/>
    <s v="Electronics"/>
    <s v="S939"/>
    <s v="Nova Industrial"/>
    <s v="Europe"/>
    <s v="WH 08"/>
    <s v="Chicago"/>
    <x v="1"/>
    <n v="457"/>
    <n v="390.41"/>
    <n v="178417.37"/>
    <n v="58.13"/>
    <n v="7"/>
    <n v="8"/>
    <n v="982"/>
    <x v="0"/>
    <x v="0"/>
    <n v="22095.69"/>
  </r>
  <r>
    <n v="101048"/>
    <d v="2025-08-27T00:00:00"/>
    <d v="2025-08-31T00:00:00"/>
    <d v="2025-09-04T00:00:00"/>
    <s v="C2104"/>
    <x v="4"/>
    <s v="Saudi Arabia"/>
    <s v="P93190"/>
    <s v="First Aid Kit"/>
    <s v="Healthcare"/>
    <s v="S954"/>
    <s v="Vertex Manufacturing"/>
    <s v="North America"/>
    <s v="WH 10"/>
    <s v="Cairo"/>
    <x v="1"/>
    <n v="146"/>
    <n v="55.67"/>
    <n v="8127.82"/>
    <n v="37.97"/>
    <n v="4"/>
    <n v="8"/>
    <n v="1530"/>
    <x v="0"/>
    <x v="0"/>
    <n v="1068.8"/>
  </r>
  <r>
    <n v="101049"/>
    <d v="2025-07-21T00:00:00"/>
    <d v="2025-07-21T00:00:00"/>
    <d v="2025-08-03T00:00:00"/>
    <s v="C9313"/>
    <x v="3"/>
    <s v="Italy"/>
    <s v="P72126"/>
    <s v="Floor Lamp"/>
    <s v="Furniture"/>
    <s v="S612"/>
    <s v="Zenith Procurement"/>
    <s v="Middle East"/>
    <s v="WH 03"/>
    <s v="Dubai"/>
    <x v="3"/>
    <n v="487"/>
    <n v="141.79"/>
    <n v="69051.73"/>
    <n v="22.53"/>
    <n v="13"/>
    <n v="13"/>
    <n v="640"/>
    <x v="0"/>
    <x v="0"/>
    <n v="13624.89"/>
  </r>
  <r>
    <n v="101050"/>
    <d v="2025-01-17T00:00:00"/>
    <d v="2025-01-20T00:00:00"/>
    <d v="2025-01-30T00:00:00"/>
    <s v="C8101"/>
    <x v="2"/>
    <s v="Mexico"/>
    <s v="P68920"/>
    <s v="Power Bank"/>
    <s v="Electronics"/>
    <s v="S572"/>
    <s v="Crescent Logistics"/>
    <s v="Europe"/>
    <s v="WH 04"/>
    <s v="Istanbul"/>
    <x v="2"/>
    <n v="124"/>
    <n v="103.41"/>
    <n v="12822.84"/>
    <n v="10.28"/>
    <n v="10"/>
    <n v="13"/>
    <n v="487"/>
    <x v="1"/>
    <x v="2"/>
    <n v="2101.9"/>
  </r>
  <r>
    <n v="101051"/>
    <d v="2025-06-12T00:00:00"/>
    <d v="2025-06-13T00:00:00"/>
    <d v="2025-07-05T00:00:00"/>
    <s v="C2549"/>
    <x v="1"/>
    <s v="Egypt"/>
    <s v="P60511"/>
    <s v="Power Bank"/>
    <s v="Electronics"/>
    <s v="S892"/>
    <s v="Pioneer Distribution"/>
    <s v="North America"/>
    <s v="WH 04"/>
    <s v="Istanbul"/>
    <x v="2"/>
    <n v="370"/>
    <n v="95.33"/>
    <n v="35272.1"/>
    <n v="14.76"/>
    <n v="22"/>
    <n v="23"/>
    <n v="1200"/>
    <x v="1"/>
    <x v="3"/>
    <n v="3213.38"/>
  </r>
  <r>
    <n v="101052"/>
    <d v="2024-08-19T00:00:00"/>
    <d v="2024-08-19T00:00:00"/>
    <d v="2024-08-31T00:00:00"/>
    <s v="C5710"/>
    <x v="1"/>
    <s v="South Africa"/>
    <s v="P48892"/>
    <s v="Wireless Earbuds"/>
    <s v="Electronics"/>
    <s v="S769"/>
    <s v="Nova Industrial"/>
    <s v="North America"/>
    <s v="WH 03"/>
    <s v="Dubai"/>
    <x v="2"/>
    <n v="233"/>
    <n v="330.54"/>
    <n v="77015.820000000007"/>
    <n v="12.27"/>
    <n v="12"/>
    <n v="12"/>
    <n v="327"/>
    <x v="0"/>
    <x v="0"/>
    <n v="11901.4"/>
  </r>
  <r>
    <n v="101053"/>
    <d v="2025-01-30T00:00:00"/>
    <d v="2025-01-30T00:00:00"/>
    <d v="2025-02-13T00:00:00"/>
    <s v="C5470"/>
    <x v="1"/>
    <s v="South Africa"/>
    <s v="P32003"/>
    <s v="Wireless Earbuds"/>
    <s v="Electronics"/>
    <s v="S192"/>
    <s v="Evergreen Partners"/>
    <s v="Asia"/>
    <s v="WH 10"/>
    <s v="Cairo"/>
    <x v="2"/>
    <n v="469"/>
    <n v="86.72"/>
    <n v="40671.68"/>
    <n v="16.57"/>
    <n v="14"/>
    <n v="14"/>
    <n v="1083"/>
    <x v="0"/>
    <x v="0"/>
    <n v="3916.18"/>
  </r>
  <r>
    <n v="101054"/>
    <d v="2025-12-30T00:00:00"/>
    <d v="2025-12-30T00:00:00"/>
    <d v="2026-01-13T00:00:00"/>
    <s v="C6054"/>
    <x v="0"/>
    <s v="Indonesia"/>
    <s v="P11130"/>
    <s v="Bottled Water Case"/>
    <s v="FMCG"/>
    <s v="S489"/>
    <s v="Nova Industrial"/>
    <s v="North America"/>
    <s v="WH 06"/>
    <s v="Amsterdam"/>
    <x v="2"/>
    <n v="257"/>
    <n v="44.81"/>
    <n v="11516.17"/>
    <n v="12.7"/>
    <n v="14"/>
    <n v="14"/>
    <n v="2418"/>
    <x v="0"/>
    <x v="0"/>
    <n v="1145.73"/>
  </r>
  <r>
    <n v="101055"/>
    <d v="2024-05-22T00:00:00"/>
    <d v="2024-05-24T00:00:00"/>
    <d v="2024-05-29T00:00:00"/>
    <s v="C1987"/>
    <x v="1"/>
    <s v="Nigeria"/>
    <s v="P70582"/>
    <s v="Detergent Bag"/>
    <s v="FMCG"/>
    <s v="S847"/>
    <s v="Vertex Manufacturing"/>
    <s v="Asia"/>
    <s v="WH 01"/>
    <s v="Karachi"/>
    <x v="0"/>
    <n v="269"/>
    <n v="31.9"/>
    <n v="8581.1"/>
    <n v="20.100000000000001"/>
    <n v="5"/>
    <n v="7"/>
    <n v="4145"/>
    <x v="1"/>
    <x v="2"/>
    <n v="421.71"/>
  </r>
  <r>
    <n v="101056"/>
    <d v="2025-09-25T00:00:00"/>
    <d v="2025-09-29T00:00:00"/>
    <d v="2025-10-07T00:00:00"/>
    <s v="C9770"/>
    <x v="4"/>
    <s v="United Arab Emirates"/>
    <s v="P30343"/>
    <s v="Router"/>
    <s v="Electronics"/>
    <s v="S317"/>
    <s v="Vertex Manufacturing"/>
    <s v="Asia"/>
    <s v="WH 09"/>
    <s v="Johannesburg"/>
    <x v="3"/>
    <n v="24"/>
    <n v="251.52"/>
    <n v="6036.48"/>
    <n v="11.28"/>
    <n v="8"/>
    <n v="12"/>
    <n v="835"/>
    <x v="0"/>
    <x v="0"/>
    <n v="645.5"/>
  </r>
  <r>
    <n v="101057"/>
    <d v="2025-02-17T00:00:00"/>
    <d v="2025-02-19T00:00:00"/>
    <d v="2025-02-26T00:00:00"/>
    <s v="C2946"/>
    <x v="1"/>
    <s v="South Africa"/>
    <s v="P97123"/>
    <s v="Shampoo Pack"/>
    <s v="FMCG"/>
    <s v="S291"/>
    <s v="Atlas Sourcing"/>
    <s v="North America"/>
    <s v="WH 03"/>
    <s v="Dubai"/>
    <x v="0"/>
    <n v="50"/>
    <n v="24.03"/>
    <n v="1201.5"/>
    <n v="13.89"/>
    <n v="7"/>
    <n v="9"/>
    <n v="1632"/>
    <x v="1"/>
    <x v="1"/>
    <n v="-215.73"/>
  </r>
  <r>
    <n v="101058"/>
    <d v="2024-05-05T00:00:00"/>
    <d v="2024-05-09T00:00:00"/>
    <d v="2024-05-14T00:00:00"/>
    <s v="C3121"/>
    <x v="4"/>
    <s v="Turkey"/>
    <s v="P27412"/>
    <s v="Office Chair"/>
    <s v="Furniture"/>
    <s v="S562"/>
    <s v="Crescent Logistics"/>
    <s v="North America"/>
    <s v="WH 06"/>
    <s v="Amsterdam"/>
    <x v="1"/>
    <n v="91"/>
    <n v="173.83"/>
    <n v="15818.53"/>
    <n v="34.409999999999997"/>
    <n v="5"/>
    <n v="9"/>
    <n v="327"/>
    <x v="0"/>
    <x v="0"/>
    <n v="3863.46"/>
  </r>
  <r>
    <n v="101059"/>
    <d v="2025-10-01T00:00:00"/>
    <d v="2025-10-02T00:00:00"/>
    <d v="2025-10-25T00:00:00"/>
    <s v="C6462"/>
    <x v="0"/>
    <s v="Vietnam"/>
    <s v="P41795"/>
    <s v="Bottled Water Case"/>
    <s v="FMCG"/>
    <s v="S274"/>
    <s v="Evergreen Partners"/>
    <s v="Asia"/>
    <s v="WH 04"/>
    <s v="Istanbul"/>
    <x v="2"/>
    <n v="347"/>
    <n v="9.11"/>
    <n v="3161.17"/>
    <n v="10.62"/>
    <n v="23"/>
    <n v="24"/>
    <n v="1676"/>
    <x v="0"/>
    <x v="0"/>
    <n v="224.84"/>
  </r>
  <r>
    <n v="101060"/>
    <d v="2025-02-26T00:00:00"/>
    <d v="2025-02-28T00:00:00"/>
    <d v="2025-03-12T00:00:00"/>
    <s v="C2234"/>
    <x v="2"/>
    <s v="Canada"/>
    <s v="P93514"/>
    <s v="First Aid Kit"/>
    <s v="Healthcare"/>
    <s v="S213"/>
    <s v="BlueRiver Trading"/>
    <s v="North America"/>
    <s v="WH 06"/>
    <s v="Amsterdam"/>
    <x v="3"/>
    <n v="426"/>
    <n v="20.79"/>
    <n v="8856.5400000000009"/>
    <n v="15.59"/>
    <n v="12"/>
    <n v="14"/>
    <n v="3491"/>
    <x v="1"/>
    <x v="1"/>
    <n v="-228.03"/>
  </r>
  <r>
    <n v="101061"/>
    <d v="2024-05-26T00:00:00"/>
    <d v="2024-05-31T00:00:00"/>
    <d v="2024-06-12T00:00:00"/>
    <s v="C9734"/>
    <x v="2"/>
    <s v="Mexico"/>
    <s v="P22197"/>
    <s v="Toothpaste Box"/>
    <s v="FMCG"/>
    <s v="S387"/>
    <s v="Summit Supply Co"/>
    <s v="Middle East"/>
    <s v="WH 04"/>
    <s v="Istanbul"/>
    <x v="3"/>
    <n v="147"/>
    <n v="11.54"/>
    <n v="1696.38"/>
    <n v="14.26"/>
    <n v="12"/>
    <n v="17"/>
    <n v="3251"/>
    <x v="0"/>
    <x v="0"/>
    <n v="126.13"/>
  </r>
  <r>
    <n v="101062"/>
    <d v="2024-09-21T00:00:00"/>
    <d v="2024-09-24T00:00:00"/>
    <d v="2024-10-18T00:00:00"/>
    <s v="C3912"/>
    <x v="4"/>
    <s v="Oman"/>
    <s v="P58232"/>
    <s v="Floor Lamp"/>
    <s v="Furniture"/>
    <s v="S844"/>
    <s v="Summit Supply Co"/>
    <s v="North America"/>
    <s v="WH 01"/>
    <s v="Karachi"/>
    <x v="2"/>
    <n v="328"/>
    <n v="300.68"/>
    <n v="98623.039999999994"/>
    <n v="14"/>
    <n v="24"/>
    <n v="27"/>
    <n v="822"/>
    <x v="0"/>
    <x v="0"/>
    <n v="16314.83"/>
  </r>
  <r>
    <n v="101063"/>
    <d v="2025-04-18T00:00:00"/>
    <d v="2025-04-23T00:00:00"/>
    <d v="2025-04-30T00:00:00"/>
    <s v="C5960"/>
    <x v="3"/>
    <s v="Sweden"/>
    <s v="P43556"/>
    <s v="Router"/>
    <s v="Electronics"/>
    <s v="S947"/>
    <s v="BlueRiver Trading"/>
    <s v="Asia"/>
    <s v="WH 06"/>
    <s v="Amsterdam"/>
    <x v="3"/>
    <n v="48"/>
    <n v="351.74"/>
    <n v="16883.52"/>
    <n v="11.86"/>
    <n v="7"/>
    <n v="12"/>
    <n v="170"/>
    <x v="0"/>
    <x v="0"/>
    <n v="2416.91"/>
  </r>
  <r>
    <n v="101064"/>
    <d v="2024-05-08T00:00:00"/>
    <d v="2024-05-08T00:00:00"/>
    <d v="2024-05-12T00:00:00"/>
    <s v="C6959"/>
    <x v="4"/>
    <s v="Saudi Arabia"/>
    <s v="P29673"/>
    <s v="Office Chair"/>
    <s v="Furniture"/>
    <s v="S662"/>
    <s v="Evergreen Partners"/>
    <s v="Asia"/>
    <s v="WH 03"/>
    <s v="Dubai"/>
    <x v="1"/>
    <n v="436"/>
    <n v="77.19"/>
    <n v="33654.839999999997"/>
    <n v="56.76"/>
    <n v="4"/>
    <n v="4"/>
    <n v="1265"/>
    <x v="2"/>
    <x v="0"/>
    <n v="4823.25"/>
  </r>
  <r>
    <n v="101065"/>
    <d v="2024-02-17T00:00:00"/>
    <d v="2024-02-21T00:00:00"/>
    <d v="2024-02-23T00:00:00"/>
    <s v="C7458"/>
    <x v="1"/>
    <s v="Nigeria"/>
    <s v="P18177"/>
    <s v="Floor Lamp"/>
    <s v="Furniture"/>
    <s v="S135"/>
    <s v="Summit Supply Co"/>
    <s v="North America"/>
    <s v="WH 06"/>
    <s v="Amsterdam"/>
    <x v="0"/>
    <n v="472"/>
    <n v="62.23"/>
    <n v="29372.560000000001"/>
    <n v="25.86"/>
    <n v="2"/>
    <n v="6"/>
    <n v="603"/>
    <x v="2"/>
    <x v="0"/>
    <n v="8100.88"/>
  </r>
  <r>
    <n v="101066"/>
    <d v="2025-12-16T00:00:00"/>
    <d v="2025-12-19T00:00:00"/>
    <d v="2025-12-23T00:00:00"/>
    <s v="C6938"/>
    <x v="0"/>
    <s v="Vietnam"/>
    <s v="P20223"/>
    <s v="Socks Pack"/>
    <s v="Apparel"/>
    <s v="S398"/>
    <s v="Vertex Manufacturing"/>
    <s v="Europe"/>
    <s v="WH 07"/>
    <s v="Toronto"/>
    <x v="1"/>
    <n v="43"/>
    <n v="73.040000000000006"/>
    <n v="3140.72"/>
    <n v="31.3"/>
    <n v="4"/>
    <n v="7"/>
    <n v="198"/>
    <x v="2"/>
    <x v="0"/>
    <n v="723.08"/>
  </r>
  <r>
    <n v="101067"/>
    <d v="2024-01-24T00:00:00"/>
    <d v="2024-01-28T00:00:00"/>
    <d v="2024-02-11T00:00:00"/>
    <s v="C6796"/>
    <x v="3"/>
    <s v="Netherlands"/>
    <s v="P50416"/>
    <s v="Thermometer"/>
    <s v="Healthcare"/>
    <s v="S826"/>
    <s v="Pioneer Distribution"/>
    <s v="North America"/>
    <s v="WH 07"/>
    <s v="Toronto"/>
    <x v="3"/>
    <n v="135"/>
    <n v="60.97"/>
    <n v="8230.9500000000007"/>
    <n v="13.97"/>
    <n v="14"/>
    <n v="18"/>
    <n v="2335"/>
    <x v="1"/>
    <x v="2"/>
    <n v="355.46"/>
  </r>
  <r>
    <n v="101068"/>
    <d v="2024-08-29T00:00:00"/>
    <d v="2024-09-03T00:00:00"/>
    <d v="2024-09-18T00:00:00"/>
    <s v="C8115"/>
    <x v="2"/>
    <s v="United States"/>
    <s v="P40486"/>
    <s v="Router"/>
    <s v="Electronics"/>
    <s v="S880"/>
    <s v="Zenith Procurement"/>
    <s v="Middle East"/>
    <s v="WH 03"/>
    <s v="Dubai"/>
    <x v="2"/>
    <n v="218"/>
    <n v="300.35000000000002"/>
    <n v="65476.3"/>
    <n v="11.99"/>
    <n v="15"/>
    <n v="20"/>
    <n v="1370"/>
    <x v="1"/>
    <x v="1"/>
    <n v="-176.79"/>
  </r>
  <r>
    <n v="101069"/>
    <d v="2025-11-20T00:00:00"/>
    <d v="2025-11-23T00:00:00"/>
    <d v="2025-11-25T00:00:00"/>
    <s v="C5517"/>
    <x v="3"/>
    <s v="Germany"/>
    <s v="P26277"/>
    <s v="Thermometer"/>
    <s v="Healthcare"/>
    <s v="S719"/>
    <s v="Nova Industrial"/>
    <s v="Africa"/>
    <s v="WH 06"/>
    <s v="Amsterdam"/>
    <x v="1"/>
    <n v="198"/>
    <n v="72.88"/>
    <n v="14430.24"/>
    <n v="41.34"/>
    <n v="2"/>
    <n v="5"/>
    <n v="219"/>
    <x v="2"/>
    <x v="0"/>
    <n v="1129.81"/>
  </r>
  <r>
    <n v="101070"/>
    <d v="2024-08-25T00:00:00"/>
    <d v="2024-08-27T00:00:00"/>
    <d v="2024-09-18T00:00:00"/>
    <s v="C4716"/>
    <x v="0"/>
    <s v="Pakistan"/>
    <s v="P47790"/>
    <s v="Thermometer"/>
    <s v="Healthcare"/>
    <s v="S441"/>
    <s v="Nova Industrial"/>
    <s v="Europe"/>
    <s v="WH 05"/>
    <s v="Frankfurt"/>
    <x v="2"/>
    <n v="428"/>
    <n v="32.270000000000003"/>
    <n v="13811.56"/>
    <n v="15.82"/>
    <n v="22"/>
    <n v="24"/>
    <n v="3469"/>
    <x v="0"/>
    <x v="0"/>
    <n v="1537.6"/>
  </r>
  <r>
    <n v="101071"/>
    <d v="2024-03-27T00:00:00"/>
    <d v="2024-03-27T00:00:00"/>
    <d v="2024-04-10T00:00:00"/>
    <s v="C1785"/>
    <x v="1"/>
    <s v="South Africa"/>
    <s v="P41016"/>
    <s v="Wireless Earbuds"/>
    <s v="Electronics"/>
    <s v="S222"/>
    <s v="Nova Industrial"/>
    <s v="Africa"/>
    <s v="WH 06"/>
    <s v="Amsterdam"/>
    <x v="3"/>
    <n v="152"/>
    <n v="82.4"/>
    <n v="12524.8"/>
    <n v="10.66"/>
    <n v="14"/>
    <n v="14"/>
    <n v="1529"/>
    <x v="0"/>
    <x v="0"/>
    <n v="2487.23"/>
  </r>
  <r>
    <n v="101072"/>
    <d v="2024-10-18T00:00:00"/>
    <d v="2024-10-21T00:00:00"/>
    <d v="2024-10-25T00:00:00"/>
    <s v="C4649"/>
    <x v="0"/>
    <s v="Vietnam"/>
    <s v="P86514"/>
    <s v="Power Bank"/>
    <s v="Electronics"/>
    <s v="S125"/>
    <s v="Nova Industrial"/>
    <s v="Africa"/>
    <s v="WH 01"/>
    <s v="Karachi"/>
    <x v="0"/>
    <n v="450"/>
    <n v="286.89"/>
    <n v="129100.5"/>
    <n v="25.23"/>
    <n v="4"/>
    <n v="7"/>
    <n v="691"/>
    <x v="2"/>
    <x v="0"/>
    <n v="16374.14"/>
  </r>
  <r>
    <n v="101073"/>
    <d v="2025-07-20T00:00:00"/>
    <d v="2025-07-23T00:00:00"/>
    <d v="2025-07-28T00:00:00"/>
    <s v="C1152"/>
    <x v="2"/>
    <s v="United States"/>
    <s v="P64836"/>
    <s v="Thermometer"/>
    <s v="Healthcare"/>
    <s v="S497"/>
    <s v="Summit Supply Co"/>
    <s v="Africa"/>
    <s v="WH 04"/>
    <s v="Istanbul"/>
    <x v="3"/>
    <n v="453"/>
    <n v="49.97"/>
    <n v="22636.41"/>
    <n v="21.7"/>
    <n v="5"/>
    <n v="8"/>
    <n v="626"/>
    <x v="1"/>
    <x v="2"/>
    <n v="2112.5700000000002"/>
  </r>
  <r>
    <n v="101074"/>
    <d v="2025-06-11T00:00:00"/>
    <d v="2025-06-16T00:00:00"/>
    <d v="2025-06-19T00:00:00"/>
    <s v="C3482"/>
    <x v="2"/>
    <s v="Canada"/>
    <s v="P17593"/>
    <s v="First Aid Kit"/>
    <s v="Healthcare"/>
    <s v="S379"/>
    <s v="Evergreen Partners"/>
    <s v="Africa"/>
    <s v="WH 04"/>
    <s v="Istanbul"/>
    <x v="1"/>
    <n v="380"/>
    <n v="89.14"/>
    <n v="33873.199999999997"/>
    <n v="53.14"/>
    <n v="3"/>
    <n v="8"/>
    <n v="2496"/>
    <x v="0"/>
    <x v="0"/>
    <n v="6672.35"/>
  </r>
  <r>
    <n v="101075"/>
    <d v="2024-12-01T00:00:00"/>
    <d v="2024-12-02T00:00:00"/>
    <d v="2024-12-08T00:00:00"/>
    <s v="C5021"/>
    <x v="2"/>
    <s v="Mexico"/>
    <s v="P28748"/>
    <s v="First Aid Kit"/>
    <s v="Healthcare"/>
    <s v="S210"/>
    <s v="Zenith Procurement"/>
    <s v="Middle East"/>
    <s v="WH 02"/>
    <s v="Lahore"/>
    <x v="0"/>
    <n v="343"/>
    <n v="61.15"/>
    <n v="20974.45"/>
    <n v="22.2"/>
    <n v="6"/>
    <n v="7"/>
    <n v="4262"/>
    <x v="2"/>
    <x v="0"/>
    <n v="4119.68"/>
  </r>
  <r>
    <n v="101076"/>
    <d v="2025-06-25T00:00:00"/>
    <d v="2025-06-25T00:00:00"/>
    <d v="2025-07-08T00:00:00"/>
    <s v="C3732"/>
    <x v="4"/>
    <s v="Oman"/>
    <s v="P82009"/>
    <s v="Bluetooth Speaker"/>
    <s v="Electronics"/>
    <s v="S318"/>
    <s v="Orion Supplies"/>
    <s v="Middle East"/>
    <s v="WH 03"/>
    <s v="Dubai"/>
    <x v="2"/>
    <n v="217"/>
    <n v="217.43"/>
    <n v="47182.31"/>
    <n v="8.8699999999999992"/>
    <n v="13"/>
    <n v="13"/>
    <n v="134"/>
    <x v="0"/>
    <x v="0"/>
    <n v="8246.84"/>
  </r>
  <r>
    <n v="101077"/>
    <d v="2024-05-12T00:00:00"/>
    <d v="2024-05-17T00:00:00"/>
    <d v="2024-05-26T00:00:00"/>
    <s v="C6893"/>
    <x v="3"/>
    <s v="Spain"/>
    <s v="P69673"/>
    <s v="Wireless Earbuds"/>
    <s v="Electronics"/>
    <s v="S392"/>
    <s v="Summit Supply Co"/>
    <s v="Middle East"/>
    <s v="WH 10"/>
    <s v="Cairo"/>
    <x v="3"/>
    <n v="278"/>
    <n v="296.17"/>
    <n v="82335.259999999995"/>
    <n v="17.45"/>
    <n v="9"/>
    <n v="14"/>
    <n v="1610"/>
    <x v="1"/>
    <x v="2"/>
    <n v="15025.05"/>
  </r>
  <r>
    <n v="101078"/>
    <d v="2025-02-08T00:00:00"/>
    <d v="2025-02-10T00:00:00"/>
    <d v="2025-02-17T00:00:00"/>
    <s v="C5661"/>
    <x v="2"/>
    <s v="Mexico"/>
    <s v="P54713"/>
    <s v="Floor Lamp"/>
    <s v="Furniture"/>
    <s v="S494"/>
    <s v="Pioneer Distribution"/>
    <s v="Middle East"/>
    <s v="WH 07"/>
    <s v="Toronto"/>
    <x v="3"/>
    <n v="430"/>
    <n v="237.59"/>
    <n v="102163.7"/>
    <n v="21.14"/>
    <n v="7"/>
    <n v="9"/>
    <n v="572"/>
    <x v="0"/>
    <x v="0"/>
    <n v="18490.95"/>
  </r>
  <r>
    <n v="101079"/>
    <d v="2025-01-21T00:00:00"/>
    <d v="2025-01-23T00:00:00"/>
    <d v="2025-02-13T00:00:00"/>
    <s v="C1285"/>
    <x v="3"/>
    <s v="Netherlands"/>
    <s v="P21957"/>
    <s v="Bottled Water Case"/>
    <s v="FMCG"/>
    <s v="S468"/>
    <s v="Pioneer Distribution"/>
    <s v="Europe"/>
    <s v="WH 09"/>
    <s v="Johannesburg"/>
    <x v="2"/>
    <n v="152"/>
    <n v="10.89"/>
    <n v="1655.28"/>
    <n v="7.99"/>
    <n v="21"/>
    <n v="23"/>
    <n v="1766"/>
    <x v="0"/>
    <x v="0"/>
    <n v="100.97"/>
  </r>
  <r>
    <n v="101080"/>
    <d v="2024-02-10T00:00:00"/>
    <d v="2024-02-12T00:00:00"/>
    <d v="2024-02-21T00:00:00"/>
    <s v="C7322"/>
    <x v="3"/>
    <s v="Spain"/>
    <s v="P52916"/>
    <s v="Office Chair"/>
    <s v="Furniture"/>
    <s v="S851"/>
    <s v="Crescent Logistics"/>
    <s v="Africa"/>
    <s v="WH 06"/>
    <s v="Amsterdam"/>
    <x v="0"/>
    <n v="146"/>
    <n v="158.21"/>
    <n v="23098.66"/>
    <n v="16.61"/>
    <n v="9"/>
    <n v="11"/>
    <n v="1809"/>
    <x v="0"/>
    <x v="0"/>
    <n v="3729.34"/>
  </r>
  <r>
    <n v="101081"/>
    <d v="2025-09-23T00:00:00"/>
    <d v="2025-09-25T00:00:00"/>
    <d v="2025-10-04T00:00:00"/>
    <s v="C4655"/>
    <x v="1"/>
    <s v="Egypt"/>
    <s v="P96706"/>
    <s v="Bluetooth Speaker"/>
    <s v="Electronics"/>
    <s v="S269"/>
    <s v="Zenith Procurement"/>
    <s v="Africa"/>
    <s v="WH 05"/>
    <s v="Frankfurt"/>
    <x v="0"/>
    <n v="168"/>
    <n v="211.19"/>
    <n v="35479.919999999998"/>
    <n v="12.77"/>
    <n v="9"/>
    <n v="11"/>
    <n v="1739"/>
    <x v="0"/>
    <x v="0"/>
    <n v="4192.46"/>
  </r>
  <r>
    <n v="101082"/>
    <d v="2025-08-14T00:00:00"/>
    <d v="2025-08-17T00:00:00"/>
    <d v="2025-08-19T00:00:00"/>
    <s v="C7015"/>
    <x v="1"/>
    <s v="Kenya"/>
    <s v="P31506"/>
    <s v="Wireless Earbuds"/>
    <s v="Electronics"/>
    <s v="S585"/>
    <s v="Nova Industrial"/>
    <s v="North America"/>
    <s v="WH 05"/>
    <s v="Frankfurt"/>
    <x v="0"/>
    <n v="13"/>
    <n v="211.49"/>
    <n v="2749.37"/>
    <n v="12.84"/>
    <n v="2"/>
    <n v="5"/>
    <n v="91"/>
    <x v="2"/>
    <x v="0"/>
    <n v="437.61"/>
  </r>
  <r>
    <n v="101083"/>
    <d v="2025-03-11T00:00:00"/>
    <d v="2025-03-13T00:00:00"/>
    <d v="2025-03-16T00:00:00"/>
    <s v="C2629"/>
    <x v="4"/>
    <s v="United Arab Emirates"/>
    <s v="P93463"/>
    <s v="Toothpaste Box"/>
    <s v="FMCG"/>
    <s v="S697"/>
    <s v="Vertex Manufacturing"/>
    <s v="Middle East"/>
    <s v="WH 01"/>
    <s v="Karachi"/>
    <x v="1"/>
    <n v="354"/>
    <n v="36.78"/>
    <n v="13020.12"/>
    <n v="38.11"/>
    <n v="3"/>
    <n v="5"/>
    <n v="2204"/>
    <x v="1"/>
    <x v="2"/>
    <n v="842.04"/>
  </r>
  <r>
    <n v="101084"/>
    <d v="2025-04-01T00:00:00"/>
    <d v="2025-04-04T00:00:00"/>
    <d v="2025-04-08T00:00:00"/>
    <s v="C9456"/>
    <x v="2"/>
    <s v="United States"/>
    <s v="P49095"/>
    <s v="Bottled Water Case"/>
    <s v="FMCG"/>
    <s v="S326"/>
    <s v="Orion Supplies"/>
    <s v="Asia"/>
    <s v="WH 09"/>
    <s v="Johannesburg"/>
    <x v="1"/>
    <n v="301"/>
    <n v="18.940000000000001"/>
    <n v="5700.94"/>
    <n v="48.02"/>
    <n v="4"/>
    <n v="7"/>
    <n v="3617"/>
    <x v="2"/>
    <x v="0"/>
    <n v="681.18"/>
  </r>
  <r>
    <n v="101085"/>
    <d v="2025-12-23T00:00:00"/>
    <d v="2025-12-24T00:00:00"/>
    <d v="2025-12-27T00:00:00"/>
    <s v="C9275"/>
    <x v="0"/>
    <s v="Vietnam"/>
    <s v="P96755"/>
    <s v="Power Bank"/>
    <s v="Electronics"/>
    <s v="S398"/>
    <s v="Pioneer Distribution"/>
    <s v="Africa"/>
    <s v="WH 05"/>
    <s v="Frankfurt"/>
    <x v="1"/>
    <n v="245"/>
    <n v="124.29"/>
    <n v="30451.05"/>
    <n v="44.39"/>
    <n v="3"/>
    <n v="4"/>
    <n v="272"/>
    <x v="2"/>
    <x v="0"/>
    <n v="5438.53"/>
  </r>
  <r>
    <n v="101086"/>
    <d v="2025-07-07T00:00:00"/>
    <d v="2025-07-08T00:00:00"/>
    <d v="2025-07-15T00:00:00"/>
    <s v="C7669"/>
    <x v="2"/>
    <s v="Canada"/>
    <s v="P93220"/>
    <s v="Storage Cabinet"/>
    <s v="Furniture"/>
    <s v="S565"/>
    <s v="Crescent Logistics"/>
    <s v="Europe"/>
    <s v="WH 09"/>
    <s v="Johannesburg"/>
    <x v="3"/>
    <n v="438"/>
    <n v="254.95"/>
    <n v="111668.1"/>
    <n v="21.34"/>
    <n v="7"/>
    <n v="8"/>
    <n v="1995"/>
    <x v="0"/>
    <x v="0"/>
    <n v="18472.68"/>
  </r>
  <r>
    <n v="101087"/>
    <d v="2024-05-25T00:00:00"/>
    <d v="2024-05-27T00:00:00"/>
    <d v="2024-06-02T00:00:00"/>
    <s v="C1777"/>
    <x v="4"/>
    <s v="Oman"/>
    <s v="P29763"/>
    <s v="Snack Carton"/>
    <s v="FMCG"/>
    <s v="S645"/>
    <s v="BlueRiver Trading"/>
    <s v="Africa"/>
    <s v="WH 10"/>
    <s v="Cairo"/>
    <x v="3"/>
    <n v="380"/>
    <n v="37.35"/>
    <n v="14193"/>
    <n v="19.93"/>
    <n v="6"/>
    <n v="8"/>
    <n v="4562"/>
    <x v="0"/>
    <x v="0"/>
    <n v="1512.35"/>
  </r>
  <r>
    <n v="101088"/>
    <d v="2025-12-01T00:00:00"/>
    <d v="2025-12-03T00:00:00"/>
    <d v="2025-12-07T00:00:00"/>
    <s v="C6751"/>
    <x v="4"/>
    <s v="Saudi Arabia"/>
    <s v="P47918"/>
    <s v="Bookshelf"/>
    <s v="Furniture"/>
    <s v="S792"/>
    <s v="Summit Supply Co"/>
    <s v="Asia"/>
    <s v="WH 08"/>
    <s v="Chicago"/>
    <x v="3"/>
    <n v="171"/>
    <n v="69.23"/>
    <n v="11838.33"/>
    <n v="14.85"/>
    <n v="4"/>
    <n v="6"/>
    <n v="1461"/>
    <x v="2"/>
    <x v="0"/>
    <n v="1963.28"/>
  </r>
  <r>
    <n v="101089"/>
    <d v="2025-02-08T00:00:00"/>
    <d v="2025-02-12T00:00:00"/>
    <d v="2025-02-14T00:00:00"/>
    <s v="C3607"/>
    <x v="0"/>
    <s v="Vietnam"/>
    <s v="P69790"/>
    <s v="Shampoo Pack"/>
    <s v="FMCG"/>
    <s v="S592"/>
    <s v="Vertex Manufacturing"/>
    <s v="North America"/>
    <s v="WH 09"/>
    <s v="Johannesburg"/>
    <x v="1"/>
    <n v="143"/>
    <n v="28.46"/>
    <n v="4069.78"/>
    <n v="37.78"/>
    <n v="2"/>
    <n v="6"/>
    <n v="4161"/>
    <x v="2"/>
    <x v="0"/>
    <n v="257.2"/>
  </r>
  <r>
    <n v="101090"/>
    <d v="2025-01-14T00:00:00"/>
    <d v="2025-01-17T00:00:00"/>
    <d v="2025-01-21T00:00:00"/>
    <s v="C8145"/>
    <x v="1"/>
    <s v="South Africa"/>
    <s v="P55819"/>
    <s v="Detergent Bag"/>
    <s v="FMCG"/>
    <s v="S348"/>
    <s v="Summit Supply Co"/>
    <s v="Africa"/>
    <s v="WH 01"/>
    <s v="Karachi"/>
    <x v="0"/>
    <n v="18"/>
    <n v="37.5"/>
    <n v="675"/>
    <n v="9.6199999999999992"/>
    <n v="4"/>
    <n v="7"/>
    <n v="4980"/>
    <x v="2"/>
    <x v="0"/>
    <n v="58.37"/>
  </r>
  <r>
    <n v="101091"/>
    <d v="2025-06-11T00:00:00"/>
    <d v="2025-06-13T00:00:00"/>
    <d v="2025-07-02T00:00:00"/>
    <s v="C4089"/>
    <x v="4"/>
    <s v="Turkey"/>
    <s v="P24242"/>
    <s v="Bluetooth Speaker"/>
    <s v="Electronics"/>
    <s v="S142"/>
    <s v="Summit Supply Co"/>
    <s v="Europe"/>
    <s v="WH 01"/>
    <s v="Karachi"/>
    <x v="2"/>
    <n v="59"/>
    <n v="245.77"/>
    <n v="14500.43"/>
    <n v="9.09"/>
    <n v="19"/>
    <n v="21"/>
    <n v="780"/>
    <x v="0"/>
    <x v="0"/>
    <n v="1472.18"/>
  </r>
  <r>
    <n v="101092"/>
    <d v="2024-07-20T00:00:00"/>
    <d v="2024-07-24T00:00:00"/>
    <d v="2024-07-26T00:00:00"/>
    <s v="C5858"/>
    <x v="3"/>
    <s v="France"/>
    <s v="P72002"/>
    <s v="Face Mask Box"/>
    <s v="Healthcare"/>
    <s v="S384"/>
    <s v="BlueRiver Trading"/>
    <s v="Africa"/>
    <s v="WH 10"/>
    <s v="Cairo"/>
    <x v="1"/>
    <n v="378"/>
    <n v="51.06"/>
    <n v="19300.68"/>
    <n v="53.01"/>
    <n v="2"/>
    <n v="6"/>
    <n v="403"/>
    <x v="2"/>
    <x v="0"/>
    <n v="1510.5"/>
  </r>
  <r>
    <n v="101093"/>
    <d v="2024-08-27T00:00:00"/>
    <d v="2024-08-27T00:00:00"/>
    <d v="2024-08-28T00:00:00"/>
    <s v="C9898"/>
    <x v="4"/>
    <s v="Turkey"/>
    <s v="P82369"/>
    <s v="Power Bank"/>
    <s v="Electronics"/>
    <s v="S756"/>
    <s v="Orion Supplies"/>
    <s v="North America"/>
    <s v="WH 07"/>
    <s v="Toronto"/>
    <x v="1"/>
    <n v="453"/>
    <n v="187.63"/>
    <n v="84996.39"/>
    <n v="57.87"/>
    <n v="1"/>
    <n v="1"/>
    <n v="393"/>
    <x v="2"/>
    <x v="0"/>
    <n v="10635.36"/>
  </r>
  <r>
    <n v="101094"/>
    <d v="2024-04-14T00:00:00"/>
    <d v="2024-04-16T00:00:00"/>
    <d v="2024-04-27T00:00:00"/>
    <s v="C1526"/>
    <x v="4"/>
    <s v="United Arab Emirates"/>
    <s v="P98567"/>
    <s v="Hand Sanitizer Case"/>
    <s v="Healthcare"/>
    <s v="S184"/>
    <s v="Evergreen Partners"/>
    <s v="North America"/>
    <s v="WH 02"/>
    <s v="Lahore"/>
    <x v="2"/>
    <n v="428"/>
    <n v="14.84"/>
    <n v="6351.52"/>
    <n v="15.82"/>
    <n v="11"/>
    <n v="13"/>
    <n v="2146"/>
    <x v="0"/>
    <x v="0"/>
    <n v="831.68"/>
  </r>
  <r>
    <n v="101095"/>
    <d v="2025-10-18T00:00:00"/>
    <d v="2025-10-23T00:00:00"/>
    <d v="2025-11-08T00:00:00"/>
    <s v="C5992"/>
    <x v="0"/>
    <s v="Indonesia"/>
    <s v="P89182"/>
    <s v="Snack Carton"/>
    <s v="FMCG"/>
    <s v="S706"/>
    <s v="Crescent Logistics"/>
    <s v="Europe"/>
    <s v="WH 05"/>
    <s v="Frankfurt"/>
    <x v="0"/>
    <n v="226"/>
    <n v="11.17"/>
    <n v="2524.42"/>
    <n v="18.88"/>
    <n v="16"/>
    <n v="21"/>
    <n v="2672"/>
    <x v="1"/>
    <x v="3"/>
    <n v="382.03"/>
  </r>
  <r>
    <n v="101096"/>
    <d v="2025-09-25T00:00:00"/>
    <d v="2025-09-29T00:00:00"/>
    <d v="2025-10-08T00:00:00"/>
    <s v="C5864"/>
    <x v="3"/>
    <s v="Italy"/>
    <s v="P55852"/>
    <s v="Study Table"/>
    <s v="Furniture"/>
    <s v="S264"/>
    <s v="Orion Supplies"/>
    <s v="Africa"/>
    <s v="WH 06"/>
    <s v="Amsterdam"/>
    <x v="0"/>
    <n v="230"/>
    <n v="208.3"/>
    <n v="47909"/>
    <n v="18.989999999999998"/>
    <n v="9"/>
    <n v="13"/>
    <n v="1297"/>
    <x v="0"/>
    <x v="0"/>
    <n v="10541.15"/>
  </r>
  <r>
    <n v="101097"/>
    <d v="2025-10-18T00:00:00"/>
    <d v="2025-10-19T00:00:00"/>
    <d v="2025-11-08T00:00:00"/>
    <s v="C2210"/>
    <x v="0"/>
    <s v="China"/>
    <s v="P19218"/>
    <s v="Wireless Earbuds"/>
    <s v="Electronics"/>
    <s v="S384"/>
    <s v="Evergreen Partners"/>
    <s v="Asia"/>
    <s v="WH 06"/>
    <s v="Amsterdam"/>
    <x v="2"/>
    <n v="31"/>
    <n v="206.7"/>
    <n v="6407.7"/>
    <n v="6.36"/>
    <n v="20"/>
    <n v="21"/>
    <n v="924"/>
    <x v="0"/>
    <x v="0"/>
    <n v="1163.47"/>
  </r>
  <r>
    <n v="101098"/>
    <d v="2025-12-25T00:00:00"/>
    <d v="2025-12-26T00:00:00"/>
    <d v="2026-01-10T00:00:00"/>
    <s v="C4859"/>
    <x v="4"/>
    <s v="Qatar"/>
    <s v="P39379"/>
    <s v="Sportswear Set"/>
    <s v="Apparel"/>
    <s v="S120"/>
    <s v="BlueRiver Trading"/>
    <s v="Asia"/>
    <s v="WH 04"/>
    <s v="Istanbul"/>
    <x v="2"/>
    <n v="266"/>
    <n v="97.89"/>
    <n v="26038.74"/>
    <n v="12.87"/>
    <n v="15"/>
    <n v="16"/>
    <n v="200"/>
    <x v="0"/>
    <x v="0"/>
    <n v="6189.94"/>
  </r>
  <r>
    <n v="101099"/>
    <d v="2024-12-30T00:00:00"/>
    <d v="2024-12-30T00:00:00"/>
    <d v="2025-01-14T00:00:00"/>
    <s v="C2476"/>
    <x v="1"/>
    <s v="Morocco"/>
    <s v="P50800"/>
    <s v="Bottled Water Case"/>
    <s v="FMCG"/>
    <s v="S985"/>
    <s v="Summit Supply Co"/>
    <s v="Africa"/>
    <s v="WH 07"/>
    <s v="Toronto"/>
    <x v="2"/>
    <n v="138"/>
    <n v="17.399999999999999"/>
    <n v="2401.1999999999998"/>
    <n v="7.8"/>
    <n v="15"/>
    <n v="15"/>
    <n v="1695"/>
    <x v="0"/>
    <x v="0"/>
    <n v="130.38"/>
  </r>
  <r>
    <n v="101100"/>
    <d v="2025-09-04T00:00:00"/>
    <d v="2025-09-05T00:00:00"/>
    <d v="2025-09-14T00:00:00"/>
    <s v="C7359"/>
    <x v="2"/>
    <s v="United States"/>
    <s v="P89900"/>
    <s v="Sportswear Set"/>
    <s v="Apparel"/>
    <s v="S201"/>
    <s v="Summit Supply Co"/>
    <s v="Middle East"/>
    <s v="WH 02"/>
    <s v="Lahore"/>
    <x v="0"/>
    <n v="132"/>
    <n v="62.94"/>
    <n v="8308.08"/>
    <n v="16.22"/>
    <n v="9"/>
    <n v="10"/>
    <n v="1787"/>
    <x v="0"/>
    <x v="0"/>
    <n v="981.72"/>
  </r>
  <r>
    <n v="101101"/>
    <d v="2025-12-01T00:00:00"/>
    <d v="2025-12-05T00:00:00"/>
    <d v="2025-12-17T00:00:00"/>
    <s v="C9109"/>
    <x v="0"/>
    <s v="Malaysia"/>
    <s v="P33758"/>
    <s v="Shampoo Pack"/>
    <s v="FMCG"/>
    <s v="S663"/>
    <s v="Nova Industrial"/>
    <s v="Africa"/>
    <s v="WH 10"/>
    <s v="Cairo"/>
    <x v="3"/>
    <n v="58"/>
    <n v="14.01"/>
    <n v="812.58"/>
    <n v="12.1"/>
    <n v="12"/>
    <n v="16"/>
    <n v="3765"/>
    <x v="1"/>
    <x v="3"/>
    <n v="86.74"/>
  </r>
  <r>
    <n v="101102"/>
    <d v="2025-12-24T00:00:00"/>
    <d v="2025-12-27T00:00:00"/>
    <d v="2026-01-06T00:00:00"/>
    <s v="C2005"/>
    <x v="3"/>
    <s v="Sweden"/>
    <s v="P39369"/>
    <s v="First Aid Kit"/>
    <s v="Healthcare"/>
    <s v="S825"/>
    <s v="Nova Industrial"/>
    <s v="Africa"/>
    <s v="WH 07"/>
    <s v="Toronto"/>
    <x v="0"/>
    <n v="315"/>
    <n v="73.040000000000006"/>
    <n v="23007.599999999999"/>
    <n v="21.4"/>
    <n v="10"/>
    <n v="13"/>
    <n v="1158"/>
    <x v="0"/>
    <x v="0"/>
    <n v="1822.58"/>
  </r>
  <r>
    <n v="101103"/>
    <d v="2025-07-09T00:00:00"/>
    <d v="2025-07-12T00:00:00"/>
    <d v="2025-07-18T00:00:00"/>
    <s v="C1205"/>
    <x v="0"/>
    <s v="Vietnam"/>
    <s v="P22442"/>
    <s v="First Aid Kit"/>
    <s v="Healthcare"/>
    <s v="S790"/>
    <s v="Crescent Logistics"/>
    <s v="North America"/>
    <s v="WH 09"/>
    <s v="Johannesburg"/>
    <x v="3"/>
    <n v="69"/>
    <n v="50.88"/>
    <n v="3510.72"/>
    <n v="12.37"/>
    <n v="6"/>
    <n v="9"/>
    <n v="3320"/>
    <x v="0"/>
    <x v="0"/>
    <n v="301.67"/>
  </r>
  <r>
    <n v="101104"/>
    <d v="2024-04-22T00:00:00"/>
    <d v="2024-04-26T00:00:00"/>
    <d v="2024-05-06T00:00:00"/>
    <s v="C9350"/>
    <x v="3"/>
    <s v="Netherlands"/>
    <s v="P51745"/>
    <s v="Storage Cabinet"/>
    <s v="Furniture"/>
    <s v="S879"/>
    <s v="Pioneer Distribution"/>
    <s v="Asia"/>
    <s v="WH 01"/>
    <s v="Karachi"/>
    <x v="2"/>
    <n v="313"/>
    <n v="192.49"/>
    <n v="60249.37"/>
    <n v="13.72"/>
    <n v="10"/>
    <n v="14"/>
    <n v="1592"/>
    <x v="0"/>
    <x v="0"/>
    <n v="10438.01"/>
  </r>
  <r>
    <n v="101105"/>
    <d v="2024-07-17T00:00:00"/>
    <d v="2024-07-19T00:00:00"/>
    <d v="2024-08-02T00:00:00"/>
    <s v="C4729"/>
    <x v="1"/>
    <s v="Nigeria"/>
    <s v="P86693"/>
    <s v="Shampoo Pack"/>
    <s v="FMCG"/>
    <s v="S672"/>
    <s v="Orion Supplies"/>
    <s v="Middle East"/>
    <s v="WH 05"/>
    <s v="Frankfurt"/>
    <x v="3"/>
    <n v="129"/>
    <n v="48.77"/>
    <n v="6291.33"/>
    <n v="13.83"/>
    <n v="14"/>
    <n v="16"/>
    <n v="1861"/>
    <x v="0"/>
    <x v="0"/>
    <n v="937.85"/>
  </r>
  <r>
    <n v="101106"/>
    <d v="2025-06-16T00:00:00"/>
    <d v="2025-06-18T00:00:00"/>
    <d v="2025-06-21T00:00:00"/>
    <s v="C2120"/>
    <x v="4"/>
    <s v="Qatar"/>
    <s v="P40041"/>
    <s v="Detergent Bag"/>
    <s v="FMCG"/>
    <s v="S575"/>
    <s v="Summit Supply Co"/>
    <s v="North America"/>
    <s v="WH 01"/>
    <s v="Karachi"/>
    <x v="1"/>
    <n v="309"/>
    <n v="28.71"/>
    <n v="8871.39"/>
    <n v="48.54"/>
    <n v="3"/>
    <n v="5"/>
    <n v="2208"/>
    <x v="2"/>
    <x v="0"/>
    <n v="1025.31"/>
  </r>
  <r>
    <n v="101107"/>
    <d v="2025-05-30T00:00:00"/>
    <d v="2025-05-31T00:00:00"/>
    <d v="2025-06-23T00:00:00"/>
    <s v="C7171"/>
    <x v="1"/>
    <s v="Morocco"/>
    <s v="P20952"/>
    <s v="Wireless Earbuds"/>
    <s v="Electronics"/>
    <s v="S485"/>
    <s v="BlueRiver Trading"/>
    <s v="Middle East"/>
    <s v="WH 02"/>
    <s v="Lahore"/>
    <x v="2"/>
    <n v="282"/>
    <n v="92.74"/>
    <n v="26152.68"/>
    <n v="13.16"/>
    <n v="23"/>
    <n v="24"/>
    <n v="251"/>
    <x v="0"/>
    <x v="0"/>
    <n v="2594.6999999999998"/>
  </r>
  <r>
    <n v="101108"/>
    <d v="2025-04-02T00:00:00"/>
    <d v="2025-04-03T00:00:00"/>
    <d v="2025-04-19T00:00:00"/>
    <s v="C3671"/>
    <x v="1"/>
    <s v="Nigeria"/>
    <s v="P53739"/>
    <s v="Study Table"/>
    <s v="Furniture"/>
    <s v="S734"/>
    <s v="Vertex Manufacturing"/>
    <s v="Africa"/>
    <s v="WH 06"/>
    <s v="Amsterdam"/>
    <x v="2"/>
    <n v="253"/>
    <n v="193.08"/>
    <n v="48849.24"/>
    <n v="9.36"/>
    <n v="16"/>
    <n v="17"/>
    <n v="1453"/>
    <x v="0"/>
    <x v="0"/>
    <n v="8498.5"/>
  </r>
  <r>
    <n v="101109"/>
    <d v="2025-12-18T00:00:00"/>
    <d v="2025-12-19T00:00:00"/>
    <d v="2025-12-20T00:00:00"/>
    <s v="C7532"/>
    <x v="2"/>
    <s v="Mexico"/>
    <s v="P64808"/>
    <s v="Bookshelf"/>
    <s v="Furniture"/>
    <s v="S923"/>
    <s v="Atlas Sourcing"/>
    <s v="North America"/>
    <s v="WH 06"/>
    <s v="Amsterdam"/>
    <x v="1"/>
    <n v="243"/>
    <n v="292.07"/>
    <n v="70973.009999999995"/>
    <n v="32.78"/>
    <n v="1"/>
    <n v="2"/>
    <n v="1393"/>
    <x v="2"/>
    <x v="0"/>
    <n v="12184.16"/>
  </r>
  <r>
    <n v="101110"/>
    <d v="2025-10-10T00:00:00"/>
    <d v="2025-10-11T00:00:00"/>
    <d v="2025-11-05T00:00:00"/>
    <s v="C8513"/>
    <x v="4"/>
    <s v="Turkey"/>
    <s v="P33010"/>
    <s v="T Shirt Bundle"/>
    <s v="Apparel"/>
    <s v="S318"/>
    <s v="Crescent Logistics"/>
    <s v="Asia"/>
    <s v="WH 10"/>
    <s v="Cairo"/>
    <x v="2"/>
    <n v="69"/>
    <n v="51.35"/>
    <n v="3543.15"/>
    <n v="9.2799999999999994"/>
    <n v="25"/>
    <n v="26"/>
    <n v="2816"/>
    <x v="1"/>
    <x v="3"/>
    <n v="703.93"/>
  </r>
  <r>
    <n v="101111"/>
    <d v="2025-05-16T00:00:00"/>
    <d v="2025-05-20T00:00:00"/>
    <d v="2025-05-28T00:00:00"/>
    <s v="C8190"/>
    <x v="0"/>
    <s v="Pakistan"/>
    <s v="P23869"/>
    <s v="Bottled Water Case"/>
    <s v="FMCG"/>
    <s v="S758"/>
    <s v="Summit Supply Co"/>
    <s v="Middle East"/>
    <s v="WH 07"/>
    <s v="Toronto"/>
    <x v="3"/>
    <n v="225"/>
    <n v="28.38"/>
    <n v="6385.5"/>
    <n v="16.16"/>
    <n v="8"/>
    <n v="12"/>
    <n v="4230"/>
    <x v="0"/>
    <x v="0"/>
    <n v="1034.8399999999999"/>
  </r>
  <r>
    <n v="101112"/>
    <d v="2025-10-29T00:00:00"/>
    <d v="2025-10-30T00:00:00"/>
    <d v="2025-11-06T00:00:00"/>
    <s v="C8044"/>
    <x v="0"/>
    <s v="Indonesia"/>
    <s v="P30917"/>
    <s v="Power Bank"/>
    <s v="Electronics"/>
    <s v="S527"/>
    <s v="BlueRiver Trading"/>
    <s v="North America"/>
    <s v="WH 07"/>
    <s v="Toronto"/>
    <x v="0"/>
    <n v="435"/>
    <n v="266.77999999999997"/>
    <n v="116049.3"/>
    <n v="24.81"/>
    <n v="7"/>
    <n v="8"/>
    <n v="535"/>
    <x v="0"/>
    <x v="0"/>
    <n v="9557.24"/>
  </r>
  <r>
    <n v="101113"/>
    <d v="2024-01-15T00:00:00"/>
    <d v="2024-01-18T00:00:00"/>
    <d v="2024-01-19T00:00:00"/>
    <s v="C6153"/>
    <x v="4"/>
    <s v="Saudi Arabia"/>
    <s v="P69003"/>
    <s v="Bluetooth Speaker"/>
    <s v="Electronics"/>
    <s v="S688"/>
    <s v="Pioneer Distribution"/>
    <s v="North America"/>
    <s v="WH 04"/>
    <s v="Istanbul"/>
    <x v="1"/>
    <n v="401"/>
    <n v="93.29"/>
    <n v="37409.29"/>
    <n v="54.5"/>
    <n v="1"/>
    <n v="4"/>
    <n v="789"/>
    <x v="2"/>
    <x v="0"/>
    <n v="3560.64"/>
  </r>
  <r>
    <n v="101114"/>
    <d v="2024-08-28T00:00:00"/>
    <d v="2024-08-30T00:00:00"/>
    <d v="2024-09-09T00:00:00"/>
    <s v="C8607"/>
    <x v="0"/>
    <s v="India"/>
    <s v="P20928"/>
    <s v="Wireless Earbuds"/>
    <s v="Electronics"/>
    <s v="S397"/>
    <s v="Zenith Procurement"/>
    <s v="Europe"/>
    <s v="WH 02"/>
    <s v="Lahore"/>
    <x v="3"/>
    <n v="416"/>
    <n v="193.55"/>
    <n v="80516.800000000003"/>
    <n v="20.8"/>
    <n v="10"/>
    <n v="12"/>
    <n v="1434"/>
    <x v="0"/>
    <x v="0"/>
    <n v="6981.91"/>
  </r>
  <r>
    <n v="101115"/>
    <d v="2025-02-07T00:00:00"/>
    <d v="2025-02-12T00:00:00"/>
    <d v="2025-02-14T00:00:00"/>
    <s v="C4262"/>
    <x v="3"/>
    <s v="France"/>
    <s v="P35602"/>
    <s v="Bookshelf"/>
    <s v="Furniture"/>
    <s v="S586"/>
    <s v="Orion Supplies"/>
    <s v="North America"/>
    <s v="WH 08"/>
    <s v="Chicago"/>
    <x v="1"/>
    <n v="120"/>
    <n v="333.12"/>
    <n v="39974.400000000001"/>
    <n v="36.29"/>
    <n v="2"/>
    <n v="7"/>
    <n v="1569"/>
    <x v="2"/>
    <x v="0"/>
    <n v="11043.11"/>
  </r>
  <r>
    <n v="101116"/>
    <d v="2025-07-30T00:00:00"/>
    <d v="2025-08-03T00:00:00"/>
    <d v="2025-08-23T00:00:00"/>
    <s v="C1797"/>
    <x v="0"/>
    <s v="India"/>
    <s v="P78382"/>
    <s v="Office Chair"/>
    <s v="Furniture"/>
    <s v="S822"/>
    <s v="Nova Industrial"/>
    <s v="Africa"/>
    <s v="WH 09"/>
    <s v="Johannesburg"/>
    <x v="2"/>
    <n v="29"/>
    <n v="60.23"/>
    <n v="1746.67"/>
    <n v="8.5500000000000007"/>
    <n v="20"/>
    <n v="24"/>
    <n v="1324"/>
    <x v="1"/>
    <x v="3"/>
    <n v="297.18"/>
  </r>
  <r>
    <n v="101117"/>
    <d v="2025-11-22T00:00:00"/>
    <d v="2025-11-23T00:00:00"/>
    <d v="2025-12-10T00:00:00"/>
    <s v="C8147"/>
    <x v="3"/>
    <s v="Netherlands"/>
    <s v="P47538"/>
    <s v="Detergent Bag"/>
    <s v="FMCG"/>
    <s v="S813"/>
    <s v="Vertex Manufacturing"/>
    <s v="Africa"/>
    <s v="WH 03"/>
    <s v="Dubai"/>
    <x v="3"/>
    <n v="23"/>
    <n v="28.33"/>
    <n v="651.59"/>
    <n v="11.25"/>
    <n v="17"/>
    <n v="18"/>
    <n v="2345"/>
    <x v="1"/>
    <x v="3"/>
    <n v="99.31"/>
  </r>
  <r>
    <n v="101118"/>
    <d v="2024-01-19T00:00:00"/>
    <d v="2024-01-20T00:00:00"/>
    <d v="2024-01-25T00:00:00"/>
    <s v="C6945"/>
    <x v="1"/>
    <s v="Kenya"/>
    <s v="P13487"/>
    <s v="Smart Watch"/>
    <s v="Electronics"/>
    <s v="S236"/>
    <s v="Nova Industrial"/>
    <s v="Africa"/>
    <s v="WH 04"/>
    <s v="Istanbul"/>
    <x v="0"/>
    <n v="368"/>
    <n v="300.2"/>
    <n v="110473.60000000001"/>
    <n v="16.97"/>
    <n v="5"/>
    <n v="6"/>
    <n v="1652"/>
    <x v="2"/>
    <x v="0"/>
    <n v="8976.98"/>
  </r>
  <r>
    <n v="101119"/>
    <d v="2024-04-21T00:00:00"/>
    <d v="2024-04-23T00:00:00"/>
    <d v="2024-04-26T00:00:00"/>
    <s v="C7831"/>
    <x v="3"/>
    <s v="Sweden"/>
    <s v="P26775"/>
    <s v="Router"/>
    <s v="Electronics"/>
    <s v="S242"/>
    <s v="Vertex Manufacturing"/>
    <s v="North America"/>
    <s v="WH 09"/>
    <s v="Johannesburg"/>
    <x v="1"/>
    <n v="41"/>
    <n v="308.55"/>
    <n v="12650.55"/>
    <n v="31.17"/>
    <n v="3"/>
    <n v="5"/>
    <n v="1589"/>
    <x v="1"/>
    <x v="2"/>
    <n v="1550.14"/>
  </r>
  <r>
    <n v="101120"/>
    <d v="2024-03-26T00:00:00"/>
    <d v="2024-03-29T00:00:00"/>
    <d v="2024-04-06T00:00:00"/>
    <s v="C4729"/>
    <x v="0"/>
    <s v="Malaysia"/>
    <s v="P73594"/>
    <s v="Wireless Earbuds"/>
    <s v="Electronics"/>
    <s v="S970"/>
    <s v="Evergreen Partners"/>
    <s v="Middle East"/>
    <s v="WH 05"/>
    <s v="Frankfurt"/>
    <x v="3"/>
    <n v="119"/>
    <n v="306.24"/>
    <n v="36442.559999999998"/>
    <n v="13.58"/>
    <n v="8"/>
    <n v="11"/>
    <n v="700"/>
    <x v="1"/>
    <x v="1"/>
    <n v="-54.64"/>
  </r>
  <r>
    <n v="101121"/>
    <d v="2025-07-20T00:00:00"/>
    <d v="2025-07-21T00:00:00"/>
    <d v="2025-07-27T00:00:00"/>
    <s v="C8077"/>
    <x v="1"/>
    <s v="Egypt"/>
    <s v="P30710"/>
    <s v="Bookshelf"/>
    <s v="Furniture"/>
    <s v="S596"/>
    <s v="Summit Supply Co"/>
    <s v="Asia"/>
    <s v="WH 04"/>
    <s v="Istanbul"/>
    <x v="0"/>
    <n v="146"/>
    <n v="53.13"/>
    <n v="7756.98"/>
    <n v="16.61"/>
    <n v="6"/>
    <n v="7"/>
    <n v="1697"/>
    <x v="2"/>
    <x v="0"/>
    <n v="1480.26"/>
  </r>
  <r>
    <n v="101122"/>
    <d v="2024-09-21T00:00:00"/>
    <d v="2024-09-26T00:00:00"/>
    <d v="2024-10-05T00:00:00"/>
    <s v="C2152"/>
    <x v="2"/>
    <s v="Canada"/>
    <s v="P44062"/>
    <s v="Face Mask Box"/>
    <s v="Healthcare"/>
    <s v="S188"/>
    <s v="Zenith Procurement"/>
    <s v="Asia"/>
    <s v="WH 07"/>
    <s v="Toronto"/>
    <x v="0"/>
    <n v="475"/>
    <n v="20.32"/>
    <n v="9652"/>
    <n v="25.94"/>
    <n v="9"/>
    <n v="14"/>
    <n v="2375"/>
    <x v="0"/>
    <x v="0"/>
    <n v="1160.81"/>
  </r>
  <r>
    <n v="101123"/>
    <d v="2025-02-09T00:00:00"/>
    <d v="2025-02-10T00:00:00"/>
    <d v="2025-02-22T00:00:00"/>
    <s v="C2658"/>
    <x v="2"/>
    <s v="United States"/>
    <s v="P82468"/>
    <s v="Vitamin Pack"/>
    <s v="Healthcare"/>
    <s v="S985"/>
    <s v="Atlas Sourcing"/>
    <s v="Middle East"/>
    <s v="WH 02"/>
    <s v="Lahore"/>
    <x v="2"/>
    <n v="313"/>
    <n v="21.6"/>
    <n v="6760.8"/>
    <n v="13.72"/>
    <n v="12"/>
    <n v="13"/>
    <n v="660"/>
    <x v="0"/>
    <x v="0"/>
    <n v="777.39"/>
  </r>
  <r>
    <n v="101124"/>
    <d v="2024-05-13T00:00:00"/>
    <d v="2024-05-15T00:00:00"/>
    <d v="2024-06-08T00:00:00"/>
    <s v="C7548"/>
    <x v="3"/>
    <s v="France"/>
    <s v="P78560"/>
    <s v="Hoodie"/>
    <s v="Apparel"/>
    <s v="S987"/>
    <s v="BlueRiver Trading"/>
    <s v="Asia"/>
    <s v="WH 01"/>
    <s v="Karachi"/>
    <x v="2"/>
    <n v="250"/>
    <n v="29.92"/>
    <n v="7480"/>
    <n v="12.58"/>
    <n v="24"/>
    <n v="26"/>
    <n v="2641"/>
    <x v="0"/>
    <x v="0"/>
    <n v="2200.1999999999998"/>
  </r>
  <r>
    <n v="101125"/>
    <d v="2024-07-13T00:00:00"/>
    <d v="2024-07-18T00:00:00"/>
    <d v="2024-07-29T00:00:00"/>
    <s v="C5443"/>
    <x v="4"/>
    <s v="United Arab Emirates"/>
    <s v="P93197"/>
    <s v="Hand Sanitizer Case"/>
    <s v="Healthcare"/>
    <s v="S498"/>
    <s v="Nova Industrial"/>
    <s v="Europe"/>
    <s v="WH 02"/>
    <s v="Lahore"/>
    <x v="3"/>
    <n v="343"/>
    <n v="26.63"/>
    <n v="9134.09"/>
    <n v="19.03"/>
    <n v="11"/>
    <n v="16"/>
    <n v="3010"/>
    <x v="1"/>
    <x v="2"/>
    <n v="1520.52"/>
  </r>
  <r>
    <n v="101126"/>
    <d v="2025-02-10T00:00:00"/>
    <d v="2025-02-13T00:00:00"/>
    <d v="2025-02-20T00:00:00"/>
    <s v="C8099"/>
    <x v="3"/>
    <s v="Italy"/>
    <s v="P71794"/>
    <s v="Wireless Earbuds"/>
    <s v="Electronics"/>
    <s v="S272"/>
    <s v="Summit Supply Co"/>
    <s v="Europe"/>
    <s v="WH 02"/>
    <s v="Lahore"/>
    <x v="3"/>
    <n v="198"/>
    <n v="449.08"/>
    <n v="88917.84"/>
    <n v="11.48"/>
    <n v="7"/>
    <n v="10"/>
    <n v="990"/>
    <x v="0"/>
    <x v="0"/>
    <n v="12848.91"/>
  </r>
  <r>
    <n v="101127"/>
    <d v="2025-12-06T00:00:00"/>
    <d v="2025-12-09T00:00:00"/>
    <d v="2025-12-18T00:00:00"/>
    <s v="C1543"/>
    <x v="0"/>
    <s v="China"/>
    <s v="P46668"/>
    <s v="Storage Cabinet"/>
    <s v="Furniture"/>
    <s v="S781"/>
    <s v="BlueRiver Trading"/>
    <s v="Asia"/>
    <s v="WH 01"/>
    <s v="Karachi"/>
    <x v="3"/>
    <n v="138"/>
    <n v="160.04"/>
    <n v="22085.52"/>
    <n v="10.4"/>
    <n v="9"/>
    <n v="12"/>
    <n v="2132"/>
    <x v="0"/>
    <x v="0"/>
    <n v="1038.74"/>
  </r>
  <r>
    <n v="101128"/>
    <d v="2024-08-25T00:00:00"/>
    <d v="2024-08-25T00:00:00"/>
    <d v="2024-08-30T00:00:00"/>
    <s v="C9086"/>
    <x v="4"/>
    <s v="Qatar"/>
    <s v="P60998"/>
    <s v="Smart Watch"/>
    <s v="Electronics"/>
    <s v="S930"/>
    <s v="Orion Supplies"/>
    <s v="Middle East"/>
    <s v="WH 01"/>
    <s v="Karachi"/>
    <x v="0"/>
    <n v="336"/>
    <n v="76.92"/>
    <n v="25845.119999999999"/>
    <n v="16.3"/>
    <n v="5"/>
    <n v="5"/>
    <n v="627"/>
    <x v="2"/>
    <x v="0"/>
    <n v="3360.42"/>
  </r>
  <r>
    <n v="101129"/>
    <d v="2025-12-19T00:00:00"/>
    <d v="2025-12-20T00:00:00"/>
    <d v="2025-12-24T00:00:00"/>
    <s v="C4325"/>
    <x v="1"/>
    <s v="Egypt"/>
    <s v="P60393"/>
    <s v="Bluetooth Speaker"/>
    <s v="Electronics"/>
    <s v="S171"/>
    <s v="Orion Supplies"/>
    <s v="Africa"/>
    <s v="WH 01"/>
    <s v="Karachi"/>
    <x v="1"/>
    <n v="487"/>
    <n v="70.599999999999994"/>
    <n v="34382.199999999997"/>
    <n v="44.5"/>
    <n v="4"/>
    <n v="5"/>
    <n v="630"/>
    <x v="2"/>
    <x v="0"/>
    <n v="6374.39"/>
  </r>
  <r>
    <n v="101130"/>
    <d v="2025-09-12T00:00:00"/>
    <d v="2025-09-16T00:00:00"/>
    <d v="2025-09-17T00:00:00"/>
    <s v="C7653"/>
    <x v="4"/>
    <s v="Oman"/>
    <s v="P73411"/>
    <s v="Router"/>
    <s v="Electronics"/>
    <s v="S993"/>
    <s v="Evergreen Partners"/>
    <s v="Europe"/>
    <s v="WH 10"/>
    <s v="Cairo"/>
    <x v="1"/>
    <n v="491"/>
    <n v="428.29"/>
    <n v="210290.39"/>
    <n v="60.33"/>
    <n v="1"/>
    <n v="5"/>
    <n v="938"/>
    <x v="2"/>
    <x v="0"/>
    <n v="36569.79"/>
  </r>
  <r>
    <n v="101131"/>
    <d v="2025-04-27T00:00:00"/>
    <d v="2025-04-30T00:00:00"/>
    <d v="2025-05-06T00:00:00"/>
    <s v="C6413"/>
    <x v="4"/>
    <s v="Oman"/>
    <s v="P49305"/>
    <s v="Floor Lamp"/>
    <s v="Furniture"/>
    <s v="S921"/>
    <s v="Vertex Manufacturing"/>
    <s v="Africa"/>
    <s v="WH 02"/>
    <s v="Lahore"/>
    <x v="0"/>
    <n v="228"/>
    <n v="95.65"/>
    <n v="21808.2"/>
    <n v="18.940000000000001"/>
    <n v="6"/>
    <n v="9"/>
    <n v="1975"/>
    <x v="0"/>
    <x v="0"/>
    <n v="4474.07"/>
  </r>
  <r>
    <n v="101132"/>
    <d v="2024-01-07T00:00:00"/>
    <d v="2024-01-09T00:00:00"/>
    <d v="2024-01-11T00:00:00"/>
    <s v="C8615"/>
    <x v="0"/>
    <s v="Malaysia"/>
    <s v="P13436"/>
    <s v="Hand Sanitizer Case"/>
    <s v="Healthcare"/>
    <s v="S466"/>
    <s v="Vertex Manufacturing"/>
    <s v="Europe"/>
    <s v="WH 02"/>
    <s v="Lahore"/>
    <x v="1"/>
    <n v="419"/>
    <n v="82.45"/>
    <n v="34546.550000000003"/>
    <n v="55.66"/>
    <n v="2"/>
    <n v="4"/>
    <n v="4233"/>
    <x v="2"/>
    <x v="0"/>
    <n v="5474.04"/>
  </r>
  <r>
    <n v="101133"/>
    <d v="2025-12-15T00:00:00"/>
    <d v="2025-12-19T00:00:00"/>
    <d v="2025-12-23T00:00:00"/>
    <s v="C1381"/>
    <x v="0"/>
    <s v="Indonesia"/>
    <s v="P77381"/>
    <s v="Router"/>
    <s v="Electronics"/>
    <s v="S232"/>
    <s v="Atlas Sourcing"/>
    <s v="Africa"/>
    <s v="WH 03"/>
    <s v="Dubai"/>
    <x v="0"/>
    <n v="172"/>
    <n v="223.49"/>
    <n v="38440.28"/>
    <n v="17.350000000000001"/>
    <n v="4"/>
    <n v="8"/>
    <n v="1150"/>
    <x v="0"/>
    <x v="0"/>
    <n v="4948.33"/>
  </r>
  <r>
    <n v="101134"/>
    <d v="2024-06-02T00:00:00"/>
    <d v="2024-06-06T00:00:00"/>
    <d v="2024-06-11T00:00:00"/>
    <s v="C2333"/>
    <x v="2"/>
    <s v="Canada"/>
    <s v="P79205"/>
    <s v="Storage Cabinet"/>
    <s v="Furniture"/>
    <s v="S276"/>
    <s v="Pioneer Distribution"/>
    <s v="Europe"/>
    <s v="WH 04"/>
    <s v="Istanbul"/>
    <x v="1"/>
    <n v="268"/>
    <n v="162.25"/>
    <n v="43483"/>
    <n v="45.88"/>
    <n v="5"/>
    <n v="9"/>
    <n v="1504"/>
    <x v="0"/>
    <x v="0"/>
    <n v="7714.11"/>
  </r>
  <r>
    <n v="101135"/>
    <d v="2024-05-04T00:00:00"/>
    <d v="2024-05-09T00:00:00"/>
    <d v="2024-05-19T00:00:00"/>
    <s v="C2267"/>
    <x v="0"/>
    <s v="Pakistan"/>
    <s v="P52510"/>
    <s v="Snack Carton"/>
    <s v="FMCG"/>
    <s v="S325"/>
    <s v="Vertex Manufacturing"/>
    <s v="Middle East"/>
    <s v="WH 09"/>
    <s v="Johannesburg"/>
    <x v="2"/>
    <n v="474"/>
    <n v="20.53"/>
    <n v="9731.2199999999993"/>
    <n v="16.66"/>
    <n v="10"/>
    <n v="15"/>
    <n v="592"/>
    <x v="0"/>
    <x v="0"/>
    <n v="595.84"/>
  </r>
  <r>
    <n v="101136"/>
    <d v="2024-08-05T00:00:00"/>
    <d v="2024-08-07T00:00:00"/>
    <d v="2024-08-11T00:00:00"/>
    <s v="C7710"/>
    <x v="2"/>
    <s v="Mexico"/>
    <s v="P95772"/>
    <s v="First Aid Kit"/>
    <s v="Healthcare"/>
    <s v="S439"/>
    <s v="Crescent Logistics"/>
    <s v="Middle East"/>
    <s v="WH 05"/>
    <s v="Frankfurt"/>
    <x v="1"/>
    <n v="99"/>
    <n v="25.76"/>
    <n v="2550.2399999999998"/>
    <n v="34.93"/>
    <n v="4"/>
    <n v="6"/>
    <n v="1491"/>
    <x v="2"/>
    <x v="0"/>
    <n v="213.13"/>
  </r>
  <r>
    <n v="101137"/>
    <d v="2025-06-01T00:00:00"/>
    <d v="2025-06-02T00:00:00"/>
    <d v="2025-06-03T00:00:00"/>
    <s v="C6129"/>
    <x v="2"/>
    <s v="Canada"/>
    <s v="P59289"/>
    <s v="Router"/>
    <s v="Electronics"/>
    <s v="S853"/>
    <s v="Vertex Manufacturing"/>
    <s v="Europe"/>
    <s v="WH 01"/>
    <s v="Karachi"/>
    <x v="1"/>
    <n v="403"/>
    <n v="62.29"/>
    <n v="25102.87"/>
    <n v="54.63"/>
    <n v="1"/>
    <n v="2"/>
    <n v="457"/>
    <x v="2"/>
    <x v="0"/>
    <n v="3401.05"/>
  </r>
  <r>
    <n v="101138"/>
    <d v="2025-01-30T00:00:00"/>
    <d v="2025-01-31T00:00:00"/>
    <d v="2025-02-16T00:00:00"/>
    <s v="C6428"/>
    <x v="1"/>
    <s v="Morocco"/>
    <s v="P32369"/>
    <s v="Power Bank"/>
    <s v="Electronics"/>
    <s v="S909"/>
    <s v="Zenith Procurement"/>
    <s v="Europe"/>
    <s v="WH 04"/>
    <s v="Istanbul"/>
    <x v="2"/>
    <n v="459"/>
    <n v="343.32"/>
    <n v="157583.88"/>
    <n v="16.38"/>
    <n v="16"/>
    <n v="17"/>
    <n v="1036"/>
    <x v="0"/>
    <x v="0"/>
    <n v="17817.37"/>
  </r>
  <r>
    <n v="101139"/>
    <d v="2025-08-10T00:00:00"/>
    <d v="2025-08-10T00:00:00"/>
    <d v="2025-08-28T00:00:00"/>
    <s v="C7189"/>
    <x v="0"/>
    <s v="Bangladesh"/>
    <s v="P49952"/>
    <s v="Bottled Water Case"/>
    <s v="FMCG"/>
    <s v="S677"/>
    <s v="Pioneer Distribution"/>
    <s v="Africa"/>
    <s v="WH 06"/>
    <s v="Amsterdam"/>
    <x v="2"/>
    <n v="369"/>
    <n v="20.260000000000002"/>
    <n v="7475.94"/>
    <n v="14.74"/>
    <n v="18"/>
    <n v="18"/>
    <n v="4626"/>
    <x v="0"/>
    <x v="0"/>
    <n v="923.48"/>
  </r>
  <r>
    <n v="101140"/>
    <d v="2025-01-26T00:00:00"/>
    <d v="2025-01-28T00:00:00"/>
    <d v="2025-01-30T00:00:00"/>
    <s v="C4598"/>
    <x v="1"/>
    <s v="Nigeria"/>
    <s v="P62955"/>
    <s v="Bookshelf"/>
    <s v="Furniture"/>
    <s v="S602"/>
    <s v="Crescent Logistics"/>
    <s v="Asia"/>
    <s v="WH 08"/>
    <s v="Chicago"/>
    <x v="1"/>
    <n v="239"/>
    <n v="333.8"/>
    <n v="79778.2"/>
    <n v="44"/>
    <n v="2"/>
    <n v="4"/>
    <n v="1552"/>
    <x v="2"/>
    <x v="0"/>
    <n v="19061.54"/>
  </r>
  <r>
    <n v="101141"/>
    <d v="2024-07-18T00:00:00"/>
    <d v="2024-07-19T00:00:00"/>
    <d v="2024-07-29T00:00:00"/>
    <s v="C1613"/>
    <x v="4"/>
    <s v="Saudi Arabia"/>
    <s v="P89618"/>
    <s v="Smart Watch"/>
    <s v="Electronics"/>
    <s v="S198"/>
    <s v="Atlas Sourcing"/>
    <s v="Middle East"/>
    <s v="WH 10"/>
    <s v="Cairo"/>
    <x v="0"/>
    <n v="348"/>
    <n v="132.84"/>
    <n v="46228.32"/>
    <n v="16.55"/>
    <n v="10"/>
    <n v="11"/>
    <n v="1339"/>
    <x v="0"/>
    <x v="0"/>
    <n v="4768.3100000000004"/>
  </r>
  <r>
    <n v="101142"/>
    <d v="2025-04-01T00:00:00"/>
    <d v="2025-04-02T00:00:00"/>
    <d v="2025-04-14T00:00:00"/>
    <s v="C7729"/>
    <x v="3"/>
    <s v="Spain"/>
    <s v="P49729"/>
    <s v="Sportswear Set"/>
    <s v="Apparel"/>
    <s v="S735"/>
    <s v="Atlas Sourcing"/>
    <s v="Middle East"/>
    <s v="WH 03"/>
    <s v="Dubai"/>
    <x v="2"/>
    <n v="278"/>
    <n v="109.16"/>
    <n v="30346.48"/>
    <n v="13.09"/>
    <n v="12"/>
    <n v="13"/>
    <n v="2107"/>
    <x v="1"/>
    <x v="2"/>
    <n v="6791.35"/>
  </r>
  <r>
    <n v="101143"/>
    <d v="2024-03-18T00:00:00"/>
    <d v="2024-03-22T00:00:00"/>
    <d v="2024-03-31T00:00:00"/>
    <s v="C9983"/>
    <x v="2"/>
    <s v="United States"/>
    <s v="P52738"/>
    <s v="Wireless Earbuds"/>
    <s v="Electronics"/>
    <s v="S804"/>
    <s v="Orion Supplies"/>
    <s v="Africa"/>
    <s v="WH 02"/>
    <s v="Lahore"/>
    <x v="0"/>
    <n v="479"/>
    <n v="233.4"/>
    <n v="111798.6"/>
    <n v="26.05"/>
    <n v="9"/>
    <n v="13"/>
    <n v="1124"/>
    <x v="0"/>
    <x v="0"/>
    <n v="8938.7099999999991"/>
  </r>
  <r>
    <n v="101144"/>
    <d v="2025-01-15T00:00:00"/>
    <d v="2025-01-15T00:00:00"/>
    <d v="2025-01-31T00:00:00"/>
    <s v="C9783"/>
    <x v="2"/>
    <s v="Canada"/>
    <s v="P97081"/>
    <s v="Detergent Bag"/>
    <s v="FMCG"/>
    <s v="S632"/>
    <s v="Zenith Procurement"/>
    <s v="Asia"/>
    <s v="WH 01"/>
    <s v="Karachi"/>
    <x v="2"/>
    <n v="19"/>
    <n v="28.26"/>
    <n v="536.94000000000005"/>
    <n v="8.3699999999999992"/>
    <n v="16"/>
    <n v="16"/>
    <n v="1635"/>
    <x v="0"/>
    <x v="0"/>
    <n v="34.85"/>
  </r>
  <r>
    <n v="101145"/>
    <d v="2025-05-30T00:00:00"/>
    <d v="2025-06-04T00:00:00"/>
    <d v="2025-06-15T00:00:00"/>
    <s v="C6091"/>
    <x v="3"/>
    <s v="Italy"/>
    <s v="P90084"/>
    <s v="Toothpaste Box"/>
    <s v="FMCG"/>
    <s v="S352"/>
    <s v="Nova Industrial"/>
    <s v="Europe"/>
    <s v="WH 06"/>
    <s v="Amsterdam"/>
    <x v="2"/>
    <n v="133"/>
    <n v="25.68"/>
    <n v="3415.44"/>
    <n v="7.74"/>
    <n v="11"/>
    <n v="16"/>
    <n v="923"/>
    <x v="0"/>
    <x v="0"/>
    <n v="206.95"/>
  </r>
  <r>
    <n v="101146"/>
    <d v="2024-05-16T00:00:00"/>
    <d v="2024-05-16T00:00:00"/>
    <d v="2024-06-07T00:00:00"/>
    <s v="C4759"/>
    <x v="3"/>
    <s v="France"/>
    <s v="P80648"/>
    <s v="Smart Watch"/>
    <s v="Electronics"/>
    <s v="S653"/>
    <s v="Nova Industrial"/>
    <s v="Asia"/>
    <s v="WH 01"/>
    <s v="Karachi"/>
    <x v="2"/>
    <n v="306"/>
    <n v="322.77"/>
    <n v="98767.62"/>
    <n v="13.6"/>
    <n v="22"/>
    <n v="22"/>
    <n v="779"/>
    <x v="0"/>
    <x v="0"/>
    <n v="8587.14"/>
  </r>
  <r>
    <n v="101147"/>
    <d v="2024-02-10T00:00:00"/>
    <d v="2024-02-12T00:00:00"/>
    <d v="2024-02-23T00:00:00"/>
    <s v="C6710"/>
    <x v="4"/>
    <s v="United Arab Emirates"/>
    <s v="P22588"/>
    <s v="Denim Jeans"/>
    <s v="Apparel"/>
    <s v="S298"/>
    <s v="Nova Industrial"/>
    <s v="Middle East"/>
    <s v="WH 04"/>
    <s v="Istanbul"/>
    <x v="2"/>
    <n v="156"/>
    <n v="66.09"/>
    <n v="10310.040000000001"/>
    <n v="8.0500000000000007"/>
    <n v="11"/>
    <n v="13"/>
    <n v="1574"/>
    <x v="0"/>
    <x v="0"/>
    <n v="2958.96"/>
  </r>
  <r>
    <n v="101148"/>
    <d v="2025-11-12T00:00:00"/>
    <d v="2025-11-17T00:00:00"/>
    <d v="2025-11-22T00:00:00"/>
    <s v="C5325"/>
    <x v="2"/>
    <s v="Mexico"/>
    <s v="P68535"/>
    <s v="Detergent Bag"/>
    <s v="FMCG"/>
    <s v="S908"/>
    <s v="Vertex Manufacturing"/>
    <s v="Middle East"/>
    <s v="WH 02"/>
    <s v="Lahore"/>
    <x v="1"/>
    <n v="274"/>
    <n v="35.57"/>
    <n v="9746.18"/>
    <n v="46.27"/>
    <n v="5"/>
    <n v="10"/>
    <n v="2277"/>
    <x v="0"/>
    <x v="0"/>
    <n v="815.16"/>
  </r>
  <r>
    <n v="101149"/>
    <d v="2024-12-21T00:00:00"/>
    <d v="2024-12-22T00:00:00"/>
    <d v="2024-12-25T00:00:00"/>
    <s v="C1570"/>
    <x v="3"/>
    <s v="France"/>
    <s v="P22084"/>
    <s v="Toothpaste Box"/>
    <s v="FMCG"/>
    <s v="S407"/>
    <s v="Summit Supply Co"/>
    <s v="Middle East"/>
    <s v="WH 06"/>
    <s v="Amsterdam"/>
    <x v="0"/>
    <n v="346"/>
    <n v="5.92"/>
    <n v="2048.3200000000002"/>
    <n v="22.28"/>
    <n v="3"/>
    <n v="4"/>
    <n v="4516"/>
    <x v="2"/>
    <x v="0"/>
    <n v="290.77"/>
  </r>
  <r>
    <n v="101150"/>
    <d v="2024-04-23T00:00:00"/>
    <d v="2024-04-25T00:00:00"/>
    <d v="2024-04-27T00:00:00"/>
    <s v="C1539"/>
    <x v="1"/>
    <s v="Egypt"/>
    <s v="P99905"/>
    <s v="Shampoo Pack"/>
    <s v="FMCG"/>
    <s v="S101"/>
    <s v="Vertex Manufacturing"/>
    <s v="Africa"/>
    <s v="WH 04"/>
    <s v="Istanbul"/>
    <x v="1"/>
    <n v="221"/>
    <n v="19.32"/>
    <n v="4269.72"/>
    <n v="31.73"/>
    <n v="2"/>
    <n v="4"/>
    <n v="1347"/>
    <x v="2"/>
    <x v="0"/>
    <n v="651.33000000000004"/>
  </r>
  <r>
    <n v="101151"/>
    <d v="2025-03-04T00:00:00"/>
    <d v="2025-03-08T00:00:00"/>
    <d v="2025-03-10T00:00:00"/>
    <s v="C5456"/>
    <x v="3"/>
    <s v="Italy"/>
    <s v="P36897"/>
    <s v="Shampoo Pack"/>
    <s v="FMCG"/>
    <s v="S276"/>
    <s v="Nova Industrial"/>
    <s v="Europe"/>
    <s v="WH 09"/>
    <s v="Johannesburg"/>
    <x v="1"/>
    <n v="273"/>
    <n v="15.47"/>
    <n v="4223.3100000000004"/>
    <n v="34.22"/>
    <n v="2"/>
    <n v="6"/>
    <n v="4674"/>
    <x v="2"/>
    <x v="0"/>
    <n v="525.28"/>
  </r>
  <r>
    <n v="101152"/>
    <d v="2024-03-04T00:00:00"/>
    <d v="2024-03-05T00:00:00"/>
    <d v="2024-03-10T00:00:00"/>
    <s v="C1329"/>
    <x v="3"/>
    <s v="Poland"/>
    <s v="P14858"/>
    <s v="Power Bank"/>
    <s v="Electronics"/>
    <s v="S116"/>
    <s v="Vertex Manufacturing"/>
    <s v="Asia"/>
    <s v="WH 03"/>
    <s v="Dubai"/>
    <x v="3"/>
    <n v="452"/>
    <n v="400.26"/>
    <n v="180917.52"/>
    <n v="21.68"/>
    <n v="5"/>
    <n v="6"/>
    <n v="493"/>
    <x v="2"/>
    <x v="0"/>
    <n v="4814.76"/>
  </r>
  <r>
    <n v="101153"/>
    <d v="2024-06-09T00:00:00"/>
    <d v="2024-06-12T00:00:00"/>
    <d v="2024-06-18T00:00:00"/>
    <s v="C3448"/>
    <x v="1"/>
    <s v="Nigeria"/>
    <s v="P89921"/>
    <s v="Storage Cabinet"/>
    <s v="Furniture"/>
    <s v="S843"/>
    <s v="Pioneer Distribution"/>
    <s v="Europe"/>
    <s v="WH 06"/>
    <s v="Amsterdam"/>
    <x v="3"/>
    <n v="304"/>
    <n v="266.44"/>
    <n v="80997.759999999995"/>
    <n v="18.079999999999998"/>
    <n v="6"/>
    <n v="9"/>
    <n v="1085"/>
    <x v="0"/>
    <x v="0"/>
    <n v="14437.18"/>
  </r>
  <r>
    <n v="101154"/>
    <d v="2024-09-06T00:00:00"/>
    <d v="2024-09-09T00:00:00"/>
    <d v="2024-09-10T00:00:00"/>
    <s v="C1891"/>
    <x v="1"/>
    <s v="Egypt"/>
    <s v="P31972"/>
    <s v="Floor Lamp"/>
    <s v="Furniture"/>
    <s v="S381"/>
    <s v="Nova Industrial"/>
    <s v="Africa"/>
    <s v="WH 07"/>
    <s v="Toronto"/>
    <x v="1"/>
    <n v="247"/>
    <n v="284.19"/>
    <n v="70194.929999999993"/>
    <n v="32.979999999999997"/>
    <n v="1"/>
    <n v="4"/>
    <n v="146"/>
    <x v="2"/>
    <x v="0"/>
    <n v="18692.82"/>
  </r>
  <r>
    <n v="101155"/>
    <d v="2024-09-01T00:00:00"/>
    <d v="2024-09-03T00:00:00"/>
    <d v="2024-09-09T00:00:00"/>
    <s v="C9114"/>
    <x v="3"/>
    <s v="France"/>
    <s v="P49412"/>
    <s v="Bottled Water Case"/>
    <s v="FMCG"/>
    <s v="S786"/>
    <s v="Atlas Sourcing"/>
    <s v="Middle East"/>
    <s v="WH 04"/>
    <s v="Istanbul"/>
    <x v="0"/>
    <n v="278"/>
    <n v="14.91"/>
    <n v="4144.9799999999996"/>
    <n v="20.36"/>
    <n v="6"/>
    <n v="8"/>
    <n v="3437"/>
    <x v="0"/>
    <x v="0"/>
    <n v="393.78"/>
  </r>
  <r>
    <n v="101156"/>
    <d v="2024-08-23T00:00:00"/>
    <d v="2024-08-24T00:00:00"/>
    <d v="2024-08-26T00:00:00"/>
    <s v="C8608"/>
    <x v="4"/>
    <s v="Oman"/>
    <s v="P95641"/>
    <s v="First Aid Kit"/>
    <s v="Healthcare"/>
    <s v="S505"/>
    <s v="Zenith Procurement"/>
    <s v="North America"/>
    <s v="WH 09"/>
    <s v="Johannesburg"/>
    <x v="1"/>
    <n v="241"/>
    <n v="84.68"/>
    <n v="20407.88"/>
    <n v="44.13"/>
    <n v="2"/>
    <n v="3"/>
    <n v="1871"/>
    <x v="2"/>
    <x v="0"/>
    <n v="2422.64"/>
  </r>
  <r>
    <n v="101157"/>
    <d v="2024-03-31T00:00:00"/>
    <d v="2024-04-01T00:00:00"/>
    <d v="2024-04-08T00:00:00"/>
    <s v="C3732"/>
    <x v="3"/>
    <s v="Sweden"/>
    <s v="P86497"/>
    <s v="Wireless Earbuds"/>
    <s v="Electronics"/>
    <s v="S397"/>
    <s v="Pioneer Distribution"/>
    <s v="Africa"/>
    <s v="WH 06"/>
    <s v="Amsterdam"/>
    <x v="0"/>
    <n v="142"/>
    <n v="416.03"/>
    <n v="59076.26"/>
    <n v="16.5"/>
    <n v="7"/>
    <n v="8"/>
    <n v="1271"/>
    <x v="1"/>
    <x v="1"/>
    <n v="-206.28"/>
  </r>
  <r>
    <n v="101158"/>
    <d v="2024-05-22T00:00:00"/>
    <d v="2024-05-23T00:00:00"/>
    <d v="2024-06-11T00:00:00"/>
    <s v="C2766"/>
    <x v="1"/>
    <s v="South Africa"/>
    <s v="P18219"/>
    <s v="Storage Cabinet"/>
    <s v="Furniture"/>
    <s v="S522"/>
    <s v="Vertex Manufacturing"/>
    <s v="North America"/>
    <s v="WH 07"/>
    <s v="Toronto"/>
    <x v="2"/>
    <n v="500"/>
    <n v="93.31"/>
    <n v="46655"/>
    <n v="17.13"/>
    <n v="19"/>
    <n v="20"/>
    <n v="1280"/>
    <x v="0"/>
    <x v="0"/>
    <n v="9638.86"/>
  </r>
  <r>
    <n v="101159"/>
    <d v="2025-02-27T00:00:00"/>
    <d v="2025-03-01T00:00:00"/>
    <d v="2025-03-07T00:00:00"/>
    <s v="C4405"/>
    <x v="4"/>
    <s v="Oman"/>
    <s v="P20862"/>
    <s v="Bookshelf"/>
    <s v="Furniture"/>
    <s v="S507"/>
    <s v="Pioneer Distribution"/>
    <s v="North America"/>
    <s v="WH 05"/>
    <s v="Frankfurt"/>
    <x v="3"/>
    <n v="26"/>
    <n v="104.6"/>
    <n v="2719.6"/>
    <n v="11.32"/>
    <n v="6"/>
    <n v="8"/>
    <n v="701"/>
    <x v="0"/>
    <x v="0"/>
    <n v="507.57"/>
  </r>
  <r>
    <n v="101160"/>
    <d v="2024-07-23T00:00:00"/>
    <d v="2024-07-26T00:00:00"/>
    <d v="2024-08-07T00:00:00"/>
    <s v="C9983"/>
    <x v="0"/>
    <s v="India"/>
    <s v="P58192"/>
    <s v="Study Table"/>
    <s v="Furniture"/>
    <s v="S216"/>
    <s v="Nova Industrial"/>
    <s v="Asia"/>
    <s v="WH 06"/>
    <s v="Amsterdam"/>
    <x v="3"/>
    <n v="162"/>
    <n v="311.64999999999998"/>
    <n v="50487.3"/>
    <n v="10.84"/>
    <n v="12"/>
    <n v="15"/>
    <n v="1155"/>
    <x v="0"/>
    <x v="0"/>
    <n v="8893.43"/>
  </r>
  <r>
    <n v="101161"/>
    <d v="2025-08-12T00:00:00"/>
    <d v="2025-08-14T00:00:00"/>
    <d v="2025-08-16T00:00:00"/>
    <s v="C5158"/>
    <x v="2"/>
    <s v="Mexico"/>
    <s v="P51773"/>
    <s v="Thermometer"/>
    <s v="Healthcare"/>
    <s v="S502"/>
    <s v="BlueRiver Trading"/>
    <s v="North America"/>
    <s v="WH 04"/>
    <s v="Istanbul"/>
    <x v="0"/>
    <n v="255"/>
    <n v="48.8"/>
    <n v="12444"/>
    <n v="14.6"/>
    <n v="2"/>
    <n v="4"/>
    <n v="4366"/>
    <x v="2"/>
    <x v="0"/>
    <n v="1970.41"/>
  </r>
  <r>
    <n v="101162"/>
    <d v="2025-08-23T00:00:00"/>
    <d v="2025-08-23T00:00:00"/>
    <d v="2025-09-05T00:00:00"/>
    <s v="C2151"/>
    <x v="0"/>
    <s v="Pakistan"/>
    <s v="P31698"/>
    <s v="T Shirt Bundle"/>
    <s v="Apparel"/>
    <s v="S293"/>
    <s v="Summit Supply Co"/>
    <s v="Europe"/>
    <s v="WH 06"/>
    <s v="Amsterdam"/>
    <x v="0"/>
    <n v="193"/>
    <n v="82.21"/>
    <n v="15866.53"/>
    <n v="17.95"/>
    <n v="13"/>
    <n v="13"/>
    <n v="2192"/>
    <x v="1"/>
    <x v="3"/>
    <n v="1952.72"/>
  </r>
  <r>
    <n v="101163"/>
    <d v="2024-09-10T00:00:00"/>
    <d v="2024-09-12T00:00:00"/>
    <d v="2024-10-03T00:00:00"/>
    <s v="C9722"/>
    <x v="2"/>
    <s v="Canada"/>
    <s v="P78908"/>
    <s v="Hoodie"/>
    <s v="Apparel"/>
    <s v="S823"/>
    <s v="Atlas Sourcing"/>
    <s v="Africa"/>
    <s v="WH 03"/>
    <s v="Dubai"/>
    <x v="2"/>
    <n v="414"/>
    <n v="32.729999999999997"/>
    <n v="13550.22"/>
    <n v="15.56"/>
    <n v="21"/>
    <n v="23"/>
    <n v="1390"/>
    <x v="0"/>
    <x v="0"/>
    <n v="3853.96"/>
  </r>
  <r>
    <n v="101164"/>
    <d v="2025-07-29T00:00:00"/>
    <d v="2025-08-01T00:00:00"/>
    <d v="2025-08-04T00:00:00"/>
    <s v="C3223"/>
    <x v="0"/>
    <s v="Vietnam"/>
    <s v="P52732"/>
    <s v="Hoodie"/>
    <s v="Apparel"/>
    <s v="S556"/>
    <s v="Zenith Procurement"/>
    <s v="Middle East"/>
    <s v="WH 07"/>
    <s v="Toronto"/>
    <x v="1"/>
    <n v="432"/>
    <n v="104.75"/>
    <n v="45252"/>
    <n v="56.51"/>
    <n v="3"/>
    <n v="6"/>
    <n v="2773"/>
    <x v="1"/>
    <x v="2"/>
    <n v="12752.09"/>
  </r>
  <r>
    <n v="101165"/>
    <d v="2025-08-26T00:00:00"/>
    <d v="2025-08-27T00:00:00"/>
    <d v="2025-09-02T00:00:00"/>
    <s v="C4460"/>
    <x v="4"/>
    <s v="Turkey"/>
    <s v="P30881"/>
    <s v="Bottled Water Case"/>
    <s v="FMCG"/>
    <s v="S206"/>
    <s v="Atlas Sourcing"/>
    <s v="Europe"/>
    <s v="WH 04"/>
    <s v="Istanbul"/>
    <x v="0"/>
    <n v="120"/>
    <n v="22.16"/>
    <n v="2659.2"/>
    <n v="15.88"/>
    <n v="6"/>
    <n v="7"/>
    <n v="2066"/>
    <x v="2"/>
    <x v="0"/>
    <n v="357.34"/>
  </r>
  <r>
    <n v="101166"/>
    <d v="2024-06-28T00:00:00"/>
    <d v="2024-07-02T00:00:00"/>
    <d v="2024-07-12T00:00:00"/>
    <s v="C9642"/>
    <x v="3"/>
    <s v="Netherlands"/>
    <s v="P64327"/>
    <s v="Thermometer"/>
    <s v="Healthcare"/>
    <s v="S840"/>
    <s v="Pioneer Distribution"/>
    <s v="Middle East"/>
    <s v="WH 06"/>
    <s v="Amsterdam"/>
    <x v="3"/>
    <n v="154"/>
    <n v="65.739999999999995"/>
    <n v="10123.959999999999"/>
    <n v="14.43"/>
    <n v="10"/>
    <n v="14"/>
    <n v="936"/>
    <x v="0"/>
    <x v="0"/>
    <n v="1220.22"/>
  </r>
  <r>
    <n v="101167"/>
    <d v="2025-10-29T00:00:00"/>
    <d v="2025-11-01T00:00:00"/>
    <d v="2025-11-10T00:00:00"/>
    <s v="C9088"/>
    <x v="2"/>
    <s v="United States"/>
    <s v="P23140"/>
    <s v="Floor Lamp"/>
    <s v="Furniture"/>
    <s v="S561"/>
    <s v="Atlas Sourcing"/>
    <s v="Middle East"/>
    <s v="WH 08"/>
    <s v="Chicago"/>
    <x v="0"/>
    <n v="351"/>
    <n v="138.01"/>
    <n v="48441.51"/>
    <n v="22.42"/>
    <n v="9"/>
    <n v="12"/>
    <n v="1704"/>
    <x v="0"/>
    <x v="0"/>
    <n v="9323.94"/>
  </r>
  <r>
    <n v="101168"/>
    <d v="2024-03-15T00:00:00"/>
    <d v="2024-03-18T00:00:00"/>
    <d v="2024-03-22T00:00:00"/>
    <s v="C2586"/>
    <x v="2"/>
    <s v="United States"/>
    <s v="P80218"/>
    <s v="First Aid Kit"/>
    <s v="Healthcare"/>
    <s v="S755"/>
    <s v="Nova Industrial"/>
    <s v="Asia"/>
    <s v="WH 08"/>
    <s v="Chicago"/>
    <x v="0"/>
    <n v="352"/>
    <n v="61.76"/>
    <n v="21739.52"/>
    <n v="22.45"/>
    <n v="4"/>
    <n v="7"/>
    <n v="3082"/>
    <x v="2"/>
    <x v="0"/>
    <n v="3303.1"/>
  </r>
  <r>
    <n v="101169"/>
    <d v="2025-09-13T00:00:00"/>
    <d v="2025-09-14T00:00:00"/>
    <d v="2025-09-18T00:00:00"/>
    <s v="C6073"/>
    <x v="2"/>
    <s v="United States"/>
    <s v="P85265"/>
    <s v="Floor Lamp"/>
    <s v="Furniture"/>
    <s v="S420"/>
    <s v="Evergreen Partners"/>
    <s v="Africa"/>
    <s v="WH 05"/>
    <s v="Frankfurt"/>
    <x v="1"/>
    <n v="285"/>
    <n v="332.69"/>
    <n v="94816.65"/>
    <n v="46.98"/>
    <n v="4"/>
    <n v="5"/>
    <n v="1754"/>
    <x v="1"/>
    <x v="2"/>
    <n v="25119.47"/>
  </r>
  <r>
    <n v="101170"/>
    <d v="2024-07-11T00:00:00"/>
    <d v="2024-07-11T00:00:00"/>
    <d v="2024-07-15T00:00:00"/>
    <s v="C5938"/>
    <x v="1"/>
    <s v="South Africa"/>
    <s v="P75667"/>
    <s v="Vitamin Pack"/>
    <s v="Healthcare"/>
    <s v="S192"/>
    <s v="Crescent Logistics"/>
    <s v="Europe"/>
    <s v="WH 06"/>
    <s v="Amsterdam"/>
    <x v="1"/>
    <n v="260"/>
    <n v="12.71"/>
    <n v="3304.6"/>
    <n v="45.36"/>
    <n v="4"/>
    <n v="4"/>
    <n v="1060"/>
    <x v="2"/>
    <x v="0"/>
    <n v="388.93"/>
  </r>
  <r>
    <n v="101171"/>
    <d v="2025-12-03T00:00:00"/>
    <d v="2025-12-03T00:00:00"/>
    <d v="2025-12-11T00:00:00"/>
    <s v="C9641"/>
    <x v="4"/>
    <s v="Saudi Arabia"/>
    <s v="P69682"/>
    <s v="Office Chair"/>
    <s v="Furniture"/>
    <s v="S268"/>
    <s v="Summit Supply Co"/>
    <s v="Middle East"/>
    <s v="WH 04"/>
    <s v="Istanbul"/>
    <x v="3"/>
    <n v="452"/>
    <n v="212.78"/>
    <n v="96176.56"/>
    <n v="16.059999999999999"/>
    <n v="8"/>
    <n v="8"/>
    <n v="1828"/>
    <x v="0"/>
    <x v="0"/>
    <n v="19054.169999999998"/>
  </r>
  <r>
    <n v="101172"/>
    <d v="2024-07-30T00:00:00"/>
    <d v="2024-07-30T00:00:00"/>
    <d v="2024-08-14T00:00:00"/>
    <s v="C6352"/>
    <x v="0"/>
    <s v="Bangladesh"/>
    <s v="P53130"/>
    <s v="Face Mask Box"/>
    <s v="Healthcare"/>
    <s v="S973"/>
    <s v="Nova Industrial"/>
    <s v="Asia"/>
    <s v="WH 03"/>
    <s v="Dubai"/>
    <x v="3"/>
    <n v="457"/>
    <n v="56.28"/>
    <n v="25719.96"/>
    <n v="16.149999999999999"/>
    <n v="15"/>
    <n v="15"/>
    <n v="2145"/>
    <x v="1"/>
    <x v="3"/>
    <n v="3148.22"/>
  </r>
  <r>
    <n v="101173"/>
    <d v="2024-02-09T00:00:00"/>
    <d v="2024-02-12T00:00:00"/>
    <d v="2024-02-21T00:00:00"/>
    <s v="C1862"/>
    <x v="1"/>
    <s v="Kenya"/>
    <s v="P80063"/>
    <s v="Router"/>
    <s v="Electronics"/>
    <s v="S295"/>
    <s v="Pioneer Distribution"/>
    <s v="Asia"/>
    <s v="WH 03"/>
    <s v="Dubai"/>
    <x v="0"/>
    <n v="221"/>
    <n v="285.14999999999998"/>
    <n v="63018.15"/>
    <n v="18.739999999999998"/>
    <n v="9"/>
    <n v="12"/>
    <n v="577"/>
    <x v="0"/>
    <x v="0"/>
    <n v="11095.13"/>
  </r>
  <r>
    <n v="101174"/>
    <d v="2024-03-10T00:00:00"/>
    <d v="2024-03-12T00:00:00"/>
    <d v="2024-03-25T00:00:00"/>
    <s v="C4323"/>
    <x v="0"/>
    <s v="Malaysia"/>
    <s v="P10445"/>
    <s v="Denim Jeans"/>
    <s v="Apparel"/>
    <s v="S101"/>
    <s v="Atlas Sourcing"/>
    <s v="North America"/>
    <s v="WH 09"/>
    <s v="Johannesburg"/>
    <x v="2"/>
    <n v="245"/>
    <n v="80.709999999999994"/>
    <n v="19773.95"/>
    <n v="12.48"/>
    <n v="13"/>
    <n v="15"/>
    <n v="2167"/>
    <x v="0"/>
    <x v="0"/>
    <n v="2535.0500000000002"/>
  </r>
  <r>
    <n v="101175"/>
    <d v="2024-06-24T00:00:00"/>
    <d v="2024-06-24T00:00:00"/>
    <d v="2024-07-03T00:00:00"/>
    <s v="C7172"/>
    <x v="4"/>
    <s v="United Arab Emirates"/>
    <s v="P11979"/>
    <s v="Socks Pack"/>
    <s v="Apparel"/>
    <s v="S768"/>
    <s v="Orion Supplies"/>
    <s v="Europe"/>
    <s v="WH 06"/>
    <s v="Amsterdam"/>
    <x v="0"/>
    <n v="323"/>
    <n v="32.200000000000003"/>
    <n v="10400.6"/>
    <n v="21.63"/>
    <n v="9"/>
    <n v="9"/>
    <n v="2480"/>
    <x v="0"/>
    <x v="0"/>
    <n v="435.73"/>
  </r>
  <r>
    <n v="101176"/>
    <d v="2025-04-02T00:00:00"/>
    <d v="2025-04-04T00:00:00"/>
    <d v="2025-04-09T00:00:00"/>
    <s v="C4912"/>
    <x v="4"/>
    <s v="Saudi Arabia"/>
    <s v="P93452"/>
    <s v="Smart Watch"/>
    <s v="Electronics"/>
    <s v="S968"/>
    <s v="Summit Supply Co"/>
    <s v="Middle East"/>
    <s v="WH 08"/>
    <s v="Chicago"/>
    <x v="3"/>
    <n v="17"/>
    <n v="355.61"/>
    <n v="6045.37"/>
    <n v="8.23"/>
    <n v="5"/>
    <n v="7"/>
    <n v="1272"/>
    <x v="1"/>
    <x v="1"/>
    <n v="-243.34"/>
  </r>
  <r>
    <n v="101177"/>
    <d v="2025-07-11T00:00:00"/>
    <d v="2025-07-12T00:00:00"/>
    <d v="2025-07-22T00:00:00"/>
    <s v="C1842"/>
    <x v="4"/>
    <s v="Saudi Arabia"/>
    <s v="P52642"/>
    <s v="Toothpaste Box"/>
    <s v="FMCG"/>
    <s v="S394"/>
    <s v="Nova Industrial"/>
    <s v="Middle East"/>
    <s v="WH 08"/>
    <s v="Chicago"/>
    <x v="0"/>
    <n v="475"/>
    <n v="18.559999999999999"/>
    <n v="8816"/>
    <n v="19.22"/>
    <n v="10"/>
    <n v="11"/>
    <n v="3933"/>
    <x v="0"/>
    <x v="0"/>
    <n v="1549.15"/>
  </r>
  <r>
    <n v="101178"/>
    <d v="2024-06-02T00:00:00"/>
    <d v="2024-06-02T00:00:00"/>
    <d v="2024-06-19T00:00:00"/>
    <s v="C7381"/>
    <x v="1"/>
    <s v="Morocco"/>
    <s v="P77917"/>
    <s v="Socks Pack"/>
    <s v="Apparel"/>
    <s v="S205"/>
    <s v="Atlas Sourcing"/>
    <s v="Africa"/>
    <s v="WH 08"/>
    <s v="Chicago"/>
    <x v="2"/>
    <n v="491"/>
    <n v="19.420000000000002"/>
    <n v="9535.2199999999993"/>
    <n v="12.57"/>
    <n v="17"/>
    <n v="17"/>
    <n v="1883"/>
    <x v="1"/>
    <x v="3"/>
    <n v="1590.64"/>
  </r>
  <r>
    <n v="101179"/>
    <d v="2025-10-16T00:00:00"/>
    <d v="2025-10-19T00:00:00"/>
    <d v="2025-10-22T00:00:00"/>
    <s v="C1906"/>
    <x v="3"/>
    <s v="Germany"/>
    <s v="P74042"/>
    <s v="Bottled Water Case"/>
    <s v="FMCG"/>
    <s v="S553"/>
    <s v="BlueRiver Trading"/>
    <s v="Middle East"/>
    <s v="WH 10"/>
    <s v="Cairo"/>
    <x v="1"/>
    <n v="160"/>
    <n v="39.090000000000003"/>
    <n v="6254.4"/>
    <n v="38.880000000000003"/>
    <n v="3"/>
    <n v="6"/>
    <n v="762"/>
    <x v="2"/>
    <x v="0"/>
    <n v="921.52"/>
  </r>
  <r>
    <n v="101180"/>
    <d v="2024-08-25T00:00:00"/>
    <d v="2024-08-28T00:00:00"/>
    <d v="2024-09-20T00:00:00"/>
    <s v="C3106"/>
    <x v="1"/>
    <s v="Nigeria"/>
    <s v="P23669"/>
    <s v="Face Mask Box"/>
    <s v="Healthcare"/>
    <s v="S803"/>
    <s v="Pioneer Distribution"/>
    <s v="Middle East"/>
    <s v="WH 10"/>
    <s v="Cairo"/>
    <x v="2"/>
    <n v="145"/>
    <n v="25.51"/>
    <n v="3698.95"/>
    <n v="10.66"/>
    <n v="23"/>
    <n v="26"/>
    <n v="2683"/>
    <x v="1"/>
    <x v="2"/>
    <n v="471.65"/>
  </r>
  <r>
    <n v="101181"/>
    <d v="2025-07-13T00:00:00"/>
    <d v="2025-07-17T00:00:00"/>
    <d v="2025-07-24T00:00:00"/>
    <s v="C1479"/>
    <x v="0"/>
    <s v="Bangladesh"/>
    <s v="P86190"/>
    <s v="Bookshelf"/>
    <s v="Furniture"/>
    <s v="S264"/>
    <s v="Nova Industrial"/>
    <s v="Middle East"/>
    <s v="WH 10"/>
    <s v="Cairo"/>
    <x v="0"/>
    <n v="409"/>
    <n v="263.43"/>
    <n v="107742.87"/>
    <n v="24.07"/>
    <n v="7"/>
    <n v="11"/>
    <n v="137"/>
    <x v="0"/>
    <x v="0"/>
    <n v="17218.310000000001"/>
  </r>
  <r>
    <n v="101182"/>
    <d v="2024-06-18T00:00:00"/>
    <d v="2024-06-22T00:00:00"/>
    <d v="2024-07-07T00:00:00"/>
    <s v="C5142"/>
    <x v="4"/>
    <s v="Saudi Arabia"/>
    <s v="P71902"/>
    <s v="Detergent Bag"/>
    <s v="FMCG"/>
    <s v="S769"/>
    <s v="Evergreen Partners"/>
    <s v="Middle East"/>
    <s v="WH 07"/>
    <s v="Toronto"/>
    <x v="2"/>
    <n v="417"/>
    <n v="44.2"/>
    <n v="18431.400000000001"/>
    <n v="11.57"/>
    <n v="15"/>
    <n v="19"/>
    <n v="1229"/>
    <x v="0"/>
    <x v="0"/>
    <n v="2539.4699999999998"/>
  </r>
  <r>
    <n v="101183"/>
    <d v="2024-09-19T00:00:00"/>
    <d v="2024-09-20T00:00:00"/>
    <d v="2024-10-05T00:00:00"/>
    <s v="C8871"/>
    <x v="1"/>
    <s v="South Africa"/>
    <s v="P23527"/>
    <s v="Office Chair"/>
    <s v="Furniture"/>
    <s v="S895"/>
    <s v="Atlas Sourcing"/>
    <s v="Europe"/>
    <s v="WH 05"/>
    <s v="Frankfurt"/>
    <x v="2"/>
    <n v="361"/>
    <n v="140.97999999999999"/>
    <n v="50893.78"/>
    <n v="14.6"/>
    <n v="15"/>
    <n v="16"/>
    <n v="147"/>
    <x v="0"/>
    <x v="0"/>
    <n v="8002.55"/>
  </r>
  <r>
    <n v="101184"/>
    <d v="2024-04-04T00:00:00"/>
    <d v="2024-04-05T00:00:00"/>
    <d v="2024-04-09T00:00:00"/>
    <s v="C4577"/>
    <x v="0"/>
    <s v="China"/>
    <s v="P80780"/>
    <s v="Bottled Water Case"/>
    <s v="FMCG"/>
    <s v="S772"/>
    <s v="Evergreen Partners"/>
    <s v="Africa"/>
    <s v="WH 02"/>
    <s v="Lahore"/>
    <x v="1"/>
    <n v="96"/>
    <n v="47.2"/>
    <n v="4531.2"/>
    <n v="34.729999999999997"/>
    <n v="4"/>
    <n v="5"/>
    <n v="4621"/>
    <x v="2"/>
    <x v="0"/>
    <n v="480.53"/>
  </r>
  <r>
    <n v="101185"/>
    <d v="2024-10-22T00:00:00"/>
    <d v="2024-10-27T00:00:00"/>
    <d v="2024-11-01T00:00:00"/>
    <s v="C7668"/>
    <x v="0"/>
    <s v="Vietnam"/>
    <s v="P90880"/>
    <s v="Router"/>
    <s v="Electronics"/>
    <s v="S103"/>
    <s v="Zenith Procurement"/>
    <s v="Middle East"/>
    <s v="WH 08"/>
    <s v="Chicago"/>
    <x v="1"/>
    <n v="187"/>
    <n v="359.62"/>
    <n v="67248.94"/>
    <n v="40.630000000000003"/>
    <n v="5"/>
    <n v="10"/>
    <n v="701"/>
    <x v="0"/>
    <x v="0"/>
    <n v="8522.52"/>
  </r>
  <r>
    <n v="101186"/>
    <d v="2024-07-30T00:00:00"/>
    <d v="2024-08-01T00:00:00"/>
    <d v="2024-08-11T00:00:00"/>
    <s v="C9425"/>
    <x v="2"/>
    <s v="United States"/>
    <s v="P10693"/>
    <s v="Vitamin Pack"/>
    <s v="Healthcare"/>
    <s v="S245"/>
    <s v="Pioneer Distribution"/>
    <s v="Asia"/>
    <s v="WH 02"/>
    <s v="Lahore"/>
    <x v="2"/>
    <n v="59"/>
    <n v="71.02"/>
    <n v="4190.18"/>
    <n v="9.09"/>
    <n v="10"/>
    <n v="12"/>
    <n v="2744"/>
    <x v="1"/>
    <x v="2"/>
    <n v="688.19"/>
  </r>
  <r>
    <n v="101187"/>
    <d v="2024-08-10T00:00:00"/>
    <d v="2024-08-13T00:00:00"/>
    <d v="2024-08-25T00:00:00"/>
    <s v="C3422"/>
    <x v="4"/>
    <s v="Qatar"/>
    <s v="P99199"/>
    <s v="Study Table"/>
    <s v="Furniture"/>
    <s v="S626"/>
    <s v="Evergreen Partners"/>
    <s v="Asia"/>
    <s v="WH 01"/>
    <s v="Karachi"/>
    <x v="3"/>
    <n v="421"/>
    <n v="101.83"/>
    <n v="42870.43"/>
    <n v="20.92"/>
    <n v="12"/>
    <n v="15"/>
    <n v="1325"/>
    <x v="0"/>
    <x v="0"/>
    <n v="10669.34"/>
  </r>
  <r>
    <n v="101188"/>
    <d v="2025-06-20T00:00:00"/>
    <d v="2025-06-25T00:00:00"/>
    <d v="2025-06-29T00:00:00"/>
    <s v="C4749"/>
    <x v="0"/>
    <s v="China"/>
    <s v="P45271"/>
    <s v="Snack Carton"/>
    <s v="FMCG"/>
    <s v="S787"/>
    <s v="Pioneer Distribution"/>
    <s v="Middle East"/>
    <s v="WH 08"/>
    <s v="Chicago"/>
    <x v="1"/>
    <n v="76"/>
    <n v="25.9"/>
    <n v="1968.4"/>
    <n v="33.44"/>
    <n v="4"/>
    <n v="9"/>
    <n v="3209"/>
    <x v="0"/>
    <x v="0"/>
    <n v="274.16000000000003"/>
  </r>
  <r>
    <n v="101189"/>
    <d v="2025-11-21T00:00:00"/>
    <d v="2025-11-25T00:00:00"/>
    <d v="2025-11-28T00:00:00"/>
    <s v="C5509"/>
    <x v="0"/>
    <s v="Indonesia"/>
    <s v="P97971"/>
    <s v="Bottled Water Case"/>
    <s v="FMCG"/>
    <s v="S108"/>
    <s v="Crescent Logistics"/>
    <s v="Middle East"/>
    <s v="WH 05"/>
    <s v="Frankfurt"/>
    <x v="0"/>
    <n v="429"/>
    <n v="48.82"/>
    <n v="20943.78"/>
    <n v="24.64"/>
    <n v="3"/>
    <n v="7"/>
    <n v="2695"/>
    <x v="1"/>
    <x v="2"/>
    <n v="2485.91"/>
  </r>
  <r>
    <n v="101190"/>
    <d v="2024-08-14T00:00:00"/>
    <d v="2024-08-19T00:00:00"/>
    <d v="2024-09-09T00:00:00"/>
    <s v="C3301"/>
    <x v="3"/>
    <s v="Sweden"/>
    <s v="P83246"/>
    <s v="Router"/>
    <s v="Electronics"/>
    <s v="S772"/>
    <s v="BlueRiver Trading"/>
    <s v="Europe"/>
    <s v="WH 05"/>
    <s v="Frankfurt"/>
    <x v="2"/>
    <n v="224"/>
    <n v="328.16"/>
    <n v="73507.839999999997"/>
    <n v="8.9600000000000009"/>
    <n v="21"/>
    <n v="26"/>
    <n v="1154"/>
    <x v="0"/>
    <x v="0"/>
    <n v="7061.44"/>
  </r>
  <r>
    <n v="101191"/>
    <d v="2025-02-19T00:00:00"/>
    <d v="2025-02-21T00:00:00"/>
    <d v="2025-03-02T00:00:00"/>
    <s v="C8921"/>
    <x v="1"/>
    <s v="Egypt"/>
    <s v="P11567"/>
    <s v="Shampoo Pack"/>
    <s v="FMCG"/>
    <s v="S874"/>
    <s v="Orion Supplies"/>
    <s v="North America"/>
    <s v="WH 03"/>
    <s v="Dubai"/>
    <x v="0"/>
    <n v="220"/>
    <n v="37.729999999999997"/>
    <n v="8300.6"/>
    <n v="18.71"/>
    <n v="9"/>
    <n v="11"/>
    <n v="4453"/>
    <x v="0"/>
    <x v="0"/>
    <n v="1283.56"/>
  </r>
  <r>
    <n v="101192"/>
    <d v="2024-06-13T00:00:00"/>
    <d v="2024-06-15T00:00:00"/>
    <d v="2024-06-28T00:00:00"/>
    <s v="C4894"/>
    <x v="2"/>
    <s v="United States"/>
    <s v="P75064"/>
    <s v="Shampoo Pack"/>
    <s v="FMCG"/>
    <s v="S964"/>
    <s v="Summit Supply Co"/>
    <s v="Europe"/>
    <s v="WH 08"/>
    <s v="Chicago"/>
    <x v="3"/>
    <n v="413"/>
    <n v="8.25"/>
    <n v="3407.25"/>
    <n v="20.73"/>
    <n v="13"/>
    <n v="15"/>
    <n v="3342"/>
    <x v="0"/>
    <x v="0"/>
    <n v="510.32"/>
  </r>
  <r>
    <n v="101193"/>
    <d v="2024-08-08T00:00:00"/>
    <d v="2024-08-09T00:00:00"/>
    <d v="2024-08-18T00:00:00"/>
    <s v="C8527"/>
    <x v="1"/>
    <s v="South Africa"/>
    <s v="P73372"/>
    <s v="Bookshelf"/>
    <s v="Furniture"/>
    <s v="S320"/>
    <s v="Pioneer Distribution"/>
    <s v="Asia"/>
    <s v="WH 10"/>
    <s v="Cairo"/>
    <x v="0"/>
    <n v="270"/>
    <n v="44.42"/>
    <n v="11993.4"/>
    <n v="20.13"/>
    <n v="9"/>
    <n v="10"/>
    <n v="1201"/>
    <x v="0"/>
    <x v="0"/>
    <n v="2012.52"/>
  </r>
  <r>
    <n v="101194"/>
    <d v="2024-02-07T00:00:00"/>
    <d v="2024-02-09T00:00:00"/>
    <d v="2024-02-15T00:00:00"/>
    <s v="C7154"/>
    <x v="0"/>
    <s v="Vietnam"/>
    <s v="P96762"/>
    <s v="Study Table"/>
    <s v="Furniture"/>
    <s v="S739"/>
    <s v="Atlas Sourcing"/>
    <s v="North America"/>
    <s v="WH 04"/>
    <s v="Istanbul"/>
    <x v="0"/>
    <n v="433"/>
    <n v="334.82"/>
    <n v="144977.06"/>
    <n v="24.75"/>
    <n v="6"/>
    <n v="8"/>
    <n v="1005"/>
    <x v="0"/>
    <x v="0"/>
    <n v="32798.79"/>
  </r>
  <r>
    <n v="101195"/>
    <d v="2024-12-27T00:00:00"/>
    <d v="2025-01-01T00:00:00"/>
    <d v="2025-01-26T00:00:00"/>
    <s v="C5517"/>
    <x v="0"/>
    <s v="Pakistan"/>
    <s v="P61464"/>
    <s v="Office Chair"/>
    <s v="Furniture"/>
    <s v="S557"/>
    <s v="Orion Supplies"/>
    <s v="North America"/>
    <s v="WH 04"/>
    <s v="Istanbul"/>
    <x v="2"/>
    <n v="221"/>
    <n v="251.68"/>
    <n v="55621.279999999999"/>
    <n v="12.05"/>
    <n v="25"/>
    <n v="30"/>
    <n v="1294"/>
    <x v="0"/>
    <x v="0"/>
    <n v="14948.1"/>
  </r>
  <r>
    <n v="101196"/>
    <d v="2025-02-20T00:00:00"/>
    <d v="2025-02-22T00:00:00"/>
    <d v="2025-03-02T00:00:00"/>
    <s v="C8097"/>
    <x v="3"/>
    <s v="Germany"/>
    <s v="P54735"/>
    <s v="Toothpaste Box"/>
    <s v="FMCG"/>
    <s v="S658"/>
    <s v="Orion Supplies"/>
    <s v="Middle East"/>
    <s v="WH 09"/>
    <s v="Johannesburg"/>
    <x v="0"/>
    <n v="498"/>
    <n v="16.47"/>
    <n v="8202.06"/>
    <n v="26.59"/>
    <n v="8"/>
    <n v="10"/>
    <n v="3046"/>
    <x v="0"/>
    <x v="0"/>
    <n v="1131.94"/>
  </r>
  <r>
    <n v="101197"/>
    <d v="2024-09-14T00:00:00"/>
    <d v="2024-09-14T00:00:00"/>
    <d v="2024-09-18T00:00:00"/>
    <s v="C9146"/>
    <x v="2"/>
    <s v="Canada"/>
    <s v="P61389"/>
    <s v="First Aid Kit"/>
    <s v="Healthcare"/>
    <s v="S702"/>
    <s v="Vertex Manufacturing"/>
    <s v="Europe"/>
    <s v="WH 09"/>
    <s v="Johannesburg"/>
    <x v="0"/>
    <n v="447"/>
    <n v="24.24"/>
    <n v="10835.28"/>
    <n v="25.15"/>
    <n v="4"/>
    <n v="4"/>
    <n v="2875"/>
    <x v="2"/>
    <x v="0"/>
    <n v="1801.6"/>
  </r>
  <r>
    <n v="101198"/>
    <d v="2024-07-31T00:00:00"/>
    <d v="2024-08-04T00:00:00"/>
    <d v="2024-08-15T00:00:00"/>
    <s v="C1142"/>
    <x v="4"/>
    <s v="United Arab Emirates"/>
    <s v="P48769"/>
    <s v="Toothpaste Box"/>
    <s v="FMCG"/>
    <s v="S608"/>
    <s v="BlueRiver Trading"/>
    <s v="North America"/>
    <s v="WH 06"/>
    <s v="Amsterdam"/>
    <x v="3"/>
    <n v="147"/>
    <n v="23.71"/>
    <n v="3485.37"/>
    <n v="14.26"/>
    <n v="11"/>
    <n v="15"/>
    <n v="1760"/>
    <x v="1"/>
    <x v="2"/>
    <n v="536.79"/>
  </r>
  <r>
    <n v="101199"/>
    <d v="2025-09-25T00:00:00"/>
    <d v="2025-09-25T00:00:00"/>
    <d v="2025-10-11T00:00:00"/>
    <s v="C4174"/>
    <x v="0"/>
    <s v="Malaysia"/>
    <s v="P97905"/>
    <s v="T Shirt Bundle"/>
    <s v="Apparel"/>
    <s v="S982"/>
    <s v="Evergreen Partners"/>
    <s v="Europe"/>
    <s v="WH 08"/>
    <s v="Chicago"/>
    <x v="2"/>
    <n v="49"/>
    <n v="84.7"/>
    <n v="4150.3"/>
    <n v="8.91"/>
    <n v="16"/>
    <n v="16"/>
    <n v="1262"/>
    <x v="0"/>
    <x v="0"/>
    <n v="1054.3900000000001"/>
  </r>
  <r>
    <n v="101200"/>
    <d v="2025-01-29T00:00:00"/>
    <d v="2025-01-29T00:00:00"/>
    <d v="2025-02-20T00:00:00"/>
    <s v="C9465"/>
    <x v="0"/>
    <s v="China"/>
    <s v="P10589"/>
    <s v="Socks Pack"/>
    <s v="Apparel"/>
    <s v="S752"/>
    <s v="Zenith Procurement"/>
    <s v="Asia"/>
    <s v="WH 02"/>
    <s v="Lahore"/>
    <x v="2"/>
    <n v="297"/>
    <n v="115.49"/>
    <n v="34300.53"/>
    <n v="9.9499999999999993"/>
    <n v="22"/>
    <n v="22"/>
    <n v="2140"/>
    <x v="0"/>
    <x v="0"/>
    <n v="8242.07"/>
  </r>
  <r>
    <n v="101201"/>
    <d v="2025-06-28T00:00:00"/>
    <d v="2025-07-02T00:00:00"/>
    <d v="2025-07-26T00:00:00"/>
    <s v="C1637"/>
    <x v="4"/>
    <s v="Qatar"/>
    <s v="P25828"/>
    <s v="Face Mask Box"/>
    <s v="Healthcare"/>
    <s v="S396"/>
    <s v="BlueRiver Trading"/>
    <s v="Africa"/>
    <s v="WH 10"/>
    <s v="Cairo"/>
    <x v="2"/>
    <n v="94"/>
    <n v="37.76"/>
    <n v="3549.44"/>
    <n v="9.73"/>
    <n v="24"/>
    <n v="28"/>
    <n v="4328"/>
    <x v="0"/>
    <x v="0"/>
    <n v="508.44"/>
  </r>
  <r>
    <n v="101202"/>
    <d v="2025-04-02T00:00:00"/>
    <d v="2025-04-05T00:00:00"/>
    <d v="2025-04-29T00:00:00"/>
    <s v="C1580"/>
    <x v="2"/>
    <s v="United States"/>
    <s v="P42209"/>
    <s v="Hand Sanitizer Case"/>
    <s v="Healthcare"/>
    <s v="S319"/>
    <s v="Evergreen Partners"/>
    <s v="Europe"/>
    <s v="WH 06"/>
    <s v="Amsterdam"/>
    <x v="2"/>
    <n v="428"/>
    <n v="52.71"/>
    <n v="22559.88"/>
    <n v="15.82"/>
    <n v="24"/>
    <n v="27"/>
    <n v="1670"/>
    <x v="0"/>
    <x v="0"/>
    <n v="2136.0500000000002"/>
  </r>
  <r>
    <n v="101203"/>
    <d v="2025-04-25T00:00:00"/>
    <d v="2025-04-29T00:00:00"/>
    <d v="2025-05-19T00:00:00"/>
    <s v="C2865"/>
    <x v="2"/>
    <s v="Mexico"/>
    <s v="P38887"/>
    <s v="Office Chair"/>
    <s v="Furniture"/>
    <s v="S824"/>
    <s v="Zenith Procurement"/>
    <s v="Asia"/>
    <s v="WH 10"/>
    <s v="Cairo"/>
    <x v="2"/>
    <n v="313"/>
    <n v="299.49"/>
    <n v="93740.37"/>
    <n v="13.72"/>
    <n v="20"/>
    <n v="24"/>
    <n v="1875"/>
    <x v="0"/>
    <x v="0"/>
    <n v="23857.919999999998"/>
  </r>
  <r>
    <n v="101204"/>
    <d v="2025-01-19T00:00:00"/>
    <d v="2025-01-23T00:00:00"/>
    <d v="2025-02-05T00:00:00"/>
    <s v="C7066"/>
    <x v="4"/>
    <s v="Turkey"/>
    <s v="P36723"/>
    <s v="Detergent Bag"/>
    <s v="FMCG"/>
    <s v="S600"/>
    <s v="Vertex Manufacturing"/>
    <s v="Asia"/>
    <s v="WH 04"/>
    <s v="Istanbul"/>
    <x v="3"/>
    <n v="392"/>
    <n v="20.96"/>
    <n v="8216.32"/>
    <n v="20.22"/>
    <n v="13"/>
    <n v="17"/>
    <n v="4125"/>
    <x v="1"/>
    <x v="3"/>
    <n v="816.6"/>
  </r>
  <r>
    <n v="101205"/>
    <d v="2025-09-21T00:00:00"/>
    <d v="2025-09-22T00:00:00"/>
    <d v="2025-09-26T00:00:00"/>
    <s v="C7240"/>
    <x v="1"/>
    <s v="South Africa"/>
    <s v="P57565"/>
    <s v="Denim Jeans"/>
    <s v="Apparel"/>
    <s v="S738"/>
    <s v="Evergreen Partners"/>
    <s v="Europe"/>
    <s v="WH 10"/>
    <s v="Cairo"/>
    <x v="0"/>
    <n v="255"/>
    <n v="114.67"/>
    <n v="29240.85"/>
    <n v="19.7"/>
    <n v="4"/>
    <n v="5"/>
    <n v="2274"/>
    <x v="2"/>
    <x v="0"/>
    <n v="7764.71"/>
  </r>
  <r>
    <n v="101206"/>
    <d v="2025-10-02T00:00:00"/>
    <d v="2025-10-06T00:00:00"/>
    <d v="2025-10-13T00:00:00"/>
    <s v="C9174"/>
    <x v="0"/>
    <s v="India"/>
    <s v="P19864"/>
    <s v="Sportswear Set"/>
    <s v="Apparel"/>
    <s v="S890"/>
    <s v="Nova Industrial"/>
    <s v="Europe"/>
    <s v="WH 03"/>
    <s v="Dubai"/>
    <x v="0"/>
    <n v="343"/>
    <n v="73.39"/>
    <n v="25172.77"/>
    <n v="22.2"/>
    <n v="7"/>
    <n v="11"/>
    <n v="820"/>
    <x v="0"/>
    <x v="0"/>
    <n v="6620.58"/>
  </r>
  <r>
    <n v="101207"/>
    <d v="2024-07-07T00:00:00"/>
    <d v="2024-07-09T00:00:00"/>
    <d v="2024-07-15T00:00:00"/>
    <s v="C9089"/>
    <x v="3"/>
    <s v="Poland"/>
    <s v="P61772"/>
    <s v="Smart Watch"/>
    <s v="Electronics"/>
    <s v="S973"/>
    <s v="Vertex Manufacturing"/>
    <s v="Middle East"/>
    <s v="WH 06"/>
    <s v="Amsterdam"/>
    <x v="3"/>
    <n v="288"/>
    <n v="123.96"/>
    <n v="35700.480000000003"/>
    <n v="17.690000000000001"/>
    <n v="6"/>
    <n v="8"/>
    <n v="591"/>
    <x v="1"/>
    <x v="2"/>
    <n v="4932.51"/>
  </r>
  <r>
    <n v="101208"/>
    <d v="2024-06-18T00:00:00"/>
    <d v="2024-06-23T00:00:00"/>
    <d v="2024-07-12T00:00:00"/>
    <s v="C5864"/>
    <x v="2"/>
    <s v="Canada"/>
    <s v="P28632"/>
    <s v="Router"/>
    <s v="Electronics"/>
    <s v="S543"/>
    <s v="Evergreen Partners"/>
    <s v="North America"/>
    <s v="WH 01"/>
    <s v="Karachi"/>
    <x v="2"/>
    <n v="334"/>
    <n v="219.51"/>
    <n v="73316.34"/>
    <n v="10.45"/>
    <n v="19"/>
    <n v="24"/>
    <n v="1179"/>
    <x v="1"/>
    <x v="1"/>
    <n v="-142.46"/>
  </r>
  <r>
    <n v="101209"/>
    <d v="2025-03-13T00:00:00"/>
    <d v="2025-03-15T00:00:00"/>
    <d v="2025-04-02T00:00:00"/>
    <s v="C7030"/>
    <x v="2"/>
    <s v="Canada"/>
    <s v="P30995"/>
    <s v="Toothpaste Box"/>
    <s v="FMCG"/>
    <s v="S848"/>
    <s v="Summit Supply Co"/>
    <s v="Asia"/>
    <s v="WH 04"/>
    <s v="Istanbul"/>
    <x v="2"/>
    <n v="47"/>
    <n v="13.63"/>
    <n v="640.61"/>
    <n v="8.8800000000000008"/>
    <n v="18"/>
    <n v="20"/>
    <n v="4816"/>
    <x v="1"/>
    <x v="1"/>
    <n v="-171.44"/>
  </r>
  <r>
    <n v="101210"/>
    <d v="2024-02-02T00:00:00"/>
    <d v="2024-02-07T00:00:00"/>
    <d v="2024-02-21T00:00:00"/>
    <s v="C3392"/>
    <x v="1"/>
    <s v="Egypt"/>
    <s v="P38688"/>
    <s v="Hand Sanitizer Case"/>
    <s v="Healthcare"/>
    <s v="S923"/>
    <s v="Crescent Logistics"/>
    <s v="Middle East"/>
    <s v="WH 01"/>
    <s v="Karachi"/>
    <x v="2"/>
    <n v="59"/>
    <n v="76.959999999999994"/>
    <n v="4540.6400000000003"/>
    <n v="9.09"/>
    <n v="14"/>
    <n v="19"/>
    <n v="1601"/>
    <x v="0"/>
    <x v="0"/>
    <n v="588.37"/>
  </r>
  <r>
    <n v="101211"/>
    <d v="2024-07-05T00:00:00"/>
    <d v="2024-07-06T00:00:00"/>
    <d v="2024-07-15T00:00:00"/>
    <s v="C2846"/>
    <x v="4"/>
    <s v="United Arab Emirates"/>
    <s v="P65744"/>
    <s v="Shampoo Pack"/>
    <s v="FMCG"/>
    <s v="S793"/>
    <s v="Crescent Logistics"/>
    <s v="Europe"/>
    <s v="WH 03"/>
    <s v="Dubai"/>
    <x v="0"/>
    <n v="361"/>
    <n v="29.55"/>
    <n v="10667.55"/>
    <n v="22.71"/>
    <n v="9"/>
    <n v="10"/>
    <n v="2135"/>
    <x v="0"/>
    <x v="0"/>
    <n v="511"/>
  </r>
  <r>
    <n v="101212"/>
    <d v="2025-05-14T00:00:00"/>
    <d v="2025-05-14T00:00:00"/>
    <d v="2025-05-18T00:00:00"/>
    <s v="C9849"/>
    <x v="3"/>
    <s v="Netherlands"/>
    <s v="P68397"/>
    <s v="First Aid Kit"/>
    <s v="Healthcare"/>
    <s v="S676"/>
    <s v="Atlas Sourcing"/>
    <s v="Africa"/>
    <s v="WH 02"/>
    <s v="Lahore"/>
    <x v="0"/>
    <n v="33"/>
    <n v="20.04"/>
    <n v="661.32"/>
    <n v="13.41"/>
    <n v="4"/>
    <n v="4"/>
    <n v="3172"/>
    <x v="2"/>
    <x v="0"/>
    <n v="28.56"/>
  </r>
  <r>
    <n v="101213"/>
    <d v="2025-04-09T00:00:00"/>
    <d v="2025-04-10T00:00:00"/>
    <d v="2025-04-20T00:00:00"/>
    <s v="C4563"/>
    <x v="4"/>
    <s v="Qatar"/>
    <s v="P38205"/>
    <s v="Toothpaste Box"/>
    <s v="FMCG"/>
    <s v="S790"/>
    <s v="Atlas Sourcing"/>
    <s v="Middle East"/>
    <s v="WH 03"/>
    <s v="Dubai"/>
    <x v="3"/>
    <n v="276"/>
    <n v="30.32"/>
    <n v="8368.32"/>
    <n v="12.89"/>
    <n v="10"/>
    <n v="11"/>
    <n v="3891"/>
    <x v="0"/>
    <x v="0"/>
    <n v="1166.3699999999999"/>
  </r>
  <r>
    <n v="101214"/>
    <d v="2025-12-08T00:00:00"/>
    <d v="2025-12-11T00:00:00"/>
    <d v="2026-01-05T00:00:00"/>
    <s v="C6462"/>
    <x v="2"/>
    <s v="Canada"/>
    <s v="P66049"/>
    <s v="Face Mask Box"/>
    <s v="Healthcare"/>
    <s v="S486"/>
    <s v="Atlas Sourcing"/>
    <s v="North America"/>
    <s v="WH 08"/>
    <s v="Chicago"/>
    <x v="2"/>
    <n v="403"/>
    <n v="74.989999999999995"/>
    <n v="30220.97"/>
    <n v="11.38"/>
    <n v="25"/>
    <n v="28"/>
    <n v="4444"/>
    <x v="0"/>
    <x v="0"/>
    <n v="2838.4"/>
  </r>
  <r>
    <n v="101215"/>
    <d v="2024-01-17T00:00:00"/>
    <d v="2024-01-22T00:00:00"/>
    <d v="2024-01-26T00:00:00"/>
    <s v="C1841"/>
    <x v="2"/>
    <s v="Canada"/>
    <s v="P55706"/>
    <s v="Study Table"/>
    <s v="Furniture"/>
    <s v="S160"/>
    <s v="Pioneer Distribution"/>
    <s v="Middle East"/>
    <s v="WH 07"/>
    <s v="Toronto"/>
    <x v="0"/>
    <n v="303"/>
    <n v="49.78"/>
    <n v="15083.34"/>
    <n v="21.06"/>
    <n v="4"/>
    <n v="9"/>
    <n v="1372"/>
    <x v="0"/>
    <x v="0"/>
    <n v="3032.98"/>
  </r>
  <r>
    <n v="101216"/>
    <d v="2025-02-23T00:00:00"/>
    <d v="2025-02-24T00:00:00"/>
    <d v="2025-03-14T00:00:00"/>
    <s v="C1899"/>
    <x v="3"/>
    <s v="Sweden"/>
    <s v="P29861"/>
    <s v="Office Chair"/>
    <s v="Furniture"/>
    <s v="S820"/>
    <s v="Evergreen Partners"/>
    <s v="Middle East"/>
    <s v="WH 02"/>
    <s v="Lahore"/>
    <x v="3"/>
    <n v="287"/>
    <n v="168.6"/>
    <n v="48388.2"/>
    <n v="17.670000000000002"/>
    <n v="18"/>
    <n v="19"/>
    <n v="1683"/>
    <x v="1"/>
    <x v="3"/>
    <n v="8180.02"/>
  </r>
  <r>
    <n v="101217"/>
    <d v="2025-08-14T00:00:00"/>
    <d v="2025-08-19T00:00:00"/>
    <d v="2025-08-23T00:00:00"/>
    <s v="C5803"/>
    <x v="1"/>
    <s v="Morocco"/>
    <s v="P92897"/>
    <s v="Detergent Bag"/>
    <s v="FMCG"/>
    <s v="S489"/>
    <s v="Crescent Logistics"/>
    <s v="North America"/>
    <s v="WH 07"/>
    <s v="Toronto"/>
    <x v="1"/>
    <n v="291"/>
    <n v="15.1"/>
    <n v="4394.1000000000004"/>
    <n v="47.37"/>
    <n v="4"/>
    <n v="9"/>
    <n v="2934"/>
    <x v="0"/>
    <x v="0"/>
    <n v="206.66"/>
  </r>
  <r>
    <n v="101218"/>
    <d v="2025-07-21T00:00:00"/>
    <d v="2025-07-21T00:00:00"/>
    <d v="2025-08-01T00:00:00"/>
    <s v="C9120"/>
    <x v="2"/>
    <s v="Canada"/>
    <s v="P59047"/>
    <s v="Sportswear Set"/>
    <s v="Apparel"/>
    <s v="S157"/>
    <s v="Summit Supply Co"/>
    <s v="Africa"/>
    <s v="WH 08"/>
    <s v="Chicago"/>
    <x v="3"/>
    <n v="82"/>
    <n v="94.66"/>
    <n v="7762.12"/>
    <n v="12.68"/>
    <n v="11"/>
    <n v="11"/>
    <n v="1951"/>
    <x v="0"/>
    <x v="0"/>
    <n v="1705.59"/>
  </r>
  <r>
    <n v="101219"/>
    <d v="2024-01-19T00:00:00"/>
    <d v="2024-01-19T00:00:00"/>
    <d v="2024-01-27T00:00:00"/>
    <s v="C3802"/>
    <x v="2"/>
    <s v="United States"/>
    <s v="P17312"/>
    <s v="Study Table"/>
    <s v="Furniture"/>
    <s v="S757"/>
    <s v="Crescent Logistics"/>
    <s v="Europe"/>
    <s v="WH 01"/>
    <s v="Karachi"/>
    <x v="0"/>
    <n v="90"/>
    <n v="143.1"/>
    <n v="12879"/>
    <n v="15.03"/>
    <n v="8"/>
    <n v="8"/>
    <n v="1116"/>
    <x v="1"/>
    <x v="1"/>
    <n v="-40.39"/>
  </r>
  <r>
    <n v="101220"/>
    <d v="2024-07-22T00:00:00"/>
    <d v="2024-07-25T00:00:00"/>
    <d v="2024-08-02T00:00:00"/>
    <s v="C7891"/>
    <x v="1"/>
    <s v="Nigeria"/>
    <s v="P97513"/>
    <s v="Floor Lamp"/>
    <s v="Furniture"/>
    <s v="S626"/>
    <s v="Evergreen Partners"/>
    <s v="Middle East"/>
    <s v="WH 06"/>
    <s v="Amsterdam"/>
    <x v="0"/>
    <n v="153"/>
    <n v="139.01"/>
    <n v="21268.53"/>
    <n v="16.809999999999999"/>
    <n v="8"/>
    <n v="11"/>
    <n v="1551"/>
    <x v="1"/>
    <x v="2"/>
    <n v="5923.29"/>
  </r>
  <r>
    <n v="101221"/>
    <d v="2025-07-05T00:00:00"/>
    <d v="2025-07-10T00:00:00"/>
    <d v="2025-07-22T00:00:00"/>
    <s v="C4549"/>
    <x v="4"/>
    <s v="Qatar"/>
    <s v="P59766"/>
    <s v="Vitamin Pack"/>
    <s v="Healthcare"/>
    <s v="S106"/>
    <s v="Evergreen Partners"/>
    <s v="Asia"/>
    <s v="WH 02"/>
    <s v="Lahore"/>
    <x v="3"/>
    <n v="173"/>
    <n v="45.63"/>
    <n v="7893.99"/>
    <n v="14.9"/>
    <n v="12"/>
    <n v="17"/>
    <n v="2100"/>
    <x v="1"/>
    <x v="2"/>
    <n v="669.62"/>
  </r>
  <r>
    <n v="101222"/>
    <d v="2025-07-01T00:00:00"/>
    <d v="2025-07-03T00:00:00"/>
    <d v="2025-07-14T00:00:00"/>
    <s v="C1749"/>
    <x v="1"/>
    <s v="Kenya"/>
    <s v="P31676"/>
    <s v="Bottled Water Case"/>
    <s v="FMCG"/>
    <s v="S400"/>
    <s v="Nova Industrial"/>
    <s v="North America"/>
    <s v="WH 09"/>
    <s v="Johannesburg"/>
    <x v="3"/>
    <n v="97"/>
    <n v="26.07"/>
    <n v="2528.79"/>
    <n v="13.05"/>
    <n v="11"/>
    <n v="13"/>
    <n v="4924"/>
    <x v="0"/>
    <x v="0"/>
    <n v="191.28"/>
  </r>
  <r>
    <n v="101223"/>
    <d v="2024-04-23T00:00:00"/>
    <d v="2024-04-26T00:00:00"/>
    <d v="2024-05-10T00:00:00"/>
    <s v="C5732"/>
    <x v="2"/>
    <s v="Mexico"/>
    <s v="P62620"/>
    <s v="Power Bank"/>
    <s v="Electronics"/>
    <s v="S924"/>
    <s v="Evergreen Partners"/>
    <s v="Europe"/>
    <s v="WH 04"/>
    <s v="Istanbul"/>
    <x v="3"/>
    <n v="320"/>
    <n v="433.28"/>
    <n v="138649.60000000001"/>
    <n v="18.47"/>
    <n v="14"/>
    <n v="17"/>
    <n v="989"/>
    <x v="0"/>
    <x v="0"/>
    <n v="13732.74"/>
  </r>
  <r>
    <n v="101224"/>
    <d v="2025-02-07T00:00:00"/>
    <d v="2025-02-07T00:00:00"/>
    <d v="2025-02-21T00:00:00"/>
    <s v="C8632"/>
    <x v="0"/>
    <s v="Vietnam"/>
    <s v="P26444"/>
    <s v="T Shirt Bundle"/>
    <s v="Apparel"/>
    <s v="S607"/>
    <s v="Crescent Logistics"/>
    <s v="North America"/>
    <s v="WH 10"/>
    <s v="Cairo"/>
    <x v="3"/>
    <n v="132"/>
    <n v="58.57"/>
    <n v="7731.24"/>
    <n v="13.9"/>
    <n v="14"/>
    <n v="14"/>
    <n v="1336"/>
    <x v="0"/>
    <x v="0"/>
    <n v="1685.02"/>
  </r>
  <r>
    <n v="101225"/>
    <d v="2024-04-22T00:00:00"/>
    <d v="2024-04-22T00:00:00"/>
    <d v="2024-05-05T00:00:00"/>
    <s v="C3964"/>
    <x v="3"/>
    <s v="Italy"/>
    <s v="P18104"/>
    <s v="Detergent Bag"/>
    <s v="FMCG"/>
    <s v="S386"/>
    <s v="Vertex Manufacturing"/>
    <s v="Europe"/>
    <s v="WH 01"/>
    <s v="Karachi"/>
    <x v="3"/>
    <n v="164"/>
    <n v="19.18"/>
    <n v="3145.52"/>
    <n v="10.87"/>
    <n v="13"/>
    <n v="13"/>
    <n v="3553"/>
    <x v="1"/>
    <x v="3"/>
    <n v="545.47"/>
  </r>
  <r>
    <n v="101226"/>
    <d v="2024-09-22T00:00:00"/>
    <d v="2024-09-24T00:00:00"/>
    <d v="2024-10-03T00:00:00"/>
    <s v="C2702"/>
    <x v="0"/>
    <s v="China"/>
    <s v="P72723"/>
    <s v="Floor Lamp"/>
    <s v="Furniture"/>
    <s v="S754"/>
    <s v="Vertex Manufacturing"/>
    <s v="Asia"/>
    <s v="WH 09"/>
    <s v="Johannesburg"/>
    <x v="0"/>
    <n v="213"/>
    <n v="303.89999999999998"/>
    <n v="64730.7"/>
    <n v="13.71"/>
    <n v="9"/>
    <n v="11"/>
    <n v="813"/>
    <x v="1"/>
    <x v="2"/>
    <n v="12317.78"/>
  </r>
  <r>
    <n v="101227"/>
    <d v="2024-03-02T00:00:00"/>
    <d v="2024-03-03T00:00:00"/>
    <d v="2024-03-21T00:00:00"/>
    <s v="C6177"/>
    <x v="4"/>
    <s v="Saudi Arabia"/>
    <s v="P21160"/>
    <s v="Bookshelf"/>
    <s v="Furniture"/>
    <s v="S576"/>
    <s v="Nova Industrial"/>
    <s v="Africa"/>
    <s v="WH 09"/>
    <s v="Johannesburg"/>
    <x v="2"/>
    <n v="385"/>
    <n v="336.14"/>
    <n v="129413.9"/>
    <n v="15.04"/>
    <n v="18"/>
    <n v="19"/>
    <n v="985"/>
    <x v="0"/>
    <x v="0"/>
    <n v="21261.41"/>
  </r>
  <r>
    <n v="101228"/>
    <d v="2025-02-12T00:00:00"/>
    <d v="2025-02-14T00:00:00"/>
    <d v="2025-02-27T00:00:00"/>
    <s v="C1303"/>
    <x v="1"/>
    <s v="Nigeria"/>
    <s v="P44930"/>
    <s v="Office Chair"/>
    <s v="Furniture"/>
    <s v="S442"/>
    <s v="BlueRiver Trading"/>
    <s v="Africa"/>
    <s v="WH 06"/>
    <s v="Amsterdam"/>
    <x v="3"/>
    <n v="260"/>
    <n v="334.15"/>
    <n v="86879"/>
    <n v="12.6"/>
    <n v="13"/>
    <n v="15"/>
    <n v="1218"/>
    <x v="0"/>
    <x v="0"/>
    <n v="16283.84"/>
  </r>
  <r>
    <n v="101229"/>
    <d v="2024-01-01T00:00:00"/>
    <d v="2024-01-01T00:00:00"/>
    <d v="2024-01-14T00:00:00"/>
    <s v="C8466"/>
    <x v="2"/>
    <s v="Mexico"/>
    <s v="P90631"/>
    <s v="Bottled Water Case"/>
    <s v="FMCG"/>
    <s v="S396"/>
    <s v="Nova Industrial"/>
    <s v="Asia"/>
    <s v="WH 03"/>
    <s v="Dubai"/>
    <x v="2"/>
    <n v="474"/>
    <n v="45.19"/>
    <n v="21420.06"/>
    <n v="16.66"/>
    <n v="13"/>
    <n v="13"/>
    <n v="4178"/>
    <x v="0"/>
    <x v="0"/>
    <n v="2305.91"/>
  </r>
  <r>
    <n v="101230"/>
    <d v="2025-05-24T00:00:00"/>
    <d v="2025-05-24T00:00:00"/>
    <d v="2025-06-03T00:00:00"/>
    <s v="C2982"/>
    <x v="0"/>
    <s v="Pakistan"/>
    <s v="P45765"/>
    <s v="Power Bank"/>
    <s v="Electronics"/>
    <s v="S786"/>
    <s v="Summit Supply Co"/>
    <s v="Middle East"/>
    <s v="WH 05"/>
    <s v="Frankfurt"/>
    <x v="3"/>
    <n v="176"/>
    <n v="205.93"/>
    <n v="36243.68"/>
    <n v="14.97"/>
    <n v="10"/>
    <n v="10"/>
    <n v="959"/>
    <x v="0"/>
    <x v="0"/>
    <n v="5592.25"/>
  </r>
  <r>
    <n v="101231"/>
    <d v="2024-02-19T00:00:00"/>
    <d v="2024-02-20T00:00:00"/>
    <d v="2024-02-28T00:00:00"/>
    <s v="C1568"/>
    <x v="3"/>
    <s v="France"/>
    <s v="P25701"/>
    <s v="Denim Jeans"/>
    <s v="Apparel"/>
    <s v="S629"/>
    <s v="Crescent Logistics"/>
    <s v="Europe"/>
    <s v="WH 08"/>
    <s v="Chicago"/>
    <x v="3"/>
    <n v="281"/>
    <n v="57.74"/>
    <n v="16224.94"/>
    <n v="12.98"/>
    <n v="8"/>
    <n v="9"/>
    <n v="3490"/>
    <x v="0"/>
    <x v="0"/>
    <n v="2210.56"/>
  </r>
  <r>
    <n v="101232"/>
    <d v="2025-11-01T00:00:00"/>
    <d v="2025-11-04T00:00:00"/>
    <d v="2025-11-22T00:00:00"/>
    <s v="C1559"/>
    <x v="1"/>
    <s v="South Africa"/>
    <s v="P56097"/>
    <s v="Storage Cabinet"/>
    <s v="Furniture"/>
    <s v="S577"/>
    <s v="Atlas Sourcing"/>
    <s v="Europe"/>
    <s v="WH 04"/>
    <s v="Istanbul"/>
    <x v="2"/>
    <n v="489"/>
    <n v="280.55"/>
    <n v="137188.95000000001"/>
    <n v="16.93"/>
    <n v="18"/>
    <n v="21"/>
    <n v="1519"/>
    <x v="1"/>
    <x v="2"/>
    <n v="35716.769999999997"/>
  </r>
  <r>
    <n v="101233"/>
    <d v="2025-09-28T00:00:00"/>
    <d v="2025-10-01T00:00:00"/>
    <d v="2025-10-07T00:00:00"/>
    <s v="C1125"/>
    <x v="3"/>
    <s v="Sweden"/>
    <s v="P76735"/>
    <s v="Snack Carton"/>
    <s v="FMCG"/>
    <s v="S763"/>
    <s v="Evergreen Partners"/>
    <s v="Middle East"/>
    <s v="WH 10"/>
    <s v="Cairo"/>
    <x v="0"/>
    <n v="191"/>
    <n v="31.7"/>
    <n v="6054.7"/>
    <n v="17.89"/>
    <n v="6"/>
    <n v="9"/>
    <n v="3365"/>
    <x v="0"/>
    <x v="0"/>
    <n v="374.67"/>
  </r>
  <r>
    <n v="101234"/>
    <d v="2025-04-07T00:00:00"/>
    <d v="2025-04-09T00:00:00"/>
    <d v="2025-04-16T00:00:00"/>
    <s v="C6024"/>
    <x v="3"/>
    <s v="Germany"/>
    <s v="P34691"/>
    <s v="T Shirt Bundle"/>
    <s v="Apparel"/>
    <s v="S713"/>
    <s v="Evergreen Partners"/>
    <s v="Asia"/>
    <s v="WH 05"/>
    <s v="Frankfurt"/>
    <x v="0"/>
    <n v="17"/>
    <n v="60.34"/>
    <n v="1025.78"/>
    <n v="12.96"/>
    <n v="7"/>
    <n v="9"/>
    <n v="1763"/>
    <x v="0"/>
    <x v="0"/>
    <n v="255.32"/>
  </r>
  <r>
    <n v="101235"/>
    <d v="2024-03-28T00:00:00"/>
    <d v="2024-03-29T00:00:00"/>
    <d v="2024-04-03T00:00:00"/>
    <s v="C1163"/>
    <x v="2"/>
    <s v="United States"/>
    <s v="P62540"/>
    <s v="First Aid Kit"/>
    <s v="Healthcare"/>
    <s v="S755"/>
    <s v="Pioneer Distribution"/>
    <s v="Middle East"/>
    <s v="WH 02"/>
    <s v="Lahore"/>
    <x v="0"/>
    <n v="344"/>
    <n v="71.239999999999995"/>
    <n v="24506.560000000001"/>
    <n v="22.23"/>
    <n v="5"/>
    <n v="6"/>
    <n v="2077"/>
    <x v="1"/>
    <x v="2"/>
    <n v="4245.05"/>
  </r>
  <r>
    <n v="101236"/>
    <d v="2024-11-01T00:00:00"/>
    <d v="2024-11-04T00:00:00"/>
    <d v="2024-11-14T00:00:00"/>
    <s v="C7590"/>
    <x v="0"/>
    <s v="Bangladesh"/>
    <s v="P41432"/>
    <s v="Router"/>
    <s v="Electronics"/>
    <s v="S590"/>
    <s v="Orion Supplies"/>
    <s v="Asia"/>
    <s v="WH 04"/>
    <s v="Istanbul"/>
    <x v="0"/>
    <n v="442"/>
    <n v="317.24"/>
    <n v="140220.07999999999"/>
    <n v="18.52"/>
    <n v="10"/>
    <n v="13"/>
    <n v="1621"/>
    <x v="0"/>
    <x v="0"/>
    <n v="16263.26"/>
  </r>
  <r>
    <n v="101237"/>
    <d v="2024-08-10T00:00:00"/>
    <d v="2024-08-13T00:00:00"/>
    <d v="2024-08-19T00:00:00"/>
    <s v="C1957"/>
    <x v="4"/>
    <s v="Turkey"/>
    <s v="P83823"/>
    <s v="Hand Sanitizer Case"/>
    <s v="Healthcare"/>
    <s v="S206"/>
    <s v="Pioneer Distribution"/>
    <s v="Middle East"/>
    <s v="WH 06"/>
    <s v="Amsterdam"/>
    <x v="0"/>
    <n v="129"/>
    <n v="22.13"/>
    <n v="2854.77"/>
    <n v="11.95"/>
    <n v="6"/>
    <n v="9"/>
    <n v="1901"/>
    <x v="0"/>
    <x v="0"/>
    <n v="501.07"/>
  </r>
  <r>
    <n v="101238"/>
    <d v="2025-07-02T00:00:00"/>
    <d v="2025-07-02T00:00:00"/>
    <d v="2025-07-11T00:00:00"/>
    <s v="C7406"/>
    <x v="2"/>
    <s v="Canada"/>
    <s v="P43924"/>
    <s v="Hoodie"/>
    <s v="Apparel"/>
    <s v="S909"/>
    <s v="Atlas Sourcing"/>
    <s v="North America"/>
    <s v="WH 07"/>
    <s v="Toronto"/>
    <x v="3"/>
    <n v="353"/>
    <n v="75.66"/>
    <n v="26707.98"/>
    <n v="14.27"/>
    <n v="9"/>
    <n v="9"/>
    <n v="2208"/>
    <x v="0"/>
    <x v="0"/>
    <n v="6585.92"/>
  </r>
  <r>
    <n v="101239"/>
    <d v="2025-06-27T00:00:00"/>
    <d v="2025-06-30T00:00:00"/>
    <d v="2025-07-10T00:00:00"/>
    <s v="C8458"/>
    <x v="1"/>
    <s v="South Africa"/>
    <s v="P94075"/>
    <s v="Hoodie"/>
    <s v="Apparel"/>
    <s v="S507"/>
    <s v="BlueRiver Trading"/>
    <s v="Asia"/>
    <s v="WH 08"/>
    <s v="Chicago"/>
    <x v="3"/>
    <n v="49"/>
    <n v="13.48"/>
    <n v="660.52"/>
    <n v="11.88"/>
    <n v="10"/>
    <n v="13"/>
    <n v="2309"/>
    <x v="0"/>
    <x v="0"/>
    <n v="94.29"/>
  </r>
  <r>
    <n v="101240"/>
    <d v="2024-09-14T00:00:00"/>
    <d v="2024-09-19T00:00:00"/>
    <d v="2024-10-02T00:00:00"/>
    <s v="C4754"/>
    <x v="3"/>
    <s v="Germany"/>
    <s v="P26593"/>
    <s v="Vitamin Pack"/>
    <s v="Healthcare"/>
    <s v="S907"/>
    <s v="Summit Supply Co"/>
    <s v="North America"/>
    <s v="WH 04"/>
    <s v="Istanbul"/>
    <x v="3"/>
    <n v="98"/>
    <n v="14.46"/>
    <n v="1417.08"/>
    <n v="13.07"/>
    <n v="13"/>
    <n v="18"/>
    <n v="437"/>
    <x v="0"/>
    <x v="0"/>
    <n v="233.47"/>
  </r>
  <r>
    <n v="101241"/>
    <d v="2025-04-13T00:00:00"/>
    <d v="2025-04-17T00:00:00"/>
    <d v="2025-04-20T00:00:00"/>
    <s v="C8257"/>
    <x v="4"/>
    <s v="Turkey"/>
    <s v="P26533"/>
    <s v="Storage Cabinet"/>
    <s v="Furniture"/>
    <s v="S854"/>
    <s v="Evergreen Partners"/>
    <s v="Europe"/>
    <s v="WH 01"/>
    <s v="Karachi"/>
    <x v="1"/>
    <n v="147"/>
    <n v="212.66"/>
    <n v="31261.02"/>
    <n v="38.04"/>
    <n v="3"/>
    <n v="7"/>
    <n v="1674"/>
    <x v="2"/>
    <x v="0"/>
    <n v="4210.7700000000004"/>
  </r>
  <r>
    <n v="101242"/>
    <d v="2024-03-01T00:00:00"/>
    <d v="2024-03-04T00:00:00"/>
    <d v="2024-03-08T00:00:00"/>
    <s v="C7667"/>
    <x v="0"/>
    <s v="China"/>
    <s v="P77799"/>
    <s v="T Shirt Bundle"/>
    <s v="Apparel"/>
    <s v="S688"/>
    <s v="Zenith Procurement"/>
    <s v="Middle East"/>
    <s v="WH 04"/>
    <s v="Istanbul"/>
    <x v="1"/>
    <n v="241"/>
    <n v="119.54"/>
    <n v="28809.14"/>
    <n v="44.13"/>
    <n v="4"/>
    <n v="7"/>
    <n v="2891"/>
    <x v="2"/>
    <x v="0"/>
    <n v="3469.93"/>
  </r>
  <r>
    <n v="101243"/>
    <d v="2025-12-23T00:00:00"/>
    <d v="2025-12-25T00:00:00"/>
    <d v="2025-12-30T00:00:00"/>
    <s v="C1707"/>
    <x v="4"/>
    <s v="Turkey"/>
    <s v="P91393"/>
    <s v="Wireless Earbuds"/>
    <s v="Electronics"/>
    <s v="S534"/>
    <s v="Evergreen Partners"/>
    <s v="Middle East"/>
    <s v="WH 02"/>
    <s v="Lahore"/>
    <x v="3"/>
    <n v="278"/>
    <n v="156.97999999999999"/>
    <n v="43640.44"/>
    <n v="12.92"/>
    <n v="5"/>
    <n v="7"/>
    <n v="433"/>
    <x v="2"/>
    <x v="0"/>
    <n v="5923.09"/>
  </r>
  <r>
    <n v="101244"/>
    <d v="2024-08-19T00:00:00"/>
    <d v="2024-08-21T00:00:00"/>
    <d v="2024-08-25T00:00:00"/>
    <s v="C8877"/>
    <x v="2"/>
    <s v="Mexico"/>
    <s v="P48938"/>
    <s v="Toothpaste Box"/>
    <s v="FMCG"/>
    <s v="S762"/>
    <s v="Summit Supply Co"/>
    <s v="Africa"/>
    <s v="WH 09"/>
    <s v="Johannesburg"/>
    <x v="3"/>
    <n v="312"/>
    <n v="21.76"/>
    <n v="6789.12"/>
    <n v="18.27"/>
    <n v="4"/>
    <n v="6"/>
    <n v="2944"/>
    <x v="2"/>
    <x v="0"/>
    <n v="804.62"/>
  </r>
  <r>
    <n v="101245"/>
    <d v="2024-11-23T00:00:00"/>
    <d v="2024-11-24T00:00:00"/>
    <d v="2024-12-04T00:00:00"/>
    <s v="C6244"/>
    <x v="3"/>
    <s v="Spain"/>
    <s v="P40929"/>
    <s v="Wireless Earbuds"/>
    <s v="Electronics"/>
    <s v="S883"/>
    <s v="Summit Supply Co"/>
    <s v="Middle East"/>
    <s v="WH 03"/>
    <s v="Dubai"/>
    <x v="0"/>
    <n v="222"/>
    <n v="392.23"/>
    <n v="87075.06"/>
    <n v="18.77"/>
    <n v="10"/>
    <n v="11"/>
    <n v="206"/>
    <x v="0"/>
    <x v="0"/>
    <n v="9566.6200000000008"/>
  </r>
  <r>
    <n v="101246"/>
    <d v="2025-02-22T00:00:00"/>
    <d v="2025-02-23T00:00:00"/>
    <d v="2025-03-04T00:00:00"/>
    <s v="C9962"/>
    <x v="0"/>
    <s v="Malaysia"/>
    <s v="P81980"/>
    <s v="First Aid Kit"/>
    <s v="Healthcare"/>
    <s v="S405"/>
    <s v="Atlas Sourcing"/>
    <s v="Europe"/>
    <s v="WH 03"/>
    <s v="Dubai"/>
    <x v="3"/>
    <n v="11"/>
    <n v="87.82"/>
    <n v="966.02"/>
    <n v="10.96"/>
    <n v="9"/>
    <n v="10"/>
    <n v="3414"/>
    <x v="0"/>
    <x v="0"/>
    <n v="127.05"/>
  </r>
  <r>
    <n v="101247"/>
    <d v="2025-11-22T00:00:00"/>
    <d v="2025-11-24T00:00:00"/>
    <d v="2025-11-30T00:00:00"/>
    <s v="C4168"/>
    <x v="0"/>
    <s v="Malaysia"/>
    <s v="P41000"/>
    <s v="Smart Watch"/>
    <s v="Electronics"/>
    <s v="S209"/>
    <s v="Zenith Procurement"/>
    <s v="Middle East"/>
    <s v="WH 05"/>
    <s v="Frankfurt"/>
    <x v="0"/>
    <n v="46"/>
    <n v="188.04"/>
    <n v="8649.84"/>
    <n v="13.78"/>
    <n v="6"/>
    <n v="8"/>
    <n v="237"/>
    <x v="0"/>
    <x v="0"/>
    <n v="765.28"/>
  </r>
  <r>
    <n v="101248"/>
    <d v="2024-09-17T00:00:00"/>
    <d v="2024-09-17T00:00:00"/>
    <d v="2024-10-06T00:00:00"/>
    <s v="C3531"/>
    <x v="2"/>
    <s v="Mexico"/>
    <s v="P47487"/>
    <s v="Office Chair"/>
    <s v="Furniture"/>
    <s v="S755"/>
    <s v="Crescent Logistics"/>
    <s v="Africa"/>
    <s v="WH 08"/>
    <s v="Chicago"/>
    <x v="2"/>
    <n v="265"/>
    <n v="272.05"/>
    <n v="72093.25"/>
    <n v="12.85"/>
    <n v="19"/>
    <n v="19"/>
    <n v="1866"/>
    <x v="0"/>
    <x v="0"/>
    <n v="18698.060000000001"/>
  </r>
  <r>
    <n v="101249"/>
    <d v="2025-01-01T00:00:00"/>
    <d v="2025-01-01T00:00:00"/>
    <d v="2025-01-03T00:00:00"/>
    <s v="C7589"/>
    <x v="2"/>
    <s v="United States"/>
    <s v="P58241"/>
    <s v="Thermometer"/>
    <s v="Healthcare"/>
    <s v="S791"/>
    <s v="BlueRiver Trading"/>
    <s v="North America"/>
    <s v="WH 07"/>
    <s v="Toronto"/>
    <x v="0"/>
    <n v="203"/>
    <n v="78.430000000000007"/>
    <n v="15921.29"/>
    <n v="13.5"/>
    <n v="2"/>
    <n v="2"/>
    <n v="1960"/>
    <x v="2"/>
    <x v="0"/>
    <n v="2387.81"/>
  </r>
  <r>
    <n v="101250"/>
    <d v="2024-09-08T00:00:00"/>
    <d v="2024-09-10T00:00:00"/>
    <d v="2024-09-19T00:00:00"/>
    <s v="C5723"/>
    <x v="1"/>
    <s v="Egypt"/>
    <s v="P84684"/>
    <s v="Toothpaste Box"/>
    <s v="FMCG"/>
    <s v="S166"/>
    <s v="Nova Industrial"/>
    <s v="Asia"/>
    <s v="WH 05"/>
    <s v="Frankfurt"/>
    <x v="3"/>
    <n v="22"/>
    <n v="25.95"/>
    <n v="570.9"/>
    <n v="11.23"/>
    <n v="9"/>
    <n v="11"/>
    <n v="3126"/>
    <x v="0"/>
    <x v="0"/>
    <n v="52.52"/>
  </r>
  <r>
    <n v="101251"/>
    <d v="2024-04-06T00:00:00"/>
    <d v="2024-04-08T00:00:00"/>
    <d v="2024-04-10T00:00:00"/>
    <s v="C5172"/>
    <x v="0"/>
    <s v="Pakistan"/>
    <s v="P22836"/>
    <s v="Socks Pack"/>
    <s v="Apparel"/>
    <s v="S897"/>
    <s v="Atlas Sourcing"/>
    <s v="Asia"/>
    <s v="WH 10"/>
    <s v="Cairo"/>
    <x v="0"/>
    <n v="434"/>
    <n v="111.15"/>
    <n v="48239.1"/>
    <n v="18.350000000000001"/>
    <n v="2"/>
    <n v="4"/>
    <n v="964"/>
    <x v="2"/>
    <x v="0"/>
    <n v="7554.11"/>
  </r>
  <r>
    <n v="101252"/>
    <d v="2025-12-20T00:00:00"/>
    <d v="2025-12-22T00:00:00"/>
    <d v="2025-12-27T00:00:00"/>
    <s v="C6562"/>
    <x v="3"/>
    <s v="Sweden"/>
    <s v="P83285"/>
    <s v="Sportswear Set"/>
    <s v="Apparel"/>
    <s v="S747"/>
    <s v="Vertex Manufacturing"/>
    <s v="Asia"/>
    <s v="WH 05"/>
    <s v="Frankfurt"/>
    <x v="1"/>
    <n v="289"/>
    <n v="72.17"/>
    <n v="20857.13"/>
    <n v="47.24"/>
    <n v="5"/>
    <n v="7"/>
    <n v="2198"/>
    <x v="2"/>
    <x v="0"/>
    <n v="6141.74"/>
  </r>
  <r>
    <n v="101253"/>
    <d v="2024-02-13T00:00:00"/>
    <d v="2024-02-18T00:00:00"/>
    <d v="2024-02-26T00:00:00"/>
    <s v="C1632"/>
    <x v="1"/>
    <s v="Morocco"/>
    <s v="P12199"/>
    <s v="Bottled Water Case"/>
    <s v="FMCG"/>
    <s v="S312"/>
    <s v="Evergreen Partners"/>
    <s v="North America"/>
    <s v="WH 06"/>
    <s v="Amsterdam"/>
    <x v="0"/>
    <n v="243"/>
    <n v="39.14"/>
    <n v="9511.02"/>
    <n v="19.36"/>
    <n v="8"/>
    <n v="13"/>
    <n v="660"/>
    <x v="0"/>
    <x v="0"/>
    <n v="886.18"/>
  </r>
  <r>
    <n v="101254"/>
    <d v="2025-05-03T00:00:00"/>
    <d v="2025-05-03T00:00:00"/>
    <d v="2025-05-18T00:00:00"/>
    <s v="C5795"/>
    <x v="1"/>
    <s v="Morocco"/>
    <s v="P20691"/>
    <s v="First Aid Kit"/>
    <s v="Healthcare"/>
    <s v="S512"/>
    <s v="BlueRiver Trading"/>
    <s v="Middle East"/>
    <s v="WH 01"/>
    <s v="Karachi"/>
    <x v="2"/>
    <n v="431"/>
    <n v="36.01"/>
    <n v="15520.31"/>
    <n v="15.87"/>
    <n v="15"/>
    <n v="15"/>
    <n v="591"/>
    <x v="0"/>
    <x v="0"/>
    <n v="1334.03"/>
  </r>
  <r>
    <n v="101255"/>
    <d v="2024-05-18T00:00:00"/>
    <d v="2024-05-19T00:00:00"/>
    <d v="2024-05-27T00:00:00"/>
    <s v="C8858"/>
    <x v="2"/>
    <s v="United States"/>
    <s v="P30703"/>
    <s v="Denim Jeans"/>
    <s v="Apparel"/>
    <s v="S369"/>
    <s v="Pioneer Distribution"/>
    <s v="Middle East"/>
    <s v="WH 03"/>
    <s v="Dubai"/>
    <x v="3"/>
    <n v="499"/>
    <n v="104.52"/>
    <n v="52155.48"/>
    <n v="22.82"/>
    <n v="8"/>
    <n v="9"/>
    <n v="3355"/>
    <x v="0"/>
    <x v="0"/>
    <n v="15569.1"/>
  </r>
  <r>
    <n v="101256"/>
    <d v="2025-08-26T00:00:00"/>
    <d v="2025-08-28T00:00:00"/>
    <d v="2025-08-31T00:00:00"/>
    <s v="C2466"/>
    <x v="3"/>
    <s v="Poland"/>
    <s v="P51876"/>
    <s v="Router"/>
    <s v="Electronics"/>
    <s v="S420"/>
    <s v="Zenith Procurement"/>
    <s v="North America"/>
    <s v="WH 09"/>
    <s v="Johannesburg"/>
    <x v="1"/>
    <n v="102"/>
    <n v="132.77000000000001"/>
    <n v="13542.54"/>
    <n v="35.119999999999997"/>
    <n v="3"/>
    <n v="5"/>
    <n v="921"/>
    <x v="2"/>
    <x v="0"/>
    <n v="1217.05"/>
  </r>
  <r>
    <n v="101257"/>
    <d v="2025-07-24T00:00:00"/>
    <d v="2025-07-29T00:00:00"/>
    <d v="2025-08-06T00:00:00"/>
    <s v="C3415"/>
    <x v="2"/>
    <s v="Mexico"/>
    <s v="P22905"/>
    <s v="Face Mask Box"/>
    <s v="Healthcare"/>
    <s v="S197"/>
    <s v="Atlas Sourcing"/>
    <s v="Middle East"/>
    <s v="WH 05"/>
    <s v="Frankfurt"/>
    <x v="0"/>
    <n v="277"/>
    <n v="65.22"/>
    <n v="18065.939999999999"/>
    <n v="20.329999999999998"/>
    <n v="8"/>
    <n v="13"/>
    <n v="3254"/>
    <x v="0"/>
    <x v="0"/>
    <n v="3070.64"/>
  </r>
  <r>
    <n v="101258"/>
    <d v="2024-06-11T00:00:00"/>
    <d v="2024-06-14T00:00:00"/>
    <d v="2024-06-20T00:00:00"/>
    <s v="C1189"/>
    <x v="0"/>
    <s v="Vietnam"/>
    <s v="P21752"/>
    <s v="Denim Jeans"/>
    <s v="Apparel"/>
    <s v="S988"/>
    <s v="Atlas Sourcing"/>
    <s v="Europe"/>
    <s v="WH 01"/>
    <s v="Karachi"/>
    <x v="3"/>
    <n v="324"/>
    <n v="82.15"/>
    <n v="26616.6"/>
    <n v="18.57"/>
    <n v="6"/>
    <n v="9"/>
    <n v="326"/>
    <x v="0"/>
    <x v="0"/>
    <n v="6194.2"/>
  </r>
  <r>
    <n v="101259"/>
    <d v="2025-08-19T00:00:00"/>
    <d v="2025-08-24T00:00:00"/>
    <d v="2025-09-14T00:00:00"/>
    <s v="C6873"/>
    <x v="4"/>
    <s v="Oman"/>
    <s v="P38013"/>
    <s v="Denim Jeans"/>
    <s v="Apparel"/>
    <s v="S718"/>
    <s v="Orion Supplies"/>
    <s v="Africa"/>
    <s v="WH 07"/>
    <s v="Toronto"/>
    <x v="2"/>
    <n v="357"/>
    <n v="80.260000000000005"/>
    <n v="28652.82"/>
    <n v="14.53"/>
    <n v="21"/>
    <n v="26"/>
    <n v="2989"/>
    <x v="1"/>
    <x v="1"/>
    <n v="-221.74"/>
  </r>
  <r>
    <n v="101260"/>
    <d v="2024-07-18T00:00:00"/>
    <d v="2024-07-22T00:00:00"/>
    <d v="2024-07-27T00:00:00"/>
    <s v="C2548"/>
    <x v="4"/>
    <s v="Oman"/>
    <s v="P37215"/>
    <s v="Sportswear Set"/>
    <s v="Apparel"/>
    <s v="S385"/>
    <s v="Evergreen Partners"/>
    <s v="Asia"/>
    <s v="WH 09"/>
    <s v="Johannesburg"/>
    <x v="1"/>
    <n v="168"/>
    <n v="42.87"/>
    <n v="7202.16"/>
    <n v="39.4"/>
    <n v="5"/>
    <n v="9"/>
    <n v="2981"/>
    <x v="0"/>
    <x v="0"/>
    <n v="1685.52"/>
  </r>
  <r>
    <n v="101261"/>
    <d v="2024-10-19T00:00:00"/>
    <d v="2024-10-24T00:00:00"/>
    <d v="2024-10-27T00:00:00"/>
    <s v="C1526"/>
    <x v="2"/>
    <s v="Mexico"/>
    <s v="P11753"/>
    <s v="Detergent Bag"/>
    <s v="FMCG"/>
    <s v="S748"/>
    <s v="Evergreen Partners"/>
    <s v="Asia"/>
    <s v="WH 03"/>
    <s v="Dubai"/>
    <x v="1"/>
    <n v="330"/>
    <n v="49.4"/>
    <n v="16302"/>
    <n v="49.9"/>
    <n v="3"/>
    <n v="8"/>
    <n v="2328"/>
    <x v="0"/>
    <x v="0"/>
    <n v="1126"/>
  </r>
  <r>
    <n v="101262"/>
    <d v="2024-03-23T00:00:00"/>
    <d v="2024-03-24T00:00:00"/>
    <d v="2024-03-26T00:00:00"/>
    <s v="C3883"/>
    <x v="1"/>
    <s v="South Africa"/>
    <s v="P97804"/>
    <s v="Sportswear Set"/>
    <s v="Apparel"/>
    <s v="S548"/>
    <s v="Crescent Logistics"/>
    <s v="Africa"/>
    <s v="WH 03"/>
    <s v="Dubai"/>
    <x v="1"/>
    <n v="248"/>
    <n v="28.78"/>
    <n v="7137.44"/>
    <n v="33.020000000000003"/>
    <n v="2"/>
    <n v="3"/>
    <n v="613"/>
    <x v="2"/>
    <x v="0"/>
    <n v="1472.9"/>
  </r>
  <r>
    <n v="101263"/>
    <d v="2025-01-19T00:00:00"/>
    <d v="2025-01-20T00:00:00"/>
    <d v="2025-02-05T00:00:00"/>
    <s v="C2098"/>
    <x v="4"/>
    <s v="Qatar"/>
    <s v="P24679"/>
    <s v="Toothpaste Box"/>
    <s v="FMCG"/>
    <s v="S813"/>
    <s v="Atlas Sourcing"/>
    <s v="Europe"/>
    <s v="WH 01"/>
    <s v="Karachi"/>
    <x v="3"/>
    <n v="151"/>
    <n v="46.97"/>
    <n v="7092.47"/>
    <n v="14.36"/>
    <n v="16"/>
    <n v="17"/>
    <n v="3542"/>
    <x v="1"/>
    <x v="3"/>
    <n v="963.21"/>
  </r>
  <r>
    <n v="101264"/>
    <d v="2025-11-21T00:00:00"/>
    <d v="2025-11-26T00:00:00"/>
    <d v="2025-11-29T00:00:00"/>
    <s v="C6835"/>
    <x v="1"/>
    <s v="South Africa"/>
    <s v="P83662"/>
    <s v="Bottled Water Case"/>
    <s v="FMCG"/>
    <s v="S978"/>
    <s v="Evergreen Partners"/>
    <s v="Europe"/>
    <s v="WH 01"/>
    <s v="Karachi"/>
    <x v="1"/>
    <n v="142"/>
    <n v="18.61"/>
    <n v="2642.62"/>
    <n v="37.71"/>
    <n v="3"/>
    <n v="8"/>
    <n v="2703"/>
    <x v="0"/>
    <x v="0"/>
    <n v="315.66000000000003"/>
  </r>
  <r>
    <n v="101265"/>
    <d v="2024-03-14T00:00:00"/>
    <d v="2024-03-19T00:00:00"/>
    <d v="2024-03-29T00:00:00"/>
    <s v="C6700"/>
    <x v="2"/>
    <s v="Canada"/>
    <s v="P50000"/>
    <s v="Shampoo Pack"/>
    <s v="FMCG"/>
    <s v="S292"/>
    <s v="BlueRiver Trading"/>
    <s v="Africa"/>
    <s v="WH 06"/>
    <s v="Amsterdam"/>
    <x v="0"/>
    <n v="450"/>
    <n v="29.47"/>
    <n v="13261.5"/>
    <n v="25.23"/>
    <n v="10"/>
    <n v="15"/>
    <n v="2757"/>
    <x v="0"/>
    <x v="0"/>
    <n v="1734.22"/>
  </r>
  <r>
    <n v="101266"/>
    <d v="2025-03-31T00:00:00"/>
    <d v="2025-04-04T00:00:00"/>
    <d v="2025-04-17T00:00:00"/>
    <s v="C3349"/>
    <x v="3"/>
    <s v="Poland"/>
    <s v="P24332"/>
    <s v="Study Table"/>
    <s v="Furniture"/>
    <s v="S723"/>
    <s v="Orion Supplies"/>
    <s v="Asia"/>
    <s v="WH 04"/>
    <s v="Istanbul"/>
    <x v="3"/>
    <n v="346"/>
    <n v="317.3"/>
    <n v="109785.8"/>
    <n v="19.100000000000001"/>
    <n v="13"/>
    <n v="17"/>
    <n v="2057"/>
    <x v="0"/>
    <x v="0"/>
    <n v="14835.99"/>
  </r>
  <r>
    <n v="101267"/>
    <d v="2024-09-28T00:00:00"/>
    <d v="2024-09-28T00:00:00"/>
    <d v="2024-10-06T00:00:00"/>
    <s v="C6299"/>
    <x v="4"/>
    <s v="Qatar"/>
    <s v="P88488"/>
    <s v="First Aid Kit"/>
    <s v="Healthcare"/>
    <s v="S845"/>
    <s v="Evergreen Partners"/>
    <s v="Asia"/>
    <s v="WH 08"/>
    <s v="Chicago"/>
    <x v="3"/>
    <n v="32"/>
    <n v="84.32"/>
    <n v="2698.24"/>
    <n v="11.47"/>
    <n v="8"/>
    <n v="8"/>
    <n v="1468"/>
    <x v="0"/>
    <x v="0"/>
    <n v="378.5"/>
  </r>
  <r>
    <n v="101268"/>
    <d v="2025-10-08T00:00:00"/>
    <d v="2025-10-13T00:00:00"/>
    <d v="2025-10-28T00:00:00"/>
    <s v="C5369"/>
    <x v="2"/>
    <s v="Mexico"/>
    <s v="P30325"/>
    <s v="Bookshelf"/>
    <s v="Furniture"/>
    <s v="S977"/>
    <s v="Orion Supplies"/>
    <s v="Asia"/>
    <s v="WH 02"/>
    <s v="Lahore"/>
    <x v="3"/>
    <n v="347"/>
    <n v="316.23"/>
    <n v="109731.81"/>
    <n v="19.12"/>
    <n v="15"/>
    <n v="20"/>
    <n v="1822"/>
    <x v="1"/>
    <x v="3"/>
    <n v="29393.34"/>
  </r>
  <r>
    <n v="101269"/>
    <d v="2024-05-02T00:00:00"/>
    <d v="2024-05-06T00:00:00"/>
    <d v="2024-05-14T00:00:00"/>
    <s v="C1807"/>
    <x v="0"/>
    <s v="Malaysia"/>
    <s v="P55799"/>
    <s v="First Aid Kit"/>
    <s v="Healthcare"/>
    <s v="S150"/>
    <s v="Orion Supplies"/>
    <s v="Africa"/>
    <s v="WH 10"/>
    <s v="Cairo"/>
    <x v="0"/>
    <n v="146"/>
    <n v="24.28"/>
    <n v="3544.88"/>
    <n v="16.61"/>
    <n v="8"/>
    <n v="12"/>
    <n v="3864"/>
    <x v="0"/>
    <x v="0"/>
    <n v="304.92"/>
  </r>
  <r>
    <n v="101270"/>
    <d v="2024-03-20T00:00:00"/>
    <d v="2024-03-21T00:00:00"/>
    <d v="2024-04-02T00:00:00"/>
    <s v="C4728"/>
    <x v="2"/>
    <s v="Mexico"/>
    <s v="P47304"/>
    <s v="Router"/>
    <s v="Electronics"/>
    <s v="S225"/>
    <s v="Crescent Logistics"/>
    <s v="Middle East"/>
    <s v="WH 08"/>
    <s v="Chicago"/>
    <x v="3"/>
    <n v="191"/>
    <n v="281.61"/>
    <n v="53787.51"/>
    <n v="15.33"/>
    <n v="12"/>
    <n v="13"/>
    <n v="327"/>
    <x v="0"/>
    <x v="0"/>
    <n v="7742.01"/>
  </r>
  <r>
    <n v="101271"/>
    <d v="2025-12-06T00:00:00"/>
    <d v="2025-12-11T00:00:00"/>
    <d v="2025-12-18T00:00:00"/>
    <s v="C7856"/>
    <x v="2"/>
    <s v="Mexico"/>
    <s v="P16089"/>
    <s v="Shampoo Pack"/>
    <s v="FMCG"/>
    <s v="S418"/>
    <s v="Zenith Procurement"/>
    <s v="Asia"/>
    <s v="WH 09"/>
    <s v="Johannesburg"/>
    <x v="3"/>
    <n v="208"/>
    <n v="35.58"/>
    <n v="7400.64"/>
    <n v="15.75"/>
    <n v="7"/>
    <n v="12"/>
    <n v="2852"/>
    <x v="1"/>
    <x v="2"/>
    <n v="815.79"/>
  </r>
  <r>
    <n v="101272"/>
    <d v="2025-01-05T00:00:00"/>
    <d v="2025-01-09T00:00:00"/>
    <d v="2025-01-19T00:00:00"/>
    <s v="C5807"/>
    <x v="4"/>
    <s v="United Arab Emirates"/>
    <s v="P93457"/>
    <s v="Storage Cabinet"/>
    <s v="Furniture"/>
    <s v="S900"/>
    <s v="Summit Supply Co"/>
    <s v="Africa"/>
    <s v="WH 08"/>
    <s v="Chicago"/>
    <x v="2"/>
    <n v="341"/>
    <n v="269.33999999999997"/>
    <n v="91844.94"/>
    <n v="14.23"/>
    <n v="10"/>
    <n v="14"/>
    <n v="1211"/>
    <x v="0"/>
    <x v="0"/>
    <n v="15546.81"/>
  </r>
  <r>
    <n v="101273"/>
    <d v="2024-07-06T00:00:00"/>
    <d v="2024-07-09T00:00:00"/>
    <d v="2024-07-17T00:00:00"/>
    <s v="C2526"/>
    <x v="1"/>
    <s v="Morocco"/>
    <s v="P96314"/>
    <s v="Vitamin Pack"/>
    <s v="Healthcare"/>
    <s v="S300"/>
    <s v="Atlas Sourcing"/>
    <s v="Asia"/>
    <s v="WH 03"/>
    <s v="Dubai"/>
    <x v="0"/>
    <n v="144"/>
    <n v="40.01"/>
    <n v="5761.44"/>
    <n v="16.559999999999999"/>
    <n v="8"/>
    <n v="11"/>
    <n v="3713"/>
    <x v="0"/>
    <x v="0"/>
    <n v="992.88"/>
  </r>
  <r>
    <n v="101274"/>
    <d v="2025-05-10T00:00:00"/>
    <d v="2025-05-13T00:00:00"/>
    <d v="2025-05-24T00:00:00"/>
    <s v="C5723"/>
    <x v="0"/>
    <s v="Indonesia"/>
    <s v="P14213"/>
    <s v="Bookshelf"/>
    <s v="Furniture"/>
    <s v="S369"/>
    <s v="BlueRiver Trading"/>
    <s v="Asia"/>
    <s v="WH 03"/>
    <s v="Dubai"/>
    <x v="2"/>
    <n v="404"/>
    <n v="195.38"/>
    <n v="78933.52"/>
    <n v="11.39"/>
    <n v="11"/>
    <n v="14"/>
    <n v="211"/>
    <x v="0"/>
    <x v="0"/>
    <n v="20900.25"/>
  </r>
  <r>
    <n v="101275"/>
    <d v="2025-07-15T00:00:00"/>
    <d v="2025-07-17T00:00:00"/>
    <d v="2025-08-11T00:00:00"/>
    <s v="C4419"/>
    <x v="3"/>
    <s v="Germany"/>
    <s v="P11144"/>
    <s v="Hand Sanitizer Case"/>
    <s v="Healthcare"/>
    <s v="S751"/>
    <s v="Orion Supplies"/>
    <s v="Asia"/>
    <s v="WH 02"/>
    <s v="Lahore"/>
    <x v="2"/>
    <n v="25"/>
    <n v="73.13"/>
    <n v="1828.25"/>
    <n v="8.4700000000000006"/>
    <n v="25"/>
    <n v="27"/>
    <n v="760"/>
    <x v="0"/>
    <x v="0"/>
    <n v="240.17"/>
  </r>
  <r>
    <n v="101276"/>
    <d v="2025-08-07T00:00:00"/>
    <d v="2025-08-11T00:00:00"/>
    <d v="2025-08-12T00:00:00"/>
    <s v="C1118"/>
    <x v="2"/>
    <s v="Mexico"/>
    <s v="P94963"/>
    <s v="Bottled Water Case"/>
    <s v="FMCG"/>
    <s v="S577"/>
    <s v="Orion Supplies"/>
    <s v="Europe"/>
    <s v="WH 05"/>
    <s v="Frankfurt"/>
    <x v="1"/>
    <n v="423"/>
    <n v="23.8"/>
    <n v="10067.4"/>
    <n v="55.92"/>
    <n v="1"/>
    <n v="5"/>
    <n v="4891"/>
    <x v="2"/>
    <x v="0"/>
    <n v="1318.5"/>
  </r>
  <r>
    <n v="101277"/>
    <d v="2024-09-19T00:00:00"/>
    <d v="2024-09-23T00:00:00"/>
    <d v="2024-09-26T00:00:00"/>
    <s v="C5290"/>
    <x v="1"/>
    <s v="Nigeria"/>
    <s v="P65034"/>
    <s v="Face Mask Box"/>
    <s v="Healthcare"/>
    <s v="S542"/>
    <s v="Crescent Logistics"/>
    <s v="Africa"/>
    <s v="WH 08"/>
    <s v="Chicago"/>
    <x v="0"/>
    <n v="312"/>
    <n v="13.51"/>
    <n v="4215.12"/>
    <n v="15.79"/>
    <n v="3"/>
    <n v="7"/>
    <n v="1722"/>
    <x v="2"/>
    <x v="0"/>
    <n v="768.43"/>
  </r>
  <r>
    <n v="101278"/>
    <d v="2025-05-31T00:00:00"/>
    <d v="2025-05-31T00:00:00"/>
    <d v="2025-06-05T00:00:00"/>
    <s v="C5904"/>
    <x v="1"/>
    <s v="Nigeria"/>
    <s v="P55534"/>
    <s v="Thermometer"/>
    <s v="Healthcare"/>
    <s v="S308"/>
    <s v="Summit Supply Co"/>
    <s v="Europe"/>
    <s v="WH 02"/>
    <s v="Lahore"/>
    <x v="1"/>
    <n v="172"/>
    <n v="40.03"/>
    <n v="6885.16"/>
    <n v="39.659999999999997"/>
    <n v="5"/>
    <n v="5"/>
    <n v="3959"/>
    <x v="2"/>
    <x v="0"/>
    <n v="650.65"/>
  </r>
  <r>
    <n v="101279"/>
    <d v="2025-08-05T00:00:00"/>
    <d v="2025-08-10T00:00:00"/>
    <d v="2025-08-14T00:00:00"/>
    <s v="C5816"/>
    <x v="3"/>
    <s v="Germany"/>
    <s v="P17188"/>
    <s v="Toothpaste Box"/>
    <s v="FMCG"/>
    <s v="S381"/>
    <s v="Nova Industrial"/>
    <s v="Europe"/>
    <s v="WH 03"/>
    <s v="Dubai"/>
    <x v="0"/>
    <n v="258"/>
    <n v="10.14"/>
    <n v="2616.12"/>
    <n v="14.66"/>
    <n v="4"/>
    <n v="9"/>
    <n v="3903"/>
    <x v="1"/>
    <x v="2"/>
    <n v="365.28"/>
  </r>
  <r>
    <n v="101280"/>
    <d v="2025-06-20T00:00:00"/>
    <d v="2025-06-20T00:00:00"/>
    <d v="2025-07-04T00:00:00"/>
    <s v="C7536"/>
    <x v="1"/>
    <s v="Nigeria"/>
    <s v="P93086"/>
    <s v="Denim Jeans"/>
    <s v="Apparel"/>
    <s v="S603"/>
    <s v="Vertex Manufacturing"/>
    <s v="Middle East"/>
    <s v="WH 02"/>
    <s v="Lahore"/>
    <x v="2"/>
    <n v="291"/>
    <n v="107.87"/>
    <n v="31390.17"/>
    <n v="13.32"/>
    <n v="14"/>
    <n v="14"/>
    <n v="2417"/>
    <x v="0"/>
    <x v="0"/>
    <n v="4403.92"/>
  </r>
  <r>
    <n v="101281"/>
    <d v="2024-11-29T00:00:00"/>
    <d v="2024-12-03T00:00:00"/>
    <d v="2024-12-07T00:00:00"/>
    <s v="C2362"/>
    <x v="2"/>
    <s v="Canada"/>
    <s v="P10925"/>
    <s v="Bottled Water Case"/>
    <s v="FMCG"/>
    <s v="S499"/>
    <s v="Pioneer Distribution"/>
    <s v="Asia"/>
    <s v="WH 05"/>
    <s v="Frankfurt"/>
    <x v="1"/>
    <n v="405"/>
    <n v="29.18"/>
    <n v="11817.9"/>
    <n v="54.76"/>
    <n v="4"/>
    <n v="8"/>
    <n v="2877"/>
    <x v="0"/>
    <x v="0"/>
    <n v="248.35"/>
  </r>
  <r>
    <n v="101282"/>
    <d v="2024-01-01T00:00:00"/>
    <d v="2024-01-03T00:00:00"/>
    <d v="2024-01-13T00:00:00"/>
    <s v="C8201"/>
    <x v="3"/>
    <s v="Netherlands"/>
    <s v="P91583"/>
    <s v="Shampoo Pack"/>
    <s v="FMCG"/>
    <s v="S516"/>
    <s v="Nova Industrial"/>
    <s v="Europe"/>
    <s v="WH 06"/>
    <s v="Amsterdam"/>
    <x v="3"/>
    <n v="205"/>
    <n v="17.48"/>
    <n v="3583.4"/>
    <n v="11.61"/>
    <n v="10"/>
    <n v="12"/>
    <n v="2080"/>
    <x v="0"/>
    <x v="0"/>
    <n v="420.93"/>
  </r>
  <r>
    <n v="101283"/>
    <d v="2025-02-21T00:00:00"/>
    <d v="2025-02-24T00:00:00"/>
    <d v="2025-03-20T00:00:00"/>
    <s v="C6439"/>
    <x v="4"/>
    <s v="Saudi Arabia"/>
    <s v="P79843"/>
    <s v="Sportswear Set"/>
    <s v="Apparel"/>
    <s v="S416"/>
    <s v="Evergreen Partners"/>
    <s v="Asia"/>
    <s v="WH 10"/>
    <s v="Cairo"/>
    <x v="2"/>
    <n v="194"/>
    <n v="66.430000000000007"/>
    <n v="12887.42"/>
    <n v="11.55"/>
    <n v="24"/>
    <n v="27"/>
    <n v="1389"/>
    <x v="0"/>
    <x v="0"/>
    <n v="1446.48"/>
  </r>
  <r>
    <n v="101284"/>
    <d v="2024-10-03T00:00:00"/>
    <d v="2024-10-07T00:00:00"/>
    <d v="2024-10-30T00:00:00"/>
    <s v="C9797"/>
    <x v="0"/>
    <s v="Bangladesh"/>
    <s v="P47371"/>
    <s v="Router"/>
    <s v="Electronics"/>
    <s v="S174"/>
    <s v="BlueRiver Trading"/>
    <s v="Africa"/>
    <s v="WH 07"/>
    <s v="Toronto"/>
    <x v="2"/>
    <n v="479"/>
    <n v="286.95999999999998"/>
    <n v="137453.84"/>
    <n v="16.75"/>
    <n v="23"/>
    <n v="27"/>
    <n v="191"/>
    <x v="0"/>
    <x v="0"/>
    <n v="23525.47"/>
  </r>
  <r>
    <n v="101285"/>
    <d v="2024-12-21T00:00:00"/>
    <d v="2024-12-25T00:00:00"/>
    <d v="2024-12-31T00:00:00"/>
    <s v="C5763"/>
    <x v="2"/>
    <s v="Mexico"/>
    <s v="P52294"/>
    <s v="Wireless Earbuds"/>
    <s v="Electronics"/>
    <s v="S370"/>
    <s v="Zenith Procurement"/>
    <s v="North America"/>
    <s v="WH 03"/>
    <s v="Dubai"/>
    <x v="0"/>
    <n v="73"/>
    <n v="108.53"/>
    <n v="7922.69"/>
    <n v="10.77"/>
    <n v="6"/>
    <n v="10"/>
    <n v="288"/>
    <x v="0"/>
    <x v="0"/>
    <n v="1642.37"/>
  </r>
  <r>
    <n v="101286"/>
    <d v="2025-08-03T00:00:00"/>
    <d v="2025-08-04T00:00:00"/>
    <d v="2025-08-20T00:00:00"/>
    <s v="C7307"/>
    <x v="2"/>
    <s v="United States"/>
    <s v="P41325"/>
    <s v="Power Bank"/>
    <s v="Electronics"/>
    <s v="S348"/>
    <s v="Atlas Sourcing"/>
    <s v="Middle East"/>
    <s v="WH 02"/>
    <s v="Lahore"/>
    <x v="2"/>
    <n v="77"/>
    <n v="365.73"/>
    <n v="28161.21"/>
    <n v="9.42"/>
    <n v="16"/>
    <n v="17"/>
    <n v="880"/>
    <x v="0"/>
    <x v="0"/>
    <n v="3554.63"/>
  </r>
  <r>
    <n v="101287"/>
    <d v="2025-04-04T00:00:00"/>
    <d v="2025-04-09T00:00:00"/>
    <d v="2025-04-12T00:00:00"/>
    <s v="C4511"/>
    <x v="3"/>
    <s v="Netherlands"/>
    <s v="P64030"/>
    <s v="Socks Pack"/>
    <s v="Apparel"/>
    <s v="S438"/>
    <s v="Pioneer Distribution"/>
    <s v="Asia"/>
    <s v="WH 09"/>
    <s v="Johannesburg"/>
    <x v="0"/>
    <n v="485"/>
    <n v="76.81"/>
    <n v="37252.85"/>
    <n v="26.22"/>
    <n v="3"/>
    <n v="8"/>
    <n v="858"/>
    <x v="0"/>
    <x v="0"/>
    <n v="6174.35"/>
  </r>
  <r>
    <n v="101288"/>
    <d v="2024-05-28T00:00:00"/>
    <d v="2024-05-31T00:00:00"/>
    <d v="2024-06-01T00:00:00"/>
    <s v="C7023"/>
    <x v="1"/>
    <s v="Nigeria"/>
    <s v="P30543"/>
    <s v="Hand Sanitizer Case"/>
    <s v="Healthcare"/>
    <s v="S737"/>
    <s v="Vertex Manufacturing"/>
    <s v="Asia"/>
    <s v="WH 01"/>
    <s v="Karachi"/>
    <x v="1"/>
    <n v="227"/>
    <n v="80.790000000000006"/>
    <n v="18339.330000000002"/>
    <n v="43.22"/>
    <n v="1"/>
    <n v="4"/>
    <n v="1971"/>
    <x v="2"/>
    <x v="0"/>
    <n v="2898.28"/>
  </r>
  <r>
    <n v="101289"/>
    <d v="2025-10-24T00:00:00"/>
    <d v="2025-10-29T00:00:00"/>
    <d v="2025-11-12T00:00:00"/>
    <s v="C4018"/>
    <x v="2"/>
    <s v="Canada"/>
    <s v="P25299"/>
    <s v="Snack Carton"/>
    <s v="FMCG"/>
    <s v="S580"/>
    <s v="Summit Supply Co"/>
    <s v="Africa"/>
    <s v="WH 10"/>
    <s v="Cairo"/>
    <x v="2"/>
    <n v="376"/>
    <n v="25.37"/>
    <n v="9539.1200000000008"/>
    <n v="14.87"/>
    <n v="14"/>
    <n v="19"/>
    <n v="1739"/>
    <x v="0"/>
    <x v="0"/>
    <n v="1157.0999999999999"/>
  </r>
  <r>
    <n v="101290"/>
    <d v="2025-10-04T00:00:00"/>
    <d v="2025-10-07T00:00:00"/>
    <d v="2025-10-21T00:00:00"/>
    <s v="C5773"/>
    <x v="4"/>
    <s v="Turkey"/>
    <s v="P58372"/>
    <s v="Snack Carton"/>
    <s v="FMCG"/>
    <s v="S318"/>
    <s v="Orion Supplies"/>
    <s v="Africa"/>
    <s v="WH 03"/>
    <s v="Dubai"/>
    <x v="3"/>
    <n v="111"/>
    <n v="13"/>
    <n v="1443"/>
    <n v="13.39"/>
    <n v="14"/>
    <n v="17"/>
    <n v="2551"/>
    <x v="0"/>
    <x v="0"/>
    <n v="87.59"/>
  </r>
  <r>
    <n v="101291"/>
    <d v="2024-01-16T00:00:00"/>
    <d v="2024-01-20T00:00:00"/>
    <d v="2024-02-06T00:00:00"/>
    <s v="C3646"/>
    <x v="3"/>
    <s v="Spain"/>
    <s v="P29290"/>
    <s v="Hand Sanitizer Case"/>
    <s v="Healthcare"/>
    <s v="S822"/>
    <s v="Orion Supplies"/>
    <s v="North America"/>
    <s v="WH 04"/>
    <s v="Istanbul"/>
    <x v="2"/>
    <n v="223"/>
    <n v="49.33"/>
    <n v="11000.59"/>
    <n v="12.08"/>
    <n v="17"/>
    <n v="21"/>
    <n v="3212"/>
    <x v="1"/>
    <x v="3"/>
    <n v="1621.75"/>
  </r>
  <r>
    <n v="101292"/>
    <d v="2025-12-10T00:00:00"/>
    <d v="2025-12-13T00:00:00"/>
    <d v="2025-12-24T00:00:00"/>
    <s v="C8088"/>
    <x v="4"/>
    <s v="Saudi Arabia"/>
    <s v="P22822"/>
    <s v="Bookshelf"/>
    <s v="Furniture"/>
    <s v="S772"/>
    <s v="Pioneer Distribution"/>
    <s v="Africa"/>
    <s v="WH 05"/>
    <s v="Frankfurt"/>
    <x v="3"/>
    <n v="50"/>
    <n v="256.37"/>
    <n v="12818.5"/>
    <n v="11.91"/>
    <n v="11"/>
    <n v="14"/>
    <n v="617"/>
    <x v="1"/>
    <x v="2"/>
    <n v="3111.99"/>
  </r>
  <r>
    <n v="101293"/>
    <d v="2025-07-05T00:00:00"/>
    <d v="2025-07-05T00:00:00"/>
    <d v="2025-07-07T00:00:00"/>
    <s v="C7153"/>
    <x v="4"/>
    <s v="Turkey"/>
    <s v="P12794"/>
    <s v="Snack Carton"/>
    <s v="FMCG"/>
    <s v="S936"/>
    <s v="BlueRiver Trading"/>
    <s v="North America"/>
    <s v="WH 07"/>
    <s v="Toronto"/>
    <x v="1"/>
    <n v="274"/>
    <n v="23.27"/>
    <n v="6375.98"/>
    <n v="46.27"/>
    <n v="2"/>
    <n v="2"/>
    <n v="2190"/>
    <x v="2"/>
    <x v="0"/>
    <n v="838.6"/>
  </r>
  <r>
    <n v="101294"/>
    <d v="2024-04-11T00:00:00"/>
    <d v="2024-04-11T00:00:00"/>
    <d v="2024-04-12T00:00:00"/>
    <s v="C6906"/>
    <x v="0"/>
    <s v="China"/>
    <s v="P34886"/>
    <s v="Bluetooth Speaker"/>
    <s v="Electronics"/>
    <s v="S750"/>
    <s v="Atlas Sourcing"/>
    <s v="Asia"/>
    <s v="WH 03"/>
    <s v="Dubai"/>
    <x v="1"/>
    <n v="236"/>
    <n v="121.85"/>
    <n v="28756.6"/>
    <n v="32.450000000000003"/>
    <n v="1"/>
    <n v="1"/>
    <n v="366"/>
    <x v="2"/>
    <x v="0"/>
    <n v="3086.4"/>
  </r>
  <r>
    <n v="101295"/>
    <d v="2025-10-08T00:00:00"/>
    <d v="2025-10-11T00:00:00"/>
    <d v="2025-10-19T00:00:00"/>
    <s v="C3915"/>
    <x v="0"/>
    <s v="China"/>
    <s v="P66050"/>
    <s v="Socks Pack"/>
    <s v="Apparel"/>
    <s v="S351"/>
    <s v="Pioneer Distribution"/>
    <s v="Asia"/>
    <s v="WH 07"/>
    <s v="Toronto"/>
    <x v="0"/>
    <n v="30"/>
    <n v="15.75"/>
    <n v="472.5"/>
    <n v="9.8699999999999992"/>
    <n v="8"/>
    <n v="11"/>
    <n v="824"/>
    <x v="0"/>
    <x v="0"/>
    <n v="50.61"/>
  </r>
  <r>
    <n v="101296"/>
    <d v="2024-07-10T00:00:00"/>
    <d v="2024-07-11T00:00:00"/>
    <d v="2024-07-28T00:00:00"/>
    <s v="C1902"/>
    <x v="4"/>
    <s v="Oman"/>
    <s v="P48487"/>
    <s v="Thermometer"/>
    <s v="Healthcare"/>
    <s v="S296"/>
    <s v="BlueRiver Trading"/>
    <s v="Middle East"/>
    <s v="WH 01"/>
    <s v="Karachi"/>
    <x v="2"/>
    <n v="478"/>
    <n v="23.83"/>
    <n v="11390.74"/>
    <n v="12.39"/>
    <n v="17"/>
    <n v="18"/>
    <n v="1055"/>
    <x v="1"/>
    <x v="3"/>
    <n v="827.96"/>
  </r>
  <r>
    <n v="101297"/>
    <d v="2025-03-08T00:00:00"/>
    <d v="2025-03-08T00:00:00"/>
    <d v="2025-03-18T00:00:00"/>
    <s v="C5694"/>
    <x v="0"/>
    <s v="China"/>
    <s v="P68676"/>
    <s v="Storage Cabinet"/>
    <s v="Furniture"/>
    <s v="S835"/>
    <s v="Zenith Procurement"/>
    <s v="Europe"/>
    <s v="WH 09"/>
    <s v="Johannesburg"/>
    <x v="2"/>
    <n v="53"/>
    <n v="48.68"/>
    <n v="2580.04"/>
    <n v="8.98"/>
    <n v="10"/>
    <n v="10"/>
    <n v="488"/>
    <x v="0"/>
    <x v="0"/>
    <n v="375.05"/>
  </r>
  <r>
    <n v="101298"/>
    <d v="2025-02-24T00:00:00"/>
    <d v="2025-02-24T00:00:00"/>
    <d v="2025-03-06T00:00:00"/>
    <s v="C8639"/>
    <x v="1"/>
    <s v="Egypt"/>
    <s v="P27875"/>
    <s v="Detergent Bag"/>
    <s v="FMCG"/>
    <s v="S979"/>
    <s v="Atlas Sourcing"/>
    <s v="Europe"/>
    <s v="WH 02"/>
    <s v="Lahore"/>
    <x v="0"/>
    <n v="359"/>
    <n v="16.02"/>
    <n v="5751.18"/>
    <n v="22.65"/>
    <n v="10"/>
    <n v="10"/>
    <n v="2159"/>
    <x v="0"/>
    <x v="0"/>
    <n v="710.04"/>
  </r>
  <r>
    <n v="101299"/>
    <d v="2024-02-25T00:00:00"/>
    <d v="2024-02-27T00:00:00"/>
    <d v="2024-02-29T00:00:00"/>
    <s v="C5442"/>
    <x v="3"/>
    <s v="Netherlands"/>
    <s v="P84783"/>
    <s v="T Shirt Bundle"/>
    <s v="Apparel"/>
    <s v="S232"/>
    <s v="Evergreen Partners"/>
    <s v="Middle East"/>
    <s v="WH 07"/>
    <s v="Toronto"/>
    <x v="1"/>
    <n v="73"/>
    <n v="102.83"/>
    <n v="7506.59"/>
    <n v="33.24"/>
    <n v="2"/>
    <n v="4"/>
    <n v="1515"/>
    <x v="2"/>
    <x v="0"/>
    <n v="804.02"/>
  </r>
  <r>
    <n v="101300"/>
    <d v="2024-01-26T00:00:00"/>
    <d v="2024-01-30T00:00:00"/>
    <d v="2024-02-18T00:00:00"/>
    <s v="C7593"/>
    <x v="2"/>
    <s v="United States"/>
    <s v="P40875"/>
    <s v="Denim Jeans"/>
    <s v="Apparel"/>
    <s v="S570"/>
    <s v="Summit Supply Co"/>
    <s v="Asia"/>
    <s v="WH 05"/>
    <s v="Frankfurt"/>
    <x v="2"/>
    <n v="429"/>
    <n v="71.400000000000006"/>
    <n v="30630.6"/>
    <n v="15.84"/>
    <n v="19"/>
    <n v="23"/>
    <n v="800"/>
    <x v="0"/>
    <x v="0"/>
    <n v="5423.43"/>
  </r>
  <r>
    <n v="101301"/>
    <d v="2025-07-25T00:00:00"/>
    <d v="2025-07-30T00:00:00"/>
    <d v="2025-08-04T00:00:00"/>
    <s v="C5980"/>
    <x v="4"/>
    <s v="Qatar"/>
    <s v="P51341"/>
    <s v="Denim Jeans"/>
    <s v="Apparel"/>
    <s v="S312"/>
    <s v="Orion Supplies"/>
    <s v="Africa"/>
    <s v="WH 07"/>
    <s v="Toronto"/>
    <x v="1"/>
    <n v="342"/>
    <n v="54.93"/>
    <n v="18786.060000000001"/>
    <n v="50.67"/>
    <n v="5"/>
    <n v="10"/>
    <n v="2400"/>
    <x v="0"/>
    <x v="0"/>
    <n v="2546.67"/>
  </r>
  <r>
    <n v="101302"/>
    <d v="2025-02-21T00:00:00"/>
    <d v="2025-02-22T00:00:00"/>
    <d v="2025-03-06T00:00:00"/>
    <s v="C6319"/>
    <x v="2"/>
    <s v="Mexico"/>
    <s v="P54191"/>
    <s v="Vitamin Pack"/>
    <s v="Healthcare"/>
    <s v="S794"/>
    <s v="Pioneer Distribution"/>
    <s v="Africa"/>
    <s v="WH 08"/>
    <s v="Chicago"/>
    <x v="2"/>
    <n v="362"/>
    <n v="88.76"/>
    <n v="32131.119999999999"/>
    <n v="14.62"/>
    <n v="12"/>
    <n v="13"/>
    <n v="4026"/>
    <x v="0"/>
    <x v="0"/>
    <n v="2349.37"/>
  </r>
  <r>
    <n v="101303"/>
    <d v="2025-05-20T00:00:00"/>
    <d v="2025-05-25T00:00:00"/>
    <d v="2025-05-28T00:00:00"/>
    <s v="C1363"/>
    <x v="2"/>
    <s v="United States"/>
    <s v="P57342"/>
    <s v="Face Mask Box"/>
    <s v="Healthcare"/>
    <s v="S500"/>
    <s v="Zenith Procurement"/>
    <s v="North America"/>
    <s v="WH 06"/>
    <s v="Amsterdam"/>
    <x v="0"/>
    <n v="343"/>
    <n v="42.3"/>
    <n v="14508.9"/>
    <n v="16.440000000000001"/>
    <n v="3"/>
    <n v="8"/>
    <n v="3362"/>
    <x v="0"/>
    <x v="0"/>
    <n v="30.58"/>
  </r>
  <r>
    <n v="101304"/>
    <d v="2025-07-02T00:00:00"/>
    <d v="2025-07-07T00:00:00"/>
    <d v="2025-07-17T00:00:00"/>
    <s v="C9956"/>
    <x v="0"/>
    <s v="Bangladesh"/>
    <s v="P15465"/>
    <s v="Bottled Water Case"/>
    <s v="FMCG"/>
    <s v="S598"/>
    <s v="Zenith Procurement"/>
    <s v="Asia"/>
    <s v="WH 02"/>
    <s v="Lahore"/>
    <x v="0"/>
    <n v="469"/>
    <n v="27.05"/>
    <n v="12686.45"/>
    <n v="19.09"/>
    <n v="10"/>
    <n v="15"/>
    <n v="3244"/>
    <x v="0"/>
    <x v="0"/>
    <n v="2211.5100000000002"/>
  </r>
  <r>
    <n v="101305"/>
    <d v="2024-05-15T00:00:00"/>
    <d v="2024-05-20T00:00:00"/>
    <d v="2024-05-25T00:00:00"/>
    <s v="C7546"/>
    <x v="4"/>
    <s v="Saudi Arabia"/>
    <s v="P83932"/>
    <s v="Router"/>
    <s v="Electronics"/>
    <s v="S598"/>
    <s v="Summit Supply Co"/>
    <s v="Europe"/>
    <s v="WH 07"/>
    <s v="Toronto"/>
    <x v="3"/>
    <n v="333"/>
    <n v="398.98"/>
    <n v="132860.34"/>
    <n v="18.78"/>
    <n v="5"/>
    <n v="10"/>
    <n v="1354"/>
    <x v="0"/>
    <x v="0"/>
    <n v="12629.23"/>
  </r>
  <r>
    <n v="101306"/>
    <d v="2025-10-01T00:00:00"/>
    <d v="2025-10-02T00:00:00"/>
    <d v="2025-10-14T00:00:00"/>
    <s v="C7382"/>
    <x v="4"/>
    <s v="United Arab Emirates"/>
    <s v="P52710"/>
    <s v="Snack Carton"/>
    <s v="FMCG"/>
    <s v="S903"/>
    <s v="Atlas Sourcing"/>
    <s v="Middle East"/>
    <s v="WH 07"/>
    <s v="Toronto"/>
    <x v="0"/>
    <n v="233"/>
    <n v="10.3"/>
    <n v="2399.9"/>
    <n v="14.13"/>
    <n v="12"/>
    <n v="13"/>
    <n v="1752"/>
    <x v="1"/>
    <x v="3"/>
    <n v="268.51"/>
  </r>
  <r>
    <n v="101307"/>
    <d v="2024-03-06T00:00:00"/>
    <d v="2024-03-10T00:00:00"/>
    <d v="2024-03-12T00:00:00"/>
    <s v="C7590"/>
    <x v="2"/>
    <s v="Canada"/>
    <s v="P37924"/>
    <s v="Study Table"/>
    <s v="Furniture"/>
    <s v="S481"/>
    <s v="Summit Supply Co"/>
    <s v="North America"/>
    <s v="WH 02"/>
    <s v="Lahore"/>
    <x v="1"/>
    <n v="133"/>
    <n v="128.01"/>
    <n v="17025.330000000002"/>
    <n v="27.5"/>
    <n v="2"/>
    <n v="6"/>
    <n v="1863"/>
    <x v="2"/>
    <x v="0"/>
    <n v="4153.8900000000003"/>
  </r>
  <r>
    <n v="101308"/>
    <d v="2025-12-28T00:00:00"/>
    <d v="2026-01-01T00:00:00"/>
    <d v="2026-01-08T00:00:00"/>
    <s v="C5031"/>
    <x v="4"/>
    <s v="Saudi Arabia"/>
    <s v="P25029"/>
    <s v="Snack Carton"/>
    <s v="FMCG"/>
    <s v="S167"/>
    <s v="Evergreen Partners"/>
    <s v="Asia"/>
    <s v="WH 06"/>
    <s v="Amsterdam"/>
    <x v="3"/>
    <n v="443"/>
    <n v="24.53"/>
    <n v="10866.79"/>
    <n v="21.46"/>
    <n v="7"/>
    <n v="11"/>
    <n v="4042"/>
    <x v="0"/>
    <x v="0"/>
    <n v="1391.14"/>
  </r>
  <r>
    <n v="101309"/>
    <d v="2024-07-13T00:00:00"/>
    <d v="2024-07-13T00:00:00"/>
    <d v="2024-08-04T00:00:00"/>
    <s v="C6119"/>
    <x v="0"/>
    <s v="India"/>
    <s v="P40579"/>
    <s v="T Shirt Bundle"/>
    <s v="Apparel"/>
    <s v="S340"/>
    <s v="Crescent Logistics"/>
    <s v="Middle East"/>
    <s v="WH 07"/>
    <s v="Toronto"/>
    <x v="2"/>
    <n v="163"/>
    <n v="67.92"/>
    <n v="11070.96"/>
    <n v="10.99"/>
    <n v="22"/>
    <n v="22"/>
    <n v="3029"/>
    <x v="1"/>
    <x v="3"/>
    <n v="1744.4"/>
  </r>
  <r>
    <n v="101310"/>
    <d v="2024-09-22T00:00:00"/>
    <d v="2024-09-23T00:00:00"/>
    <d v="2024-09-27T00:00:00"/>
    <s v="C7664"/>
    <x v="0"/>
    <s v="India"/>
    <s v="P86377"/>
    <s v="Bottled Water Case"/>
    <s v="FMCG"/>
    <s v="S635"/>
    <s v="Nova Industrial"/>
    <s v="Asia"/>
    <s v="WH 07"/>
    <s v="Toronto"/>
    <x v="1"/>
    <n v="149"/>
    <n v="7.15"/>
    <n v="1065.3499999999999"/>
    <n v="28.27"/>
    <n v="4"/>
    <n v="5"/>
    <n v="4259"/>
    <x v="1"/>
    <x v="2"/>
    <n v="100.52"/>
  </r>
  <r>
    <n v="101311"/>
    <d v="2024-02-12T00:00:00"/>
    <d v="2024-02-16T00:00:00"/>
    <d v="2024-02-23T00:00:00"/>
    <s v="C6331"/>
    <x v="1"/>
    <s v="Egypt"/>
    <s v="P34583"/>
    <s v="Snack Carton"/>
    <s v="FMCG"/>
    <s v="S733"/>
    <s v="Evergreen Partners"/>
    <s v="Africa"/>
    <s v="WH 07"/>
    <s v="Toronto"/>
    <x v="3"/>
    <n v="492"/>
    <n v="21.91"/>
    <n v="10779.72"/>
    <n v="16.78"/>
    <n v="7"/>
    <n v="11"/>
    <n v="1556"/>
    <x v="0"/>
    <x v="0"/>
    <n v="1772.73"/>
  </r>
  <r>
    <n v="101312"/>
    <d v="2025-01-13T00:00:00"/>
    <d v="2025-01-13T00:00:00"/>
    <d v="2025-02-06T00:00:00"/>
    <s v="C9254"/>
    <x v="0"/>
    <s v="Pakistan"/>
    <s v="P13571"/>
    <s v="Smart Watch"/>
    <s v="Electronics"/>
    <s v="S220"/>
    <s v="Crescent Logistics"/>
    <s v="North America"/>
    <s v="WH 09"/>
    <s v="Johannesburg"/>
    <x v="2"/>
    <n v="355"/>
    <n v="431.57"/>
    <n v="153207.35"/>
    <n v="14.49"/>
    <n v="24"/>
    <n v="24"/>
    <n v="1180"/>
    <x v="1"/>
    <x v="2"/>
    <n v="23331.56"/>
  </r>
  <r>
    <n v="101313"/>
    <d v="2025-08-27T00:00:00"/>
    <d v="2025-08-31T00:00:00"/>
    <d v="2025-09-03T00:00:00"/>
    <s v="C6434"/>
    <x v="3"/>
    <s v="Germany"/>
    <s v="P86680"/>
    <s v="Sportswear Set"/>
    <s v="Apparel"/>
    <s v="S381"/>
    <s v="Vertex Manufacturing"/>
    <s v="Asia"/>
    <s v="WH 07"/>
    <s v="Toronto"/>
    <x v="0"/>
    <n v="268"/>
    <n v="24.12"/>
    <n v="6464.16"/>
    <n v="20.07"/>
    <n v="3"/>
    <n v="7"/>
    <n v="2202"/>
    <x v="2"/>
    <x v="0"/>
    <n v="1228.81"/>
  </r>
  <r>
    <n v="101314"/>
    <d v="2024-02-13T00:00:00"/>
    <d v="2024-02-13T00:00:00"/>
    <d v="2024-02-22T00:00:00"/>
    <s v="C5370"/>
    <x v="2"/>
    <s v="Canada"/>
    <s v="P54389"/>
    <s v="Office Chair"/>
    <s v="Furniture"/>
    <s v="S525"/>
    <s v="Evergreen Partners"/>
    <s v="Europe"/>
    <s v="WH 10"/>
    <s v="Cairo"/>
    <x v="3"/>
    <n v="29"/>
    <n v="228.58"/>
    <n v="6628.82"/>
    <n v="11.4"/>
    <n v="9"/>
    <n v="9"/>
    <n v="2176"/>
    <x v="0"/>
    <x v="0"/>
    <n v="1612.19"/>
  </r>
  <r>
    <n v="101315"/>
    <d v="2024-02-19T00:00:00"/>
    <d v="2024-02-22T00:00:00"/>
    <d v="2024-03-09T00:00:00"/>
    <s v="C7292"/>
    <x v="1"/>
    <s v="Kenya"/>
    <s v="P97097"/>
    <s v="Snack Carton"/>
    <s v="FMCG"/>
    <s v="S261"/>
    <s v="BlueRiver Trading"/>
    <s v="North America"/>
    <s v="WH 04"/>
    <s v="Istanbul"/>
    <x v="2"/>
    <n v="360"/>
    <n v="21.89"/>
    <n v="7880.4"/>
    <n v="14.58"/>
    <n v="16"/>
    <n v="19"/>
    <n v="4790"/>
    <x v="1"/>
    <x v="2"/>
    <n v="1136.3"/>
  </r>
  <r>
    <n v="101316"/>
    <d v="2025-03-23T00:00:00"/>
    <d v="2025-03-23T00:00:00"/>
    <d v="2025-04-04T00:00:00"/>
    <s v="C6909"/>
    <x v="3"/>
    <s v="Spain"/>
    <s v="P86213"/>
    <s v="Router"/>
    <s v="Electronics"/>
    <s v="S615"/>
    <s v="Vertex Manufacturing"/>
    <s v="Europe"/>
    <s v="WH 04"/>
    <s v="Istanbul"/>
    <x v="3"/>
    <n v="74"/>
    <n v="329.64"/>
    <n v="24393.360000000001"/>
    <n v="9.25"/>
    <n v="12"/>
    <n v="12"/>
    <n v="1648"/>
    <x v="0"/>
    <x v="0"/>
    <n v="2164.79"/>
  </r>
  <r>
    <n v="101317"/>
    <d v="2025-09-14T00:00:00"/>
    <d v="2025-09-16T00:00:00"/>
    <d v="2025-10-04T00:00:00"/>
    <s v="C1867"/>
    <x v="3"/>
    <s v="Germany"/>
    <s v="P88040"/>
    <s v="Bottled Water Case"/>
    <s v="FMCG"/>
    <s v="S908"/>
    <s v="Orion Supplies"/>
    <s v="North America"/>
    <s v="WH 04"/>
    <s v="Istanbul"/>
    <x v="2"/>
    <n v="458"/>
    <n v="44.45"/>
    <n v="20358.099999999999"/>
    <n v="16.37"/>
    <n v="18"/>
    <n v="20"/>
    <n v="2312"/>
    <x v="0"/>
    <x v="0"/>
    <n v="1888.61"/>
  </r>
  <r>
    <n v="101318"/>
    <d v="2024-08-12T00:00:00"/>
    <d v="2024-08-14T00:00:00"/>
    <d v="2024-09-07T00:00:00"/>
    <s v="C2897"/>
    <x v="4"/>
    <s v="United Arab Emirates"/>
    <s v="P87264"/>
    <s v="First Aid Kit"/>
    <s v="Healthcare"/>
    <s v="S231"/>
    <s v="BlueRiver Trading"/>
    <s v="Asia"/>
    <s v="WH 07"/>
    <s v="Toronto"/>
    <x v="2"/>
    <n v="122"/>
    <n v="68.58"/>
    <n v="8366.76"/>
    <n v="10.24"/>
    <n v="24"/>
    <n v="26"/>
    <n v="2920"/>
    <x v="0"/>
    <x v="0"/>
    <n v="1103.08"/>
  </r>
  <r>
    <n v="101319"/>
    <d v="2025-09-16T00:00:00"/>
    <d v="2025-09-19T00:00:00"/>
    <d v="2025-09-25T00:00:00"/>
    <s v="C9325"/>
    <x v="1"/>
    <s v="Nigeria"/>
    <s v="P14486"/>
    <s v="Toothpaste Box"/>
    <s v="FMCG"/>
    <s v="S201"/>
    <s v="Zenith Procurement"/>
    <s v="Middle East"/>
    <s v="WH 08"/>
    <s v="Chicago"/>
    <x v="3"/>
    <n v="149"/>
    <n v="48.93"/>
    <n v="7290.57"/>
    <n v="14.31"/>
    <n v="6"/>
    <n v="9"/>
    <n v="2858"/>
    <x v="0"/>
    <x v="0"/>
    <n v="530.97"/>
  </r>
  <r>
    <n v="101320"/>
    <d v="2024-01-06T00:00:00"/>
    <d v="2024-01-11T00:00:00"/>
    <d v="2024-01-14T00:00:00"/>
    <s v="C3959"/>
    <x v="1"/>
    <s v="Egypt"/>
    <s v="P39144"/>
    <s v="Wireless Earbuds"/>
    <s v="Electronics"/>
    <s v="S315"/>
    <s v="BlueRiver Trading"/>
    <s v="North America"/>
    <s v="WH 06"/>
    <s v="Amsterdam"/>
    <x v="0"/>
    <n v="358"/>
    <n v="89.88"/>
    <n v="32177.040000000001"/>
    <n v="22.62"/>
    <n v="3"/>
    <n v="8"/>
    <n v="1241"/>
    <x v="1"/>
    <x v="2"/>
    <n v="3236.79"/>
  </r>
  <r>
    <n v="101321"/>
    <d v="2024-04-12T00:00:00"/>
    <d v="2024-04-13T00:00:00"/>
    <d v="2024-04-16T00:00:00"/>
    <s v="C2061"/>
    <x v="2"/>
    <s v="Mexico"/>
    <s v="P69893"/>
    <s v="Study Table"/>
    <s v="Furniture"/>
    <s v="S752"/>
    <s v="Zenith Procurement"/>
    <s v="Asia"/>
    <s v="WH 03"/>
    <s v="Dubai"/>
    <x v="1"/>
    <n v="115"/>
    <n v="324.64"/>
    <n v="37333.599999999999"/>
    <n v="35.96"/>
    <n v="3"/>
    <n v="4"/>
    <n v="375"/>
    <x v="2"/>
    <x v="0"/>
    <n v="8179.13"/>
  </r>
  <r>
    <n v="101322"/>
    <d v="2024-11-30T00:00:00"/>
    <d v="2024-12-03T00:00:00"/>
    <d v="2024-12-13T00:00:00"/>
    <s v="C1766"/>
    <x v="0"/>
    <s v="Pakistan"/>
    <s v="P39949"/>
    <s v="Denim Jeans"/>
    <s v="Apparel"/>
    <s v="S484"/>
    <s v="Nova Industrial"/>
    <s v="Middle East"/>
    <s v="WH 05"/>
    <s v="Frankfurt"/>
    <x v="0"/>
    <n v="465"/>
    <n v="100.84"/>
    <n v="46890.6"/>
    <n v="25.66"/>
    <n v="10"/>
    <n v="13"/>
    <n v="1638"/>
    <x v="0"/>
    <x v="0"/>
    <n v="4701.1499999999996"/>
  </r>
  <r>
    <n v="101323"/>
    <d v="2025-06-24T00:00:00"/>
    <d v="2025-06-26T00:00:00"/>
    <d v="2025-06-29T00:00:00"/>
    <s v="C7990"/>
    <x v="4"/>
    <s v="Saudi Arabia"/>
    <s v="P79519"/>
    <s v="Sportswear Set"/>
    <s v="Apparel"/>
    <s v="S796"/>
    <s v="Zenith Procurement"/>
    <s v="North America"/>
    <s v="WH 05"/>
    <s v="Frankfurt"/>
    <x v="0"/>
    <n v="490"/>
    <n v="102.62"/>
    <n v="50283.8"/>
    <n v="26.37"/>
    <n v="3"/>
    <n v="5"/>
    <n v="3194"/>
    <x v="2"/>
    <x v="0"/>
    <n v="11974.99"/>
  </r>
  <r>
    <n v="101324"/>
    <d v="2025-04-24T00:00:00"/>
    <d v="2025-04-24T00:00:00"/>
    <d v="2025-05-04T00:00:00"/>
    <s v="C5939"/>
    <x v="0"/>
    <s v="China"/>
    <s v="P79269"/>
    <s v="Router"/>
    <s v="Electronics"/>
    <s v="S459"/>
    <s v="Crescent Logistics"/>
    <s v="North America"/>
    <s v="WH 06"/>
    <s v="Amsterdam"/>
    <x v="0"/>
    <n v="185"/>
    <n v="410.15"/>
    <n v="75877.75"/>
    <n v="17.72"/>
    <n v="10"/>
    <n v="10"/>
    <n v="82"/>
    <x v="0"/>
    <x v="0"/>
    <n v="7586.7"/>
  </r>
  <r>
    <n v="101325"/>
    <d v="2024-08-31T00:00:00"/>
    <d v="2024-09-04T00:00:00"/>
    <d v="2024-09-07T00:00:00"/>
    <s v="C9287"/>
    <x v="1"/>
    <s v="Morocco"/>
    <s v="P22460"/>
    <s v="Hand Sanitizer Case"/>
    <s v="Healthcare"/>
    <s v="S998"/>
    <s v="Atlas Sourcing"/>
    <s v="North America"/>
    <s v="WH 04"/>
    <s v="Istanbul"/>
    <x v="1"/>
    <n v="415"/>
    <n v="25.75"/>
    <n v="10686.25"/>
    <n v="55.4"/>
    <n v="3"/>
    <n v="7"/>
    <n v="457"/>
    <x v="2"/>
    <x v="0"/>
    <n v="1987.78"/>
  </r>
  <r>
    <n v="101326"/>
    <d v="2024-05-22T00:00:00"/>
    <d v="2024-05-23T00:00:00"/>
    <d v="2024-06-06T00:00:00"/>
    <s v="C3074"/>
    <x v="0"/>
    <s v="Pakistan"/>
    <s v="P26006"/>
    <s v="Detergent Bag"/>
    <s v="FMCG"/>
    <s v="S996"/>
    <s v="BlueRiver Trading"/>
    <s v="Asia"/>
    <s v="WH 10"/>
    <s v="Cairo"/>
    <x v="3"/>
    <n v="211"/>
    <n v="44.73"/>
    <n v="9438.0300000000007"/>
    <n v="11.72"/>
    <n v="14"/>
    <n v="15"/>
    <n v="3465"/>
    <x v="0"/>
    <x v="0"/>
    <n v="646.04"/>
  </r>
  <r>
    <n v="101327"/>
    <d v="2025-01-11T00:00:00"/>
    <d v="2025-01-12T00:00:00"/>
    <d v="2025-01-23T00:00:00"/>
    <s v="C2329"/>
    <x v="3"/>
    <s v="Poland"/>
    <s v="P51420"/>
    <s v="Office Chair"/>
    <s v="Furniture"/>
    <s v="S906"/>
    <s v="BlueRiver Trading"/>
    <s v="Africa"/>
    <s v="WH 10"/>
    <s v="Cairo"/>
    <x v="2"/>
    <n v="125"/>
    <n v="231.94"/>
    <n v="28992.5"/>
    <n v="10.3"/>
    <n v="11"/>
    <n v="12"/>
    <n v="108"/>
    <x v="1"/>
    <x v="2"/>
    <n v="7478.94"/>
  </r>
  <r>
    <n v="101328"/>
    <d v="2025-08-15T00:00:00"/>
    <d v="2025-08-15T00:00:00"/>
    <d v="2025-08-18T00:00:00"/>
    <s v="C4976"/>
    <x v="2"/>
    <s v="Mexico"/>
    <s v="P98340"/>
    <s v="Study Table"/>
    <s v="Furniture"/>
    <s v="S972"/>
    <s v="Summit Supply Co"/>
    <s v="Europe"/>
    <s v="WH 01"/>
    <s v="Karachi"/>
    <x v="1"/>
    <n v="81"/>
    <n v="58.71"/>
    <n v="4755.51"/>
    <n v="33.76"/>
    <n v="3"/>
    <n v="3"/>
    <n v="1324"/>
    <x v="2"/>
    <x v="0"/>
    <n v="554.34"/>
  </r>
  <r>
    <n v="101329"/>
    <d v="2025-04-06T00:00:00"/>
    <d v="2025-04-11T00:00:00"/>
    <d v="2025-05-02T00:00:00"/>
    <s v="C4564"/>
    <x v="3"/>
    <s v="Spain"/>
    <s v="P48526"/>
    <s v="Hand Sanitizer Case"/>
    <s v="Healthcare"/>
    <s v="S780"/>
    <s v="Summit Supply Co"/>
    <s v="North America"/>
    <s v="WH 06"/>
    <s v="Amsterdam"/>
    <x v="2"/>
    <n v="363"/>
    <n v="46.36"/>
    <n v="16828.68"/>
    <n v="14.63"/>
    <n v="21"/>
    <n v="26"/>
    <n v="2577"/>
    <x v="1"/>
    <x v="1"/>
    <n v="-128.28"/>
  </r>
  <r>
    <n v="101330"/>
    <d v="2024-07-04T00:00:00"/>
    <d v="2024-07-09T00:00:00"/>
    <d v="2024-07-13T00:00:00"/>
    <s v="C4054"/>
    <x v="0"/>
    <s v="Malaysia"/>
    <s v="P18977"/>
    <s v="Power Bank"/>
    <s v="Electronics"/>
    <s v="S556"/>
    <s v="Evergreen Partners"/>
    <s v="Africa"/>
    <s v="WH 09"/>
    <s v="Johannesburg"/>
    <x v="3"/>
    <n v="337"/>
    <n v="68.5"/>
    <n v="23084.5"/>
    <n v="18.88"/>
    <n v="4"/>
    <n v="9"/>
    <n v="603"/>
    <x v="0"/>
    <x v="0"/>
    <n v="4311.8500000000004"/>
  </r>
  <r>
    <n v="101331"/>
    <d v="2024-01-23T00:00:00"/>
    <d v="2024-01-23T00:00:00"/>
    <d v="2024-01-31T00:00:00"/>
    <s v="C2216"/>
    <x v="3"/>
    <s v="Netherlands"/>
    <s v="P24800"/>
    <s v="Denim Jeans"/>
    <s v="Apparel"/>
    <s v="S883"/>
    <s v="Nova Industrial"/>
    <s v="Asia"/>
    <s v="WH 10"/>
    <s v="Cairo"/>
    <x v="0"/>
    <n v="384"/>
    <n v="97"/>
    <n v="37248"/>
    <n v="23.36"/>
    <n v="8"/>
    <n v="8"/>
    <n v="2826"/>
    <x v="0"/>
    <x v="0"/>
    <n v="4219.25"/>
  </r>
  <r>
    <n v="101332"/>
    <d v="2024-08-13T00:00:00"/>
    <d v="2024-08-15T00:00:00"/>
    <d v="2024-08-20T00:00:00"/>
    <s v="C9667"/>
    <x v="3"/>
    <s v="Poland"/>
    <s v="P43292"/>
    <s v="Floor Lamp"/>
    <s v="Furniture"/>
    <s v="S524"/>
    <s v="Summit Supply Co"/>
    <s v="Africa"/>
    <s v="WH 02"/>
    <s v="Lahore"/>
    <x v="0"/>
    <n v="21"/>
    <n v="227.87"/>
    <n v="4785.2700000000004"/>
    <n v="13.07"/>
    <n v="5"/>
    <n v="7"/>
    <n v="618"/>
    <x v="1"/>
    <x v="2"/>
    <n v="699.98"/>
  </r>
  <r>
    <n v="101333"/>
    <d v="2024-03-12T00:00:00"/>
    <d v="2024-03-14T00:00:00"/>
    <d v="2024-03-26T00:00:00"/>
    <s v="C9152"/>
    <x v="4"/>
    <s v="Turkey"/>
    <s v="P67395"/>
    <s v="Storage Cabinet"/>
    <s v="Furniture"/>
    <s v="S673"/>
    <s v="Evergreen Partners"/>
    <s v="Middle East"/>
    <s v="WH 10"/>
    <s v="Cairo"/>
    <x v="2"/>
    <n v="128"/>
    <n v="182.54"/>
    <n v="23365.119999999999"/>
    <n v="7.67"/>
    <n v="12"/>
    <n v="14"/>
    <n v="1312"/>
    <x v="1"/>
    <x v="2"/>
    <n v="3013.21"/>
  </r>
  <r>
    <n v="101334"/>
    <d v="2025-05-09T00:00:00"/>
    <d v="2025-05-09T00:00:00"/>
    <d v="2025-05-12T00:00:00"/>
    <s v="C3416"/>
    <x v="3"/>
    <s v="France"/>
    <s v="P25964"/>
    <s v="Smart Watch"/>
    <s v="Electronics"/>
    <s v="S331"/>
    <s v="Vertex Manufacturing"/>
    <s v="Europe"/>
    <s v="WH 10"/>
    <s v="Cairo"/>
    <x v="1"/>
    <n v="411"/>
    <n v="150.25"/>
    <n v="61752.75"/>
    <n v="40.85"/>
    <n v="3"/>
    <n v="3"/>
    <n v="1096"/>
    <x v="2"/>
    <x v="0"/>
    <n v="7423.94"/>
  </r>
  <r>
    <n v="101335"/>
    <d v="2024-06-01T00:00:00"/>
    <d v="2024-06-01T00:00:00"/>
    <d v="2024-06-06T00:00:00"/>
    <s v="C4288"/>
    <x v="1"/>
    <s v="Egypt"/>
    <s v="P88254"/>
    <s v="Thermometer"/>
    <s v="Healthcare"/>
    <s v="S391"/>
    <s v="Nova Industrial"/>
    <s v="North America"/>
    <s v="WH 04"/>
    <s v="Istanbul"/>
    <x v="0"/>
    <n v="390"/>
    <n v="57.95"/>
    <n v="22600.5"/>
    <n v="23.53"/>
    <n v="5"/>
    <n v="5"/>
    <n v="3280"/>
    <x v="2"/>
    <x v="0"/>
    <n v="1738.75"/>
  </r>
  <r>
    <n v="101336"/>
    <d v="2024-05-24T00:00:00"/>
    <d v="2024-05-27T00:00:00"/>
    <d v="2024-06-01T00:00:00"/>
    <s v="C3446"/>
    <x v="2"/>
    <s v="Mexico"/>
    <s v="P13346"/>
    <s v="Smart Watch"/>
    <s v="Electronics"/>
    <s v="S223"/>
    <s v="Atlas Sourcing"/>
    <s v="Asia"/>
    <s v="WH 09"/>
    <s v="Johannesburg"/>
    <x v="1"/>
    <n v="95"/>
    <n v="393.14"/>
    <n v="37348.300000000003"/>
    <n v="34.67"/>
    <n v="5"/>
    <n v="8"/>
    <n v="1784"/>
    <x v="0"/>
    <x v="0"/>
    <n v="3440.75"/>
  </r>
  <r>
    <n v="101337"/>
    <d v="2025-01-23T00:00:00"/>
    <d v="2025-01-28T00:00:00"/>
    <d v="2025-02-14T00:00:00"/>
    <s v="C5182"/>
    <x v="2"/>
    <s v="United States"/>
    <s v="P54700"/>
    <s v="Snack Carton"/>
    <s v="FMCG"/>
    <s v="S364"/>
    <s v="Crescent Logistics"/>
    <s v="North America"/>
    <s v="WH 01"/>
    <s v="Karachi"/>
    <x v="2"/>
    <n v="274"/>
    <n v="36.75"/>
    <n v="10069.5"/>
    <n v="9.64"/>
    <n v="17"/>
    <n v="22"/>
    <n v="1773"/>
    <x v="0"/>
    <x v="0"/>
    <n v="1010.04"/>
  </r>
  <r>
    <n v="101338"/>
    <d v="2025-04-07T00:00:00"/>
    <d v="2025-04-07T00:00:00"/>
    <d v="2025-04-26T00:00:00"/>
    <s v="C9746"/>
    <x v="3"/>
    <s v="Netherlands"/>
    <s v="P15136"/>
    <s v="Bluetooth Speaker"/>
    <s v="Electronics"/>
    <s v="S935"/>
    <s v="Zenith Procurement"/>
    <s v="Africa"/>
    <s v="WH 06"/>
    <s v="Amsterdam"/>
    <x v="2"/>
    <n v="294"/>
    <n v="418.8"/>
    <n v="123127.2"/>
    <n v="13.38"/>
    <n v="19"/>
    <n v="19"/>
    <n v="93"/>
    <x v="0"/>
    <x v="0"/>
    <n v="18365.66"/>
  </r>
  <r>
    <n v="101339"/>
    <d v="2025-03-16T00:00:00"/>
    <d v="2025-03-21T00:00:00"/>
    <d v="2025-03-25T00:00:00"/>
    <s v="C9963"/>
    <x v="0"/>
    <s v="China"/>
    <s v="P48082"/>
    <s v="Hand Sanitizer Case"/>
    <s v="Healthcare"/>
    <s v="S508"/>
    <s v="Crescent Logistics"/>
    <s v="Middle East"/>
    <s v="WH 10"/>
    <s v="Cairo"/>
    <x v="1"/>
    <n v="480"/>
    <n v="20.64"/>
    <n v="9907.2000000000007"/>
    <n v="59.62"/>
    <n v="4"/>
    <n v="9"/>
    <n v="3332"/>
    <x v="1"/>
    <x v="2"/>
    <n v="1786.97"/>
  </r>
  <r>
    <n v="101340"/>
    <d v="2024-01-13T00:00:00"/>
    <d v="2024-01-14T00:00:00"/>
    <d v="2024-01-19T00:00:00"/>
    <s v="C5872"/>
    <x v="2"/>
    <s v="United States"/>
    <s v="P53341"/>
    <s v="Wireless Earbuds"/>
    <s v="Electronics"/>
    <s v="S479"/>
    <s v="Atlas Sourcing"/>
    <s v="North America"/>
    <s v="WH 03"/>
    <s v="Dubai"/>
    <x v="1"/>
    <n v="228"/>
    <n v="158.38"/>
    <n v="36110.639999999999"/>
    <n v="32.06"/>
    <n v="5"/>
    <n v="6"/>
    <n v="503"/>
    <x v="2"/>
    <x v="0"/>
    <n v="7205.96"/>
  </r>
  <r>
    <n v="101341"/>
    <d v="2025-08-31T00:00:00"/>
    <d v="2025-09-04T00:00:00"/>
    <d v="2025-09-06T00:00:00"/>
    <s v="C8177"/>
    <x v="0"/>
    <s v="Indonesia"/>
    <s v="P61158"/>
    <s v="Vitamin Pack"/>
    <s v="Healthcare"/>
    <s v="S143"/>
    <s v="Evergreen Partners"/>
    <s v="North America"/>
    <s v="WH 10"/>
    <s v="Cairo"/>
    <x v="1"/>
    <n v="260"/>
    <n v="13.37"/>
    <n v="3476.2"/>
    <n v="45.36"/>
    <n v="2"/>
    <n v="6"/>
    <n v="1109"/>
    <x v="2"/>
    <x v="0"/>
    <n v="496.41"/>
  </r>
  <r>
    <n v="101342"/>
    <d v="2024-12-01T00:00:00"/>
    <d v="2024-12-03T00:00:00"/>
    <d v="2024-12-24T00:00:00"/>
    <s v="C3177"/>
    <x v="4"/>
    <s v="Saudi Arabia"/>
    <s v="P80639"/>
    <s v="Hoodie"/>
    <s v="Apparel"/>
    <s v="S638"/>
    <s v="Atlas Sourcing"/>
    <s v="Africa"/>
    <s v="WH 07"/>
    <s v="Toronto"/>
    <x v="2"/>
    <n v="11"/>
    <n v="60.86"/>
    <n v="669.46"/>
    <n v="8.2200000000000006"/>
    <n v="21"/>
    <n v="23"/>
    <n v="1096"/>
    <x v="0"/>
    <x v="0"/>
    <n v="165.99"/>
  </r>
  <r>
    <n v="101343"/>
    <d v="2025-03-31T00:00:00"/>
    <d v="2025-04-01T00:00:00"/>
    <d v="2025-04-25T00:00:00"/>
    <s v="C8163"/>
    <x v="4"/>
    <s v="Saudi Arabia"/>
    <s v="P53924"/>
    <s v="Bookshelf"/>
    <s v="Furniture"/>
    <s v="S538"/>
    <s v="Crescent Logistics"/>
    <s v="Middle East"/>
    <s v="WH 02"/>
    <s v="Lahore"/>
    <x v="2"/>
    <n v="66"/>
    <n v="123.7"/>
    <n v="8164.2"/>
    <n v="6.83"/>
    <n v="24"/>
    <n v="25"/>
    <n v="1038"/>
    <x v="0"/>
    <x v="0"/>
    <n v="1686.5"/>
  </r>
  <r>
    <n v="101344"/>
    <d v="2025-12-14T00:00:00"/>
    <d v="2025-12-15T00:00:00"/>
    <d v="2025-12-21T00:00:00"/>
    <s v="C8771"/>
    <x v="3"/>
    <s v="Spain"/>
    <s v="P11929"/>
    <s v="Toothpaste Box"/>
    <s v="FMCG"/>
    <s v="S600"/>
    <s v="Atlas Sourcing"/>
    <s v="Africa"/>
    <s v="WH 08"/>
    <s v="Chicago"/>
    <x v="3"/>
    <n v="236"/>
    <n v="25.85"/>
    <n v="6100.6"/>
    <n v="16.43"/>
    <n v="6"/>
    <n v="7"/>
    <n v="3519"/>
    <x v="2"/>
    <x v="0"/>
    <n v="784.12"/>
  </r>
  <r>
    <n v="101345"/>
    <d v="2024-11-11T00:00:00"/>
    <d v="2024-11-14T00:00:00"/>
    <d v="2024-12-06T00:00:00"/>
    <s v="C2828"/>
    <x v="2"/>
    <s v="United States"/>
    <s v="P21252"/>
    <s v="Denim Jeans"/>
    <s v="Apparel"/>
    <s v="S369"/>
    <s v="Crescent Logistics"/>
    <s v="Middle East"/>
    <s v="WH 10"/>
    <s v="Cairo"/>
    <x v="2"/>
    <n v="360"/>
    <n v="12.87"/>
    <n v="4633.2"/>
    <n v="14.58"/>
    <n v="22"/>
    <n v="25"/>
    <n v="1401"/>
    <x v="1"/>
    <x v="3"/>
    <n v="602.16"/>
  </r>
  <r>
    <n v="101346"/>
    <d v="2025-05-17T00:00:00"/>
    <d v="2025-05-20T00:00:00"/>
    <d v="2025-06-14T00:00:00"/>
    <s v="C3747"/>
    <x v="0"/>
    <s v="India"/>
    <s v="P36641"/>
    <s v="Power Bank"/>
    <s v="Electronics"/>
    <s v="S544"/>
    <s v="Atlas Sourcing"/>
    <s v="Middle East"/>
    <s v="WH 07"/>
    <s v="Toronto"/>
    <x v="2"/>
    <n v="58"/>
    <n v="426.29"/>
    <n v="24724.82"/>
    <n v="9.08"/>
    <n v="25"/>
    <n v="28"/>
    <n v="1112"/>
    <x v="0"/>
    <x v="0"/>
    <n v="2909.63"/>
  </r>
  <r>
    <n v="101347"/>
    <d v="2024-05-12T00:00:00"/>
    <d v="2024-05-12T00:00:00"/>
    <d v="2024-05-21T00:00:00"/>
    <s v="C1849"/>
    <x v="1"/>
    <s v="Kenya"/>
    <s v="P79498"/>
    <s v="Router"/>
    <s v="Electronics"/>
    <s v="S556"/>
    <s v="BlueRiver Trading"/>
    <s v="Middle East"/>
    <s v="WH 07"/>
    <s v="Toronto"/>
    <x v="0"/>
    <n v="398"/>
    <n v="438.45"/>
    <n v="174503.1"/>
    <n v="23.76"/>
    <n v="9"/>
    <n v="9"/>
    <n v="910"/>
    <x v="0"/>
    <x v="0"/>
    <n v="21069.37"/>
  </r>
  <r>
    <n v="101348"/>
    <d v="2025-07-21T00:00:00"/>
    <d v="2025-07-22T00:00:00"/>
    <d v="2025-08-01T00:00:00"/>
    <s v="C9275"/>
    <x v="0"/>
    <s v="Vietnam"/>
    <s v="P11601"/>
    <s v="Bluetooth Speaker"/>
    <s v="Electronics"/>
    <s v="S308"/>
    <s v="Crescent Logistics"/>
    <s v="Europe"/>
    <s v="WH 02"/>
    <s v="Lahore"/>
    <x v="0"/>
    <n v="19"/>
    <n v="240.27"/>
    <n v="4565.13"/>
    <n v="13.01"/>
    <n v="10"/>
    <n v="11"/>
    <n v="283"/>
    <x v="0"/>
    <x v="0"/>
    <n v="478.6"/>
  </r>
  <r>
    <n v="101349"/>
    <d v="2024-01-09T00:00:00"/>
    <d v="2024-01-13T00:00:00"/>
    <d v="2024-01-16T00:00:00"/>
    <s v="C9301"/>
    <x v="3"/>
    <s v="Poland"/>
    <s v="P96849"/>
    <s v="Vitamin Pack"/>
    <s v="Healthcare"/>
    <s v="S365"/>
    <s v="Orion Supplies"/>
    <s v="Asia"/>
    <s v="WH 09"/>
    <s v="Johannesburg"/>
    <x v="1"/>
    <n v="382"/>
    <n v="8.2799999999999994"/>
    <n v="3162.96"/>
    <n v="53.27"/>
    <n v="3"/>
    <n v="7"/>
    <n v="1154"/>
    <x v="1"/>
    <x v="1"/>
    <n v="-199.35"/>
  </r>
  <r>
    <n v="101350"/>
    <d v="2024-11-10T00:00:00"/>
    <d v="2024-11-12T00:00:00"/>
    <d v="2024-11-13T00:00:00"/>
    <s v="C2957"/>
    <x v="0"/>
    <s v="India"/>
    <s v="P98568"/>
    <s v="Bottled Water Case"/>
    <s v="FMCG"/>
    <s v="S948"/>
    <s v="Vertex Manufacturing"/>
    <s v="Middle East"/>
    <s v="WH 03"/>
    <s v="Dubai"/>
    <x v="1"/>
    <n v="460"/>
    <n v="17.12"/>
    <n v="7875.2"/>
    <n v="58.32"/>
    <n v="1"/>
    <n v="3"/>
    <n v="2819"/>
    <x v="2"/>
    <x v="0"/>
    <n v="627.49"/>
  </r>
  <r>
    <n v="101351"/>
    <d v="2025-06-19T00:00:00"/>
    <d v="2025-06-20T00:00:00"/>
    <d v="2025-06-23T00:00:00"/>
    <s v="C1744"/>
    <x v="2"/>
    <s v="Canada"/>
    <s v="P98340"/>
    <s v="Toothpaste Box"/>
    <s v="FMCG"/>
    <s v="S542"/>
    <s v="Orion Supplies"/>
    <s v="Africa"/>
    <s v="WH 05"/>
    <s v="Frankfurt"/>
    <x v="1"/>
    <n v="380"/>
    <n v="10.37"/>
    <n v="3940.6"/>
    <n v="53.14"/>
    <n v="3"/>
    <n v="4"/>
    <n v="475"/>
    <x v="2"/>
    <x v="0"/>
    <n v="153.85"/>
  </r>
  <r>
    <n v="101352"/>
    <d v="2024-07-15T00:00:00"/>
    <d v="2024-07-18T00:00:00"/>
    <d v="2024-08-02T00:00:00"/>
    <s v="C6251"/>
    <x v="0"/>
    <s v="Vietnam"/>
    <s v="P29575"/>
    <s v="Bluetooth Speaker"/>
    <s v="Electronics"/>
    <s v="S827"/>
    <s v="Summit Supply Co"/>
    <s v="North America"/>
    <s v="WH 02"/>
    <s v="Lahore"/>
    <x v="0"/>
    <n v="145"/>
    <n v="73.39"/>
    <n v="10641.55"/>
    <n v="16.579999999999998"/>
    <n v="15"/>
    <n v="18"/>
    <n v="578"/>
    <x v="1"/>
    <x v="3"/>
    <n v="1373.6"/>
  </r>
  <r>
    <n v="101353"/>
    <d v="2025-06-05T00:00:00"/>
    <d v="2025-06-10T00:00:00"/>
    <d v="2025-06-16T00:00:00"/>
    <s v="C8608"/>
    <x v="3"/>
    <s v="Germany"/>
    <s v="P65149"/>
    <s v="Shampoo Pack"/>
    <s v="FMCG"/>
    <s v="S546"/>
    <s v="Atlas Sourcing"/>
    <s v="Middle East"/>
    <s v="WH 07"/>
    <s v="Toronto"/>
    <x v="3"/>
    <n v="116"/>
    <n v="7.29"/>
    <n v="845.64"/>
    <n v="13.51"/>
    <n v="6"/>
    <n v="11"/>
    <n v="4314"/>
    <x v="0"/>
    <x v="0"/>
    <n v="34.090000000000003"/>
  </r>
  <r>
    <n v="101354"/>
    <d v="2025-01-28T00:00:00"/>
    <d v="2025-01-29T00:00:00"/>
    <d v="2025-02-21T00:00:00"/>
    <s v="C8002"/>
    <x v="2"/>
    <s v="Mexico"/>
    <s v="P69273"/>
    <s v="Denim Jeans"/>
    <s v="Apparel"/>
    <s v="S796"/>
    <s v="Evergreen Partners"/>
    <s v="Asia"/>
    <s v="WH 08"/>
    <s v="Chicago"/>
    <x v="2"/>
    <n v="123"/>
    <n v="49.94"/>
    <n v="6142.62"/>
    <n v="10.26"/>
    <n v="23"/>
    <n v="24"/>
    <n v="1986"/>
    <x v="0"/>
    <x v="0"/>
    <n v="1129.99"/>
  </r>
  <r>
    <n v="101355"/>
    <d v="2024-04-20T00:00:00"/>
    <d v="2024-04-25T00:00:00"/>
    <d v="2024-05-19T00:00:00"/>
    <s v="C3274"/>
    <x v="0"/>
    <s v="India"/>
    <s v="P20830"/>
    <s v="Wireless Earbuds"/>
    <s v="Electronics"/>
    <s v="S315"/>
    <s v="Zenith Procurement"/>
    <s v="Asia"/>
    <s v="WH 10"/>
    <s v="Cairo"/>
    <x v="2"/>
    <n v="442"/>
    <n v="238.16"/>
    <n v="105266.72"/>
    <n v="11.91"/>
    <n v="24"/>
    <n v="29"/>
    <n v="405"/>
    <x v="0"/>
    <x v="0"/>
    <n v="22597.61"/>
  </r>
  <r>
    <n v="101356"/>
    <d v="2025-02-23T00:00:00"/>
    <d v="2025-02-23T00:00:00"/>
    <d v="2025-02-27T00:00:00"/>
    <s v="C4381"/>
    <x v="0"/>
    <s v="Bangladesh"/>
    <s v="P17447"/>
    <s v="Bluetooth Speaker"/>
    <s v="Electronics"/>
    <s v="S915"/>
    <s v="Vertex Manufacturing"/>
    <s v="Europe"/>
    <s v="WH 03"/>
    <s v="Dubai"/>
    <x v="1"/>
    <n v="349"/>
    <n v="113.13"/>
    <n v="39482.370000000003"/>
    <n v="51.13"/>
    <n v="4"/>
    <n v="4"/>
    <n v="1592"/>
    <x v="2"/>
    <x v="0"/>
    <n v="7223.75"/>
  </r>
  <r>
    <n v="101357"/>
    <d v="2025-07-19T00:00:00"/>
    <d v="2025-07-20T00:00:00"/>
    <d v="2025-08-02T00:00:00"/>
    <s v="C1638"/>
    <x v="1"/>
    <s v="Nigeria"/>
    <s v="P83245"/>
    <s v="First Aid Kit"/>
    <s v="Healthcare"/>
    <s v="S123"/>
    <s v="Evergreen Partners"/>
    <s v="Europe"/>
    <s v="WH 05"/>
    <s v="Frankfurt"/>
    <x v="3"/>
    <n v="480"/>
    <n v="61.11"/>
    <n v="29332.799999999999"/>
    <n v="22.36"/>
    <n v="13"/>
    <n v="14"/>
    <n v="3905"/>
    <x v="0"/>
    <x v="0"/>
    <n v="5625.55"/>
  </r>
  <r>
    <n v="101358"/>
    <d v="2025-04-08T00:00:00"/>
    <d v="2025-04-09T00:00:00"/>
    <d v="2025-04-11T00:00:00"/>
    <s v="C9859"/>
    <x v="2"/>
    <s v="United States"/>
    <s v="P27399"/>
    <s v="Sportswear Set"/>
    <s v="Apparel"/>
    <s v="S435"/>
    <s v="Zenith Procurement"/>
    <s v="North America"/>
    <s v="WH 02"/>
    <s v="Lahore"/>
    <x v="1"/>
    <n v="163"/>
    <n v="38.17"/>
    <n v="6221.71"/>
    <n v="28.94"/>
    <n v="2"/>
    <n v="3"/>
    <n v="2284"/>
    <x v="2"/>
    <x v="0"/>
    <n v="1163.82"/>
  </r>
  <r>
    <n v="101359"/>
    <d v="2024-05-02T00:00:00"/>
    <d v="2024-05-02T00:00:00"/>
    <d v="2024-05-06T00:00:00"/>
    <s v="C6633"/>
    <x v="3"/>
    <s v="Sweden"/>
    <s v="P42734"/>
    <s v="Snack Carton"/>
    <s v="FMCG"/>
    <s v="S470"/>
    <s v="Crescent Logistics"/>
    <s v="Middle East"/>
    <s v="WH 08"/>
    <s v="Chicago"/>
    <x v="0"/>
    <n v="314"/>
    <n v="10.5"/>
    <n v="3297"/>
    <n v="21.38"/>
    <n v="4"/>
    <n v="4"/>
    <n v="1608"/>
    <x v="2"/>
    <x v="0"/>
    <n v="219.82"/>
  </r>
  <r>
    <n v="101360"/>
    <d v="2024-01-31T00:00:00"/>
    <d v="2024-02-05T00:00:00"/>
    <d v="2024-02-15T00:00:00"/>
    <s v="C7037"/>
    <x v="0"/>
    <s v="Pakistan"/>
    <s v="P24426"/>
    <s v="Face Mask Box"/>
    <s v="Healthcare"/>
    <s v="S699"/>
    <s v="Nova Industrial"/>
    <s v="Europe"/>
    <s v="WH 02"/>
    <s v="Lahore"/>
    <x v="3"/>
    <n v="341"/>
    <n v="68.06"/>
    <n v="23208.46"/>
    <n v="18.98"/>
    <n v="10"/>
    <n v="15"/>
    <n v="1334"/>
    <x v="0"/>
    <x v="0"/>
    <n v="3797.71"/>
  </r>
  <r>
    <n v="101361"/>
    <d v="2024-02-23T00:00:00"/>
    <d v="2024-02-23T00:00:00"/>
    <d v="2024-02-26T00:00:00"/>
    <s v="C1239"/>
    <x v="3"/>
    <s v="France"/>
    <s v="P70237"/>
    <s v="Bookshelf"/>
    <s v="Furniture"/>
    <s v="S517"/>
    <s v="Zenith Procurement"/>
    <s v="Middle East"/>
    <s v="WH 07"/>
    <s v="Toronto"/>
    <x v="1"/>
    <n v="353"/>
    <n v="285.7"/>
    <n v="100852.1"/>
    <n v="51.39"/>
    <n v="3"/>
    <n v="3"/>
    <n v="1846"/>
    <x v="2"/>
    <x v="0"/>
    <n v="21521.59"/>
  </r>
  <r>
    <n v="101362"/>
    <d v="2024-08-15T00:00:00"/>
    <d v="2024-08-19T00:00:00"/>
    <d v="2024-08-26T00:00:00"/>
    <s v="C3880"/>
    <x v="4"/>
    <s v="Turkey"/>
    <s v="P59831"/>
    <s v="Denim Jeans"/>
    <s v="Apparel"/>
    <s v="S586"/>
    <s v="Atlas Sourcing"/>
    <s v="Middle East"/>
    <s v="WH 07"/>
    <s v="Toronto"/>
    <x v="3"/>
    <n v="46"/>
    <n v="108.11"/>
    <n v="4973.0600000000004"/>
    <n v="8.75"/>
    <n v="7"/>
    <n v="11"/>
    <n v="1588"/>
    <x v="0"/>
    <x v="0"/>
    <n v="1424.91"/>
  </r>
  <r>
    <n v="101363"/>
    <d v="2025-06-08T00:00:00"/>
    <d v="2025-06-11T00:00:00"/>
    <d v="2025-06-22T00:00:00"/>
    <s v="C7376"/>
    <x v="1"/>
    <s v="Morocco"/>
    <s v="P20114"/>
    <s v="Storage Cabinet"/>
    <s v="Furniture"/>
    <s v="S737"/>
    <s v="Summit Supply Co"/>
    <s v="Europe"/>
    <s v="WH 07"/>
    <s v="Toronto"/>
    <x v="3"/>
    <n v="244"/>
    <n v="279.79000000000002"/>
    <n v="68268.759999999995"/>
    <n v="16.62"/>
    <n v="11"/>
    <n v="14"/>
    <n v="2175"/>
    <x v="0"/>
    <x v="0"/>
    <n v="10931.41"/>
  </r>
  <r>
    <n v="101364"/>
    <d v="2025-04-26T00:00:00"/>
    <d v="2025-04-28T00:00:00"/>
    <d v="2025-05-04T00:00:00"/>
    <s v="C7443"/>
    <x v="1"/>
    <s v="Egypt"/>
    <s v="P95469"/>
    <s v="Thermometer"/>
    <s v="Healthcare"/>
    <s v="S182"/>
    <s v="Atlas Sourcing"/>
    <s v="Asia"/>
    <s v="WH 04"/>
    <s v="Istanbul"/>
    <x v="0"/>
    <n v="306"/>
    <n v="14.93"/>
    <n v="4568.58"/>
    <n v="21.15"/>
    <n v="6"/>
    <n v="8"/>
    <n v="3569"/>
    <x v="0"/>
    <x v="0"/>
    <n v="354.26"/>
  </r>
  <r>
    <n v="101365"/>
    <d v="2024-04-17T00:00:00"/>
    <d v="2024-04-20T00:00:00"/>
    <d v="2024-04-22T00:00:00"/>
    <s v="C6737"/>
    <x v="0"/>
    <s v="India"/>
    <s v="P84975"/>
    <s v="Wireless Earbuds"/>
    <s v="Electronics"/>
    <s v="S361"/>
    <s v="Summit Supply Co"/>
    <s v="Middle East"/>
    <s v="WH 03"/>
    <s v="Dubai"/>
    <x v="1"/>
    <n v="260"/>
    <n v="187.05"/>
    <n v="48633"/>
    <n v="45.36"/>
    <n v="2"/>
    <n v="5"/>
    <n v="175"/>
    <x v="2"/>
    <x v="0"/>
    <n v="4956.6000000000004"/>
  </r>
  <r>
    <n v="101366"/>
    <d v="2025-06-07T00:00:00"/>
    <d v="2025-06-08T00:00:00"/>
    <d v="2025-06-15T00:00:00"/>
    <s v="C1812"/>
    <x v="0"/>
    <s v="Bangladesh"/>
    <s v="P67052"/>
    <s v="Denim Jeans"/>
    <s v="Apparel"/>
    <s v="S951"/>
    <s v="Nova Industrial"/>
    <s v="Middle East"/>
    <s v="WH 03"/>
    <s v="Dubai"/>
    <x v="0"/>
    <n v="218"/>
    <n v="97.71"/>
    <n v="21300.78"/>
    <n v="18.649999999999999"/>
    <n v="7"/>
    <n v="8"/>
    <n v="1020"/>
    <x v="0"/>
    <x v="0"/>
    <n v="5306.9"/>
  </r>
  <r>
    <n v="101367"/>
    <d v="2025-04-26T00:00:00"/>
    <d v="2025-04-28T00:00:00"/>
    <d v="2025-05-02T00:00:00"/>
    <s v="C9294"/>
    <x v="3"/>
    <s v="France"/>
    <s v="P97469"/>
    <s v="Shampoo Pack"/>
    <s v="FMCG"/>
    <s v="S891"/>
    <s v="Crescent Logistics"/>
    <s v="Asia"/>
    <s v="WH 03"/>
    <s v="Dubai"/>
    <x v="3"/>
    <n v="151"/>
    <n v="26.88"/>
    <n v="4058.88"/>
    <n v="14.36"/>
    <n v="4"/>
    <n v="6"/>
    <n v="2992"/>
    <x v="2"/>
    <x v="0"/>
    <n v="547.53"/>
  </r>
  <r>
    <n v="101368"/>
    <d v="2024-09-12T00:00:00"/>
    <d v="2024-09-12T00:00:00"/>
    <d v="2024-09-26T00:00:00"/>
    <s v="C3577"/>
    <x v="0"/>
    <s v="China"/>
    <s v="P43443"/>
    <s v="Bookshelf"/>
    <s v="Furniture"/>
    <s v="S491"/>
    <s v="Orion Supplies"/>
    <s v="Asia"/>
    <s v="WH 10"/>
    <s v="Cairo"/>
    <x v="3"/>
    <n v="155"/>
    <n v="191.94"/>
    <n v="29750.7"/>
    <n v="10.71"/>
    <n v="14"/>
    <n v="14"/>
    <n v="1326"/>
    <x v="0"/>
    <x v="0"/>
    <n v="4245.7299999999996"/>
  </r>
  <r>
    <n v="101369"/>
    <d v="2024-10-15T00:00:00"/>
    <d v="2024-10-16T00:00:00"/>
    <d v="2024-10-21T00:00:00"/>
    <s v="C7018"/>
    <x v="4"/>
    <s v="Turkey"/>
    <s v="P34236"/>
    <s v="Shampoo Pack"/>
    <s v="FMCG"/>
    <s v="S634"/>
    <s v="Crescent Logistics"/>
    <s v="North America"/>
    <s v="WH 03"/>
    <s v="Dubai"/>
    <x v="0"/>
    <n v="400"/>
    <n v="9.77"/>
    <n v="3908"/>
    <n v="23.81"/>
    <n v="5"/>
    <n v="6"/>
    <n v="1679"/>
    <x v="2"/>
    <x v="0"/>
    <n v="643.12"/>
  </r>
  <r>
    <n v="101370"/>
    <d v="2025-07-28T00:00:00"/>
    <d v="2025-08-01T00:00:00"/>
    <d v="2025-08-07T00:00:00"/>
    <s v="C9600"/>
    <x v="3"/>
    <s v="Germany"/>
    <s v="P57670"/>
    <s v="Router"/>
    <s v="Electronics"/>
    <s v="S252"/>
    <s v="Evergreen Partners"/>
    <s v="Europe"/>
    <s v="WH 03"/>
    <s v="Dubai"/>
    <x v="0"/>
    <n v="228"/>
    <n v="78.62"/>
    <n v="17925.36"/>
    <n v="14.03"/>
    <n v="6"/>
    <n v="10"/>
    <n v="1708"/>
    <x v="0"/>
    <x v="0"/>
    <n v="1484.11"/>
  </r>
  <r>
    <n v="101371"/>
    <d v="2025-07-30T00:00:00"/>
    <d v="2025-07-31T00:00:00"/>
    <d v="2025-08-12T00:00:00"/>
    <s v="C3488"/>
    <x v="3"/>
    <s v="Poland"/>
    <s v="P38897"/>
    <s v="Hand Sanitizer Case"/>
    <s v="Healthcare"/>
    <s v="S470"/>
    <s v="Pioneer Distribution"/>
    <s v="Middle East"/>
    <s v="WH 06"/>
    <s v="Amsterdam"/>
    <x v="3"/>
    <n v="37"/>
    <n v="43.76"/>
    <n v="1619.12"/>
    <n v="11.59"/>
    <n v="12"/>
    <n v="13"/>
    <n v="215"/>
    <x v="0"/>
    <x v="0"/>
    <n v="161.05000000000001"/>
  </r>
  <r>
    <n v="101372"/>
    <d v="2025-03-29T00:00:00"/>
    <d v="2025-03-30T00:00:00"/>
    <d v="2025-04-08T00:00:00"/>
    <s v="C9123"/>
    <x v="0"/>
    <s v="Bangladesh"/>
    <s v="P69596"/>
    <s v="Smart Watch"/>
    <s v="Electronics"/>
    <s v="S977"/>
    <s v="Orion Supplies"/>
    <s v="Asia"/>
    <s v="WH 10"/>
    <s v="Cairo"/>
    <x v="3"/>
    <n v="254"/>
    <n v="429.82"/>
    <n v="109174.28"/>
    <n v="12.49"/>
    <n v="9"/>
    <n v="10"/>
    <n v="992"/>
    <x v="0"/>
    <x v="0"/>
    <n v="11840.52"/>
  </r>
  <r>
    <n v="101373"/>
    <d v="2025-02-13T00:00:00"/>
    <d v="2025-02-18T00:00:00"/>
    <d v="2025-03-07T00:00:00"/>
    <s v="C7257"/>
    <x v="1"/>
    <s v="Kenya"/>
    <s v="P45035"/>
    <s v="Power Bank"/>
    <s v="Electronics"/>
    <s v="S319"/>
    <s v="Evergreen Partners"/>
    <s v="Middle East"/>
    <s v="WH 09"/>
    <s v="Johannesburg"/>
    <x v="2"/>
    <n v="482"/>
    <n v="276.64999999999998"/>
    <n v="133345.29999999999"/>
    <n v="16.8"/>
    <n v="17"/>
    <n v="22"/>
    <n v="992"/>
    <x v="0"/>
    <x v="0"/>
    <n v="14785.67"/>
  </r>
  <r>
    <n v="101374"/>
    <d v="2025-03-03T00:00:00"/>
    <d v="2025-03-03T00:00:00"/>
    <d v="2025-03-07T00:00:00"/>
    <s v="C6333"/>
    <x v="1"/>
    <s v="Morocco"/>
    <s v="P98591"/>
    <s v="Denim Jeans"/>
    <s v="Apparel"/>
    <s v="S765"/>
    <s v="Evergreen Partners"/>
    <s v="Europe"/>
    <s v="WH 05"/>
    <s v="Frankfurt"/>
    <x v="1"/>
    <n v="25"/>
    <n v="13.78"/>
    <n v="344.5"/>
    <n v="30.13"/>
    <n v="4"/>
    <n v="4"/>
    <n v="2732"/>
    <x v="2"/>
    <x v="0"/>
    <n v="8.65"/>
  </r>
  <r>
    <n v="101375"/>
    <d v="2025-10-18T00:00:00"/>
    <d v="2025-10-23T00:00:00"/>
    <d v="2025-10-25T00:00:00"/>
    <s v="C3736"/>
    <x v="1"/>
    <s v="Egypt"/>
    <s v="P43724"/>
    <s v="Toothpaste Box"/>
    <s v="FMCG"/>
    <s v="S276"/>
    <s v="Evergreen Partners"/>
    <s v="Africa"/>
    <s v="WH 01"/>
    <s v="Karachi"/>
    <x v="0"/>
    <n v="70"/>
    <n v="28.65"/>
    <n v="2005.5"/>
    <n v="10.71"/>
    <n v="2"/>
    <n v="7"/>
    <n v="3754"/>
    <x v="2"/>
    <x v="0"/>
    <n v="276.17"/>
  </r>
  <r>
    <n v="101376"/>
    <d v="2025-01-27T00:00:00"/>
    <d v="2025-01-31T00:00:00"/>
    <d v="2025-02-11T00:00:00"/>
    <s v="C7569"/>
    <x v="4"/>
    <s v="Saudi Arabia"/>
    <s v="P12838"/>
    <s v="Thermometer"/>
    <s v="Healthcare"/>
    <s v="S614"/>
    <s v="BlueRiver Trading"/>
    <s v="Middle East"/>
    <s v="WH 08"/>
    <s v="Chicago"/>
    <x v="2"/>
    <n v="138"/>
    <n v="66.81"/>
    <n v="9219.7800000000007"/>
    <n v="7.8"/>
    <n v="11"/>
    <n v="15"/>
    <n v="2062"/>
    <x v="1"/>
    <x v="2"/>
    <n v="637.98"/>
  </r>
  <r>
    <n v="101377"/>
    <d v="2025-12-18T00:00:00"/>
    <d v="2025-12-22T00:00:00"/>
    <d v="2025-12-27T00:00:00"/>
    <s v="C7890"/>
    <x v="4"/>
    <s v="Oman"/>
    <s v="P73253"/>
    <s v="Shampoo Pack"/>
    <s v="FMCG"/>
    <s v="S813"/>
    <s v="Zenith Procurement"/>
    <s v="Middle East"/>
    <s v="WH 04"/>
    <s v="Istanbul"/>
    <x v="1"/>
    <n v="359"/>
    <n v="7.01"/>
    <n v="2516.59"/>
    <n v="38.35"/>
    <n v="5"/>
    <n v="9"/>
    <n v="2021"/>
    <x v="0"/>
    <x v="0"/>
    <n v="222.37"/>
  </r>
  <r>
    <n v="101378"/>
    <d v="2024-04-14T00:00:00"/>
    <d v="2024-04-14T00:00:00"/>
    <d v="2024-04-26T00:00:00"/>
    <s v="C3625"/>
    <x v="0"/>
    <s v="Pakistan"/>
    <s v="P52591"/>
    <s v="Wireless Earbuds"/>
    <s v="Electronics"/>
    <s v="S157"/>
    <s v="Vertex Manufacturing"/>
    <s v="North America"/>
    <s v="WH 01"/>
    <s v="Karachi"/>
    <x v="1"/>
    <n v="113"/>
    <n v="232.05"/>
    <n v="26221.65"/>
    <n v="35.83"/>
    <n v="12"/>
    <n v="12"/>
    <n v="1140"/>
    <x v="1"/>
    <x v="3"/>
    <n v="4641.53"/>
  </r>
  <r>
    <n v="101379"/>
    <d v="2025-10-04T00:00:00"/>
    <d v="2025-10-08T00:00:00"/>
    <d v="2025-10-25T00:00:00"/>
    <s v="C2775"/>
    <x v="2"/>
    <s v="United States"/>
    <s v="P96127"/>
    <s v="Vitamin Pack"/>
    <s v="Healthcare"/>
    <s v="S187"/>
    <s v="BlueRiver Trading"/>
    <s v="Europe"/>
    <s v="WH 10"/>
    <s v="Cairo"/>
    <x v="2"/>
    <n v="237"/>
    <n v="69.53"/>
    <n v="16478.61"/>
    <n v="12.34"/>
    <n v="17"/>
    <n v="21"/>
    <n v="1528"/>
    <x v="0"/>
    <x v="0"/>
    <n v="1970.76"/>
  </r>
  <r>
    <n v="101380"/>
    <d v="2024-08-18T00:00:00"/>
    <d v="2024-08-19T00:00:00"/>
    <d v="2024-08-23T00:00:00"/>
    <s v="C3302"/>
    <x v="2"/>
    <s v="United States"/>
    <s v="P39123"/>
    <s v="First Aid Kit"/>
    <s v="Healthcare"/>
    <s v="S241"/>
    <s v="Orion Supplies"/>
    <s v="Europe"/>
    <s v="WH 05"/>
    <s v="Frankfurt"/>
    <x v="0"/>
    <n v="78"/>
    <n v="37.520000000000003"/>
    <n v="2926.56"/>
    <n v="14.69"/>
    <n v="4"/>
    <n v="5"/>
    <n v="3926"/>
    <x v="2"/>
    <x v="0"/>
    <n v="405.87"/>
  </r>
  <r>
    <n v="101381"/>
    <d v="2025-03-17T00:00:00"/>
    <d v="2025-03-22T00:00:00"/>
    <d v="2025-04-01T00:00:00"/>
    <s v="C3560"/>
    <x v="1"/>
    <s v="Morocco"/>
    <s v="P17527"/>
    <s v="Router"/>
    <s v="Electronics"/>
    <s v="S676"/>
    <s v="Pioneer Distribution"/>
    <s v="Asia"/>
    <s v="WH 01"/>
    <s v="Karachi"/>
    <x v="0"/>
    <n v="10"/>
    <n v="357.11"/>
    <n v="3571.1"/>
    <n v="12.76"/>
    <n v="10"/>
    <n v="15"/>
    <n v="430"/>
    <x v="0"/>
    <x v="0"/>
    <n v="453.35"/>
  </r>
  <r>
    <n v="101382"/>
    <d v="2024-02-01T00:00:00"/>
    <d v="2024-02-01T00:00:00"/>
    <d v="2024-02-03T00:00:00"/>
    <s v="C4505"/>
    <x v="0"/>
    <s v="Bangladesh"/>
    <s v="P11084"/>
    <s v="Wireless Earbuds"/>
    <s v="Electronics"/>
    <s v="S652"/>
    <s v="Nova Industrial"/>
    <s v="Middle East"/>
    <s v="WH 09"/>
    <s v="Johannesburg"/>
    <x v="1"/>
    <n v="450"/>
    <n v="305.17"/>
    <n v="137326.5"/>
    <n v="57.67"/>
    <n v="2"/>
    <n v="2"/>
    <n v="1427"/>
    <x v="2"/>
    <x v="0"/>
    <n v="1321.67"/>
  </r>
  <r>
    <n v="101383"/>
    <d v="2024-05-26T00:00:00"/>
    <d v="2024-05-29T00:00:00"/>
    <d v="2024-06-09T00:00:00"/>
    <s v="C7794"/>
    <x v="2"/>
    <s v="Canada"/>
    <s v="P89019"/>
    <s v="Denim Jeans"/>
    <s v="Apparel"/>
    <s v="S712"/>
    <s v="BlueRiver Trading"/>
    <s v="North America"/>
    <s v="WH 07"/>
    <s v="Toronto"/>
    <x v="2"/>
    <n v="196"/>
    <n v="70.790000000000006"/>
    <n v="13874.84"/>
    <n v="8.59"/>
    <n v="11"/>
    <n v="14"/>
    <n v="525"/>
    <x v="0"/>
    <x v="0"/>
    <n v="1572.63"/>
  </r>
  <r>
    <n v="101384"/>
    <d v="2025-06-05T00:00:00"/>
    <d v="2025-06-07T00:00:00"/>
    <d v="2025-06-13T00:00:00"/>
    <s v="C5687"/>
    <x v="1"/>
    <s v="Kenya"/>
    <s v="P85236"/>
    <s v="Router"/>
    <s v="Electronics"/>
    <s v="S384"/>
    <s v="Evergreen Partners"/>
    <s v="Middle East"/>
    <s v="WH 10"/>
    <s v="Cairo"/>
    <x v="0"/>
    <n v="411"/>
    <n v="399.7"/>
    <n v="164276.70000000001"/>
    <n v="24.13"/>
    <n v="6"/>
    <n v="8"/>
    <n v="1638"/>
    <x v="0"/>
    <x v="0"/>
    <n v="31925.87"/>
  </r>
  <r>
    <n v="101385"/>
    <d v="2025-06-06T00:00:00"/>
    <d v="2025-06-07T00:00:00"/>
    <d v="2025-06-11T00:00:00"/>
    <s v="C1794"/>
    <x v="2"/>
    <s v="United States"/>
    <s v="P77258"/>
    <s v="Bottled Water Case"/>
    <s v="FMCG"/>
    <s v="S673"/>
    <s v="BlueRiver Trading"/>
    <s v="Asia"/>
    <s v="WH 04"/>
    <s v="Istanbul"/>
    <x v="0"/>
    <n v="157"/>
    <n v="28.75"/>
    <n v="4513.75"/>
    <n v="16.920000000000002"/>
    <n v="4"/>
    <n v="5"/>
    <n v="402"/>
    <x v="1"/>
    <x v="2"/>
    <n v="375.52"/>
  </r>
  <r>
    <n v="101386"/>
    <d v="2025-05-25T00:00:00"/>
    <d v="2025-05-30T00:00:00"/>
    <d v="2025-06-16T00:00:00"/>
    <s v="C5570"/>
    <x v="3"/>
    <s v="Sweden"/>
    <s v="P82242"/>
    <s v="Detergent Bag"/>
    <s v="FMCG"/>
    <s v="S491"/>
    <s v="Summit Supply Co"/>
    <s v="Africa"/>
    <s v="WH 09"/>
    <s v="Johannesburg"/>
    <x v="2"/>
    <n v="444"/>
    <n v="22.91"/>
    <n v="10172.040000000001"/>
    <n v="16.11"/>
    <n v="17"/>
    <n v="22"/>
    <n v="354"/>
    <x v="0"/>
    <x v="0"/>
    <n v="1109.93"/>
  </r>
  <r>
    <n v="101387"/>
    <d v="2024-11-13T00:00:00"/>
    <d v="2024-11-16T00:00:00"/>
    <d v="2024-11-21T00:00:00"/>
    <s v="C6528"/>
    <x v="4"/>
    <s v="Saudi Arabia"/>
    <s v="P45515"/>
    <s v="Hoodie"/>
    <s v="Apparel"/>
    <s v="S156"/>
    <s v="Zenith Procurement"/>
    <s v="Africa"/>
    <s v="WH 07"/>
    <s v="Toronto"/>
    <x v="1"/>
    <n v="122"/>
    <n v="11.55"/>
    <n v="1409.1"/>
    <n v="36.42"/>
    <n v="5"/>
    <n v="8"/>
    <n v="2936"/>
    <x v="0"/>
    <x v="0"/>
    <n v="253.33"/>
  </r>
  <r>
    <n v="101388"/>
    <d v="2024-02-23T00:00:00"/>
    <d v="2024-02-23T00:00:00"/>
    <d v="2024-02-26T00:00:00"/>
    <s v="C9599"/>
    <x v="4"/>
    <s v="Saudi Arabia"/>
    <s v="P62492"/>
    <s v="Detergent Bag"/>
    <s v="FMCG"/>
    <s v="S768"/>
    <s v="Vertex Manufacturing"/>
    <s v="Asia"/>
    <s v="WH 03"/>
    <s v="Dubai"/>
    <x v="0"/>
    <n v="451"/>
    <n v="14.26"/>
    <n v="6431.26"/>
    <n v="25.26"/>
    <n v="3"/>
    <n v="3"/>
    <n v="2060"/>
    <x v="2"/>
    <x v="0"/>
    <n v="457.17"/>
  </r>
  <r>
    <n v="101389"/>
    <d v="2025-07-23T00:00:00"/>
    <d v="2025-07-28T00:00:00"/>
    <d v="2025-08-10T00:00:00"/>
    <s v="C7920"/>
    <x v="0"/>
    <s v="Vietnam"/>
    <s v="P65928"/>
    <s v="Smart Watch"/>
    <s v="Electronics"/>
    <s v="S387"/>
    <s v="Nova Industrial"/>
    <s v="Africa"/>
    <s v="WH 02"/>
    <s v="Lahore"/>
    <x v="3"/>
    <n v="20"/>
    <n v="406.09"/>
    <n v="8121.8"/>
    <n v="11.18"/>
    <n v="13"/>
    <n v="18"/>
    <n v="1690"/>
    <x v="0"/>
    <x v="0"/>
    <n v="1692.4"/>
  </r>
  <r>
    <n v="101390"/>
    <d v="2025-05-09T00:00:00"/>
    <d v="2025-05-11T00:00:00"/>
    <d v="2025-05-25T00:00:00"/>
    <s v="C4205"/>
    <x v="0"/>
    <s v="Malaysia"/>
    <s v="P46201"/>
    <s v="Denim Jeans"/>
    <s v="Apparel"/>
    <s v="S667"/>
    <s v="Nova Industrial"/>
    <s v="Europe"/>
    <s v="WH 02"/>
    <s v="Lahore"/>
    <x v="3"/>
    <n v="226"/>
    <n v="69.62"/>
    <n v="15734.12"/>
    <n v="16.18"/>
    <n v="14"/>
    <n v="16"/>
    <n v="3209"/>
    <x v="0"/>
    <x v="0"/>
    <n v="1598.51"/>
  </r>
  <r>
    <n v="101391"/>
    <d v="2024-07-12T00:00:00"/>
    <d v="2024-07-16T00:00:00"/>
    <d v="2024-07-19T00:00:00"/>
    <s v="C9921"/>
    <x v="1"/>
    <s v="Nigeria"/>
    <s v="P71383"/>
    <s v="T Shirt Bundle"/>
    <s v="Apparel"/>
    <s v="S483"/>
    <s v="BlueRiver Trading"/>
    <s v="Europe"/>
    <s v="WH 08"/>
    <s v="Chicago"/>
    <x v="1"/>
    <n v="262"/>
    <n v="43.02"/>
    <n v="11271.24"/>
    <n v="45.49"/>
    <n v="3"/>
    <n v="7"/>
    <n v="1245"/>
    <x v="2"/>
    <x v="0"/>
    <n v="3329.84"/>
  </r>
  <r>
    <n v="101392"/>
    <d v="2025-09-15T00:00:00"/>
    <d v="2025-09-18T00:00:00"/>
    <d v="2025-09-22T00:00:00"/>
    <s v="C6704"/>
    <x v="4"/>
    <s v="Qatar"/>
    <s v="P50533"/>
    <s v="Study Table"/>
    <s v="Furniture"/>
    <s v="S598"/>
    <s v="BlueRiver Trading"/>
    <s v="Africa"/>
    <s v="WH 08"/>
    <s v="Chicago"/>
    <x v="1"/>
    <n v="189"/>
    <n v="50.87"/>
    <n v="9614.43"/>
    <n v="40.76"/>
    <n v="4"/>
    <n v="7"/>
    <n v="1575"/>
    <x v="2"/>
    <x v="0"/>
    <n v="2164.81"/>
  </r>
  <r>
    <n v="101393"/>
    <d v="2024-09-20T00:00:00"/>
    <d v="2024-09-21T00:00:00"/>
    <d v="2024-10-01T00:00:00"/>
    <s v="C5954"/>
    <x v="2"/>
    <s v="Canada"/>
    <s v="P43512"/>
    <s v="Floor Lamp"/>
    <s v="Furniture"/>
    <s v="S579"/>
    <s v="Vertex Manufacturing"/>
    <s v="Europe"/>
    <s v="WH 08"/>
    <s v="Chicago"/>
    <x v="0"/>
    <n v="141"/>
    <n v="319.26"/>
    <n v="45015.66"/>
    <n v="16.47"/>
    <n v="10"/>
    <n v="11"/>
    <n v="530"/>
    <x v="1"/>
    <x v="2"/>
    <n v="9935.49"/>
  </r>
  <r>
    <n v="101394"/>
    <d v="2025-09-28T00:00:00"/>
    <d v="2025-09-29T00:00:00"/>
    <d v="2025-10-03T00:00:00"/>
    <s v="C1089"/>
    <x v="1"/>
    <s v="Morocco"/>
    <s v="P53815"/>
    <s v="Hoodie"/>
    <s v="Apparel"/>
    <s v="S141"/>
    <s v="BlueRiver Trading"/>
    <s v="Middle East"/>
    <s v="WH 09"/>
    <s v="Johannesburg"/>
    <x v="1"/>
    <n v="444"/>
    <n v="35.409999999999997"/>
    <n v="15722.04"/>
    <n v="57.28"/>
    <n v="4"/>
    <n v="5"/>
    <n v="1667"/>
    <x v="2"/>
    <x v="0"/>
    <n v="1834.09"/>
  </r>
  <r>
    <n v="101395"/>
    <d v="2025-08-30T00:00:00"/>
    <d v="2025-09-02T00:00:00"/>
    <d v="2025-09-15T00:00:00"/>
    <s v="C8811"/>
    <x v="2"/>
    <s v="Mexico"/>
    <s v="P87875"/>
    <s v="Router"/>
    <s v="Electronics"/>
    <s v="S649"/>
    <s v="Orion Supplies"/>
    <s v="Europe"/>
    <s v="WH 09"/>
    <s v="Johannesburg"/>
    <x v="3"/>
    <n v="487"/>
    <n v="431.19"/>
    <n v="209989.53"/>
    <n v="22.53"/>
    <n v="13"/>
    <n v="16"/>
    <n v="54"/>
    <x v="0"/>
    <x v="0"/>
    <n v="26327.82"/>
  </r>
  <r>
    <n v="101396"/>
    <d v="2024-12-07T00:00:00"/>
    <d v="2024-12-11T00:00:00"/>
    <d v="2024-12-13T00:00:00"/>
    <s v="C8378"/>
    <x v="3"/>
    <s v="Sweden"/>
    <s v="P95017"/>
    <s v="Wireless Earbuds"/>
    <s v="Electronics"/>
    <s v="S351"/>
    <s v="Evergreen Partners"/>
    <s v="Europe"/>
    <s v="WH 10"/>
    <s v="Cairo"/>
    <x v="0"/>
    <n v="12"/>
    <n v="380.82"/>
    <n v="4569.84"/>
    <n v="9.49"/>
    <n v="2"/>
    <n v="6"/>
    <n v="1075"/>
    <x v="2"/>
    <x v="0"/>
    <n v="569.65"/>
  </r>
  <r>
    <n v="101397"/>
    <d v="2024-07-19T00:00:00"/>
    <d v="2024-07-22T00:00:00"/>
    <d v="2024-08-04T00:00:00"/>
    <s v="C3971"/>
    <x v="0"/>
    <s v="India"/>
    <s v="P58260"/>
    <s v="Floor Lamp"/>
    <s v="Furniture"/>
    <s v="S982"/>
    <s v="BlueRiver Trading"/>
    <s v="North America"/>
    <s v="WH 08"/>
    <s v="Chicago"/>
    <x v="3"/>
    <n v="83"/>
    <n v="305.73"/>
    <n v="25375.59"/>
    <n v="12.71"/>
    <n v="13"/>
    <n v="16"/>
    <n v="1770"/>
    <x v="0"/>
    <x v="0"/>
    <n v="5235.25"/>
  </r>
  <r>
    <n v="101398"/>
    <d v="2025-03-11T00:00:00"/>
    <d v="2025-03-11T00:00:00"/>
    <d v="2025-03-17T00:00:00"/>
    <s v="C1633"/>
    <x v="1"/>
    <s v="Egypt"/>
    <s v="P19402"/>
    <s v="Bluetooth Speaker"/>
    <s v="Electronics"/>
    <s v="S825"/>
    <s v="Crescent Logistics"/>
    <s v="Asia"/>
    <s v="WH 07"/>
    <s v="Toronto"/>
    <x v="3"/>
    <n v="158"/>
    <n v="97.79"/>
    <n v="15450.82"/>
    <n v="14.53"/>
    <n v="6"/>
    <n v="6"/>
    <n v="643"/>
    <x v="2"/>
    <x v="0"/>
    <n v="2814.79"/>
  </r>
  <r>
    <n v="101399"/>
    <d v="2024-02-12T00:00:00"/>
    <d v="2024-02-12T00:00:00"/>
    <d v="2024-02-18T00:00:00"/>
    <s v="C1606"/>
    <x v="3"/>
    <s v="Spain"/>
    <s v="P84399"/>
    <s v="T Shirt Bundle"/>
    <s v="Apparel"/>
    <s v="S343"/>
    <s v="Zenith Procurement"/>
    <s v="North America"/>
    <s v="WH 10"/>
    <s v="Cairo"/>
    <x v="3"/>
    <n v="424"/>
    <n v="75.92"/>
    <n v="32190.080000000002"/>
    <n v="21"/>
    <n v="6"/>
    <n v="6"/>
    <n v="1788"/>
    <x v="2"/>
    <x v="0"/>
    <n v="6006.01"/>
  </r>
  <r>
    <n v="101400"/>
    <d v="2025-09-25T00:00:00"/>
    <d v="2025-09-30T00:00:00"/>
    <d v="2025-10-05T00:00:00"/>
    <s v="C9716"/>
    <x v="3"/>
    <s v="Poland"/>
    <s v="P27857"/>
    <s v="Office Chair"/>
    <s v="Furniture"/>
    <s v="S477"/>
    <s v="Nova Industrial"/>
    <s v="Middle East"/>
    <s v="WH 01"/>
    <s v="Karachi"/>
    <x v="3"/>
    <n v="385"/>
    <n v="202.25"/>
    <n v="77866.25"/>
    <n v="20.05"/>
    <n v="5"/>
    <n v="10"/>
    <n v="2057"/>
    <x v="0"/>
    <x v="0"/>
    <n v="20631.810000000001"/>
  </r>
  <r>
    <n v="101401"/>
    <d v="2025-08-03T00:00:00"/>
    <d v="2025-08-08T00:00:00"/>
    <d v="2025-08-19T00:00:00"/>
    <s v="C3608"/>
    <x v="4"/>
    <s v="Saudi Arabia"/>
    <s v="P76809"/>
    <s v="Snack Carton"/>
    <s v="FMCG"/>
    <s v="S581"/>
    <s v="Vertex Manufacturing"/>
    <s v="Asia"/>
    <s v="WH 10"/>
    <s v="Cairo"/>
    <x v="2"/>
    <n v="340"/>
    <n v="6.61"/>
    <n v="2247.4"/>
    <n v="14.22"/>
    <n v="11"/>
    <n v="16"/>
    <n v="500"/>
    <x v="0"/>
    <x v="0"/>
    <n v="313.18"/>
  </r>
  <r>
    <n v="101402"/>
    <d v="2025-06-27T00:00:00"/>
    <d v="2025-06-27T00:00:00"/>
    <d v="2025-07-04T00:00:00"/>
    <s v="C1554"/>
    <x v="0"/>
    <s v="Vietnam"/>
    <s v="P46104"/>
    <s v="Sportswear Set"/>
    <s v="Apparel"/>
    <s v="S325"/>
    <s v="Pioneer Distribution"/>
    <s v="Europe"/>
    <s v="WH 01"/>
    <s v="Karachi"/>
    <x v="3"/>
    <n v="496"/>
    <n v="55.7"/>
    <n v="27627.200000000001"/>
    <n v="22.74"/>
    <n v="7"/>
    <n v="7"/>
    <n v="1543"/>
    <x v="1"/>
    <x v="2"/>
    <n v="3638.45"/>
  </r>
  <r>
    <n v="101403"/>
    <d v="2025-02-10T00:00:00"/>
    <d v="2025-02-15T00:00:00"/>
    <d v="2025-03-06T00:00:00"/>
    <s v="C3774"/>
    <x v="0"/>
    <s v="Vietnam"/>
    <s v="P19017"/>
    <s v="Bookshelf"/>
    <s v="Furniture"/>
    <s v="S200"/>
    <s v="Nova Industrial"/>
    <s v="Europe"/>
    <s v="WH 02"/>
    <s v="Lahore"/>
    <x v="2"/>
    <n v="66"/>
    <n v="234.89"/>
    <n v="15502.74"/>
    <n v="9.2200000000000006"/>
    <n v="19"/>
    <n v="24"/>
    <n v="2159"/>
    <x v="0"/>
    <x v="0"/>
    <n v="3463.75"/>
  </r>
  <r>
    <n v="101404"/>
    <d v="2024-01-26T00:00:00"/>
    <d v="2024-01-28T00:00:00"/>
    <d v="2024-02-15T00:00:00"/>
    <s v="C3930"/>
    <x v="0"/>
    <s v="Bangladesh"/>
    <s v="P40755"/>
    <s v="Office Chair"/>
    <s v="Furniture"/>
    <s v="S509"/>
    <s v="Nova Industrial"/>
    <s v="Middle East"/>
    <s v="WH 07"/>
    <s v="Toronto"/>
    <x v="2"/>
    <n v="298"/>
    <n v="99.52"/>
    <n v="29656.959999999999"/>
    <n v="13.45"/>
    <n v="18"/>
    <n v="20"/>
    <n v="378"/>
    <x v="0"/>
    <x v="0"/>
    <n v="7264.24"/>
  </r>
  <r>
    <n v="101405"/>
    <d v="2024-04-19T00:00:00"/>
    <d v="2024-04-23T00:00:00"/>
    <d v="2024-05-12T00:00:00"/>
    <s v="C6529"/>
    <x v="2"/>
    <s v="United States"/>
    <s v="P18299"/>
    <s v="Bluetooth Speaker"/>
    <s v="Electronics"/>
    <s v="S488"/>
    <s v="Evergreen Partners"/>
    <s v="North America"/>
    <s v="WH 05"/>
    <s v="Frankfurt"/>
    <x v="2"/>
    <n v="434"/>
    <n v="294.45"/>
    <n v="127791.3"/>
    <n v="11.8"/>
    <n v="19"/>
    <n v="23"/>
    <n v="1141"/>
    <x v="1"/>
    <x v="3"/>
    <n v="16472"/>
  </r>
  <r>
    <n v="101406"/>
    <d v="2025-05-18T00:00:00"/>
    <d v="2025-05-23T00:00:00"/>
    <d v="2025-06-12T00:00:00"/>
    <s v="C2855"/>
    <x v="3"/>
    <s v="Italy"/>
    <s v="P93517"/>
    <s v="Floor Lamp"/>
    <s v="Furniture"/>
    <s v="S309"/>
    <s v="Pioneer Distribution"/>
    <s v="Africa"/>
    <s v="WH 03"/>
    <s v="Dubai"/>
    <x v="2"/>
    <n v="346"/>
    <n v="184.5"/>
    <n v="63837"/>
    <n v="14.32"/>
    <n v="20"/>
    <n v="25"/>
    <n v="2014"/>
    <x v="1"/>
    <x v="1"/>
    <n v="-29.21"/>
  </r>
  <r>
    <n v="101407"/>
    <d v="2024-06-11T00:00:00"/>
    <d v="2024-06-11T00:00:00"/>
    <d v="2024-06-22T00:00:00"/>
    <s v="C5350"/>
    <x v="2"/>
    <s v="Mexico"/>
    <s v="P40709"/>
    <s v="Face Mask Box"/>
    <s v="Healthcare"/>
    <s v="S457"/>
    <s v="Orion Supplies"/>
    <s v="Africa"/>
    <s v="WH 10"/>
    <s v="Cairo"/>
    <x v="3"/>
    <n v="464"/>
    <n v="75.66"/>
    <n v="35106.239999999998"/>
    <n v="21.97"/>
    <n v="11"/>
    <n v="11"/>
    <n v="1190"/>
    <x v="0"/>
    <x v="0"/>
    <n v="4159.76"/>
  </r>
  <r>
    <n v="101408"/>
    <d v="2024-03-20T00:00:00"/>
    <d v="2024-03-25T00:00:00"/>
    <d v="2024-04-12T00:00:00"/>
    <s v="C3887"/>
    <x v="0"/>
    <s v="China"/>
    <s v="P65833"/>
    <s v="Thermometer"/>
    <s v="Healthcare"/>
    <s v="S324"/>
    <s v="Crescent Logistics"/>
    <s v="North America"/>
    <s v="WH 06"/>
    <s v="Amsterdam"/>
    <x v="2"/>
    <n v="455"/>
    <n v="24.9"/>
    <n v="11329.5"/>
    <n v="16.309999999999999"/>
    <n v="18"/>
    <n v="23"/>
    <n v="1637"/>
    <x v="1"/>
    <x v="1"/>
    <n v="-67.08"/>
  </r>
  <r>
    <n v="101409"/>
    <d v="2024-07-28T00:00:00"/>
    <d v="2024-07-29T00:00:00"/>
    <d v="2024-08-08T00:00:00"/>
    <s v="C7714"/>
    <x v="3"/>
    <s v="Spain"/>
    <s v="P20935"/>
    <s v="Bottled Water Case"/>
    <s v="FMCG"/>
    <s v="S589"/>
    <s v="Zenith Procurement"/>
    <s v="Asia"/>
    <s v="WH 07"/>
    <s v="Toronto"/>
    <x v="0"/>
    <n v="189"/>
    <n v="14.25"/>
    <n v="2693.25"/>
    <n v="17.829999999999998"/>
    <n v="10"/>
    <n v="11"/>
    <n v="501"/>
    <x v="1"/>
    <x v="1"/>
    <n v="-158.04"/>
  </r>
  <r>
    <n v="101410"/>
    <d v="2024-10-15T00:00:00"/>
    <d v="2024-10-19T00:00:00"/>
    <d v="2024-10-24T00:00:00"/>
    <s v="C6363"/>
    <x v="1"/>
    <s v="South Africa"/>
    <s v="P54893"/>
    <s v="Study Table"/>
    <s v="Furniture"/>
    <s v="S760"/>
    <s v="Pioneer Distribution"/>
    <s v="Africa"/>
    <s v="WH 02"/>
    <s v="Lahore"/>
    <x v="1"/>
    <n v="265"/>
    <n v="54.11"/>
    <n v="14339.15"/>
    <n v="33.840000000000003"/>
    <n v="5"/>
    <n v="9"/>
    <n v="1771"/>
    <x v="0"/>
    <x v="0"/>
    <n v="1709.53"/>
  </r>
  <r>
    <n v="101411"/>
    <d v="2024-04-13T00:00:00"/>
    <d v="2024-04-15T00:00:00"/>
    <d v="2024-04-19T00:00:00"/>
    <s v="C2041"/>
    <x v="3"/>
    <s v="Poland"/>
    <s v="P93127"/>
    <s v="Bottled Water Case"/>
    <s v="FMCG"/>
    <s v="S756"/>
    <s v="Summit Supply Co"/>
    <s v="Europe"/>
    <s v="WH 10"/>
    <s v="Cairo"/>
    <x v="0"/>
    <n v="47"/>
    <n v="11.83"/>
    <n v="556.01"/>
    <n v="10.23"/>
    <n v="4"/>
    <n v="6"/>
    <n v="1978"/>
    <x v="2"/>
    <x v="0"/>
    <n v="73.849999999999994"/>
  </r>
  <r>
    <n v="101412"/>
    <d v="2024-12-22T00:00:00"/>
    <d v="2024-12-27T00:00:00"/>
    <d v="2024-12-31T00:00:00"/>
    <s v="C9739"/>
    <x v="3"/>
    <s v="Italy"/>
    <s v="P91919"/>
    <s v="Toothpaste Box"/>
    <s v="FMCG"/>
    <s v="S259"/>
    <s v="Vertex Manufacturing"/>
    <s v="Asia"/>
    <s v="WH 06"/>
    <s v="Amsterdam"/>
    <x v="3"/>
    <n v="434"/>
    <n v="38.67"/>
    <n v="16782.78"/>
    <n v="21.24"/>
    <n v="4"/>
    <n v="9"/>
    <n v="2474"/>
    <x v="0"/>
    <x v="0"/>
    <n v="2377.25"/>
  </r>
  <r>
    <n v="101413"/>
    <d v="2024-10-28T00:00:00"/>
    <d v="2024-10-30T00:00:00"/>
    <d v="2024-10-31T00:00:00"/>
    <s v="C9874"/>
    <x v="0"/>
    <s v="Bangladesh"/>
    <s v="P67600"/>
    <s v="Socks Pack"/>
    <s v="Apparel"/>
    <s v="S156"/>
    <s v="BlueRiver Trading"/>
    <s v="Middle East"/>
    <s v="WH 08"/>
    <s v="Chicago"/>
    <x v="1"/>
    <n v="18"/>
    <n v="96.14"/>
    <n v="1730.52"/>
    <n v="29.68"/>
    <n v="1"/>
    <n v="3"/>
    <n v="3335"/>
    <x v="2"/>
    <x v="0"/>
    <n v="233.33"/>
  </r>
  <r>
    <n v="101414"/>
    <d v="2025-11-12T00:00:00"/>
    <d v="2025-11-17T00:00:00"/>
    <d v="2025-11-27T00:00:00"/>
    <s v="C5862"/>
    <x v="4"/>
    <s v="Qatar"/>
    <s v="P78606"/>
    <s v="Socks Pack"/>
    <s v="Apparel"/>
    <s v="S776"/>
    <s v="Evergreen Partners"/>
    <s v="Africa"/>
    <s v="WH 06"/>
    <s v="Amsterdam"/>
    <x v="3"/>
    <n v="381"/>
    <n v="17.8"/>
    <n v="6781.8"/>
    <n v="19.95"/>
    <n v="10"/>
    <n v="15"/>
    <n v="2143"/>
    <x v="0"/>
    <x v="0"/>
    <n v="784.63"/>
  </r>
  <r>
    <n v="101415"/>
    <d v="2025-11-30T00:00:00"/>
    <d v="2025-12-03T00:00:00"/>
    <d v="2025-12-10T00:00:00"/>
    <s v="C2554"/>
    <x v="3"/>
    <s v="Spain"/>
    <s v="P31983"/>
    <s v="Bookshelf"/>
    <s v="Furniture"/>
    <s v="S686"/>
    <s v="Crescent Logistics"/>
    <s v="Africa"/>
    <s v="WH 10"/>
    <s v="Cairo"/>
    <x v="0"/>
    <n v="239"/>
    <n v="159.05000000000001"/>
    <n v="38012.949999999997"/>
    <n v="19.25"/>
    <n v="7"/>
    <n v="10"/>
    <n v="104"/>
    <x v="1"/>
    <x v="1"/>
    <n v="-247.25"/>
  </r>
  <r>
    <n v="101416"/>
    <d v="2024-12-19T00:00:00"/>
    <d v="2024-12-22T00:00:00"/>
    <d v="2025-01-08T00:00:00"/>
    <s v="C4613"/>
    <x v="1"/>
    <s v="Egypt"/>
    <s v="P38994"/>
    <s v="Bookshelf"/>
    <s v="Furniture"/>
    <s v="S662"/>
    <s v="Evergreen Partners"/>
    <s v="North America"/>
    <s v="WH 10"/>
    <s v="Cairo"/>
    <x v="2"/>
    <n v="69"/>
    <n v="282.63"/>
    <n v="19501.47"/>
    <n v="9.2799999999999994"/>
    <n v="17"/>
    <n v="20"/>
    <n v="409"/>
    <x v="0"/>
    <x v="0"/>
    <n v="1753.97"/>
  </r>
  <r>
    <n v="101417"/>
    <d v="2024-09-27T00:00:00"/>
    <d v="2024-09-29T00:00:00"/>
    <d v="2024-10-07T00:00:00"/>
    <s v="C6207"/>
    <x v="0"/>
    <s v="Vietnam"/>
    <s v="P48585"/>
    <s v="Bluetooth Speaker"/>
    <s v="Electronics"/>
    <s v="S854"/>
    <s v="Orion Supplies"/>
    <s v="Africa"/>
    <s v="WH 07"/>
    <s v="Toronto"/>
    <x v="0"/>
    <n v="77"/>
    <n v="388.89"/>
    <n v="29944.53"/>
    <n v="14.66"/>
    <n v="8"/>
    <n v="10"/>
    <n v="482"/>
    <x v="0"/>
    <x v="0"/>
    <n v="4655.8599999999997"/>
  </r>
  <r>
    <n v="101418"/>
    <d v="2025-07-03T00:00:00"/>
    <d v="2025-07-05T00:00:00"/>
    <d v="2025-07-10T00:00:00"/>
    <s v="C2545"/>
    <x v="4"/>
    <s v="Turkey"/>
    <s v="P71465"/>
    <s v="Vitamin Pack"/>
    <s v="Healthcare"/>
    <s v="S147"/>
    <s v="Pioneer Distribution"/>
    <s v="Africa"/>
    <s v="WH 10"/>
    <s v="Cairo"/>
    <x v="0"/>
    <n v="356"/>
    <n v="87.23"/>
    <n v="31053.88"/>
    <n v="22.57"/>
    <n v="5"/>
    <n v="7"/>
    <n v="1902"/>
    <x v="2"/>
    <x v="0"/>
    <n v="4495.2700000000004"/>
  </r>
  <r>
    <n v="101419"/>
    <d v="2024-11-18T00:00:00"/>
    <d v="2024-11-22T00:00:00"/>
    <d v="2024-12-02T00:00:00"/>
    <s v="C9847"/>
    <x v="2"/>
    <s v="Canada"/>
    <s v="P80417"/>
    <s v="Toothpaste Box"/>
    <s v="FMCG"/>
    <s v="S322"/>
    <s v="Pioneer Distribution"/>
    <s v="Africa"/>
    <s v="WH 07"/>
    <s v="Toronto"/>
    <x v="0"/>
    <n v="84"/>
    <n v="41.04"/>
    <n v="3447.36"/>
    <n v="14.86"/>
    <n v="10"/>
    <n v="14"/>
    <n v="2520"/>
    <x v="0"/>
    <x v="0"/>
    <n v="571.83000000000004"/>
  </r>
  <r>
    <n v="101420"/>
    <d v="2024-06-15T00:00:00"/>
    <d v="2024-06-18T00:00:00"/>
    <d v="2024-06-20T00:00:00"/>
    <s v="C8342"/>
    <x v="3"/>
    <s v="Sweden"/>
    <s v="P44018"/>
    <s v="Office Chair"/>
    <s v="Furniture"/>
    <s v="S137"/>
    <s v="Zenith Procurement"/>
    <s v="Middle East"/>
    <s v="WH 07"/>
    <s v="Toronto"/>
    <x v="0"/>
    <n v="472"/>
    <n v="189.04"/>
    <n v="89226.880000000005"/>
    <n v="25.86"/>
    <n v="2"/>
    <n v="5"/>
    <n v="1721"/>
    <x v="2"/>
    <x v="0"/>
    <n v="5198.49"/>
  </r>
  <r>
    <n v="101421"/>
    <d v="2025-01-22T00:00:00"/>
    <d v="2025-01-25T00:00:00"/>
    <d v="2025-02-08T00:00:00"/>
    <s v="C2925"/>
    <x v="0"/>
    <s v="Bangladesh"/>
    <s v="P60189"/>
    <s v="Detergent Bag"/>
    <s v="FMCG"/>
    <s v="S470"/>
    <s v="Nova Industrial"/>
    <s v="North America"/>
    <s v="WH 05"/>
    <s v="Frankfurt"/>
    <x v="3"/>
    <n v="121"/>
    <n v="48.26"/>
    <n v="5839.46"/>
    <n v="13.63"/>
    <n v="14"/>
    <n v="17"/>
    <n v="1738"/>
    <x v="0"/>
    <x v="0"/>
    <n v="891.8"/>
  </r>
  <r>
    <n v="101422"/>
    <d v="2024-08-30T00:00:00"/>
    <d v="2024-08-31T00:00:00"/>
    <d v="2024-09-04T00:00:00"/>
    <s v="C9721"/>
    <x v="4"/>
    <s v="Saudi Arabia"/>
    <s v="P32098"/>
    <s v="Power Bank"/>
    <s v="Electronics"/>
    <s v="S946"/>
    <s v="Orion Supplies"/>
    <s v="Asia"/>
    <s v="WH 01"/>
    <s v="Karachi"/>
    <x v="1"/>
    <n v="240"/>
    <n v="214.03"/>
    <n v="51367.199999999997"/>
    <n v="44.06"/>
    <n v="4"/>
    <n v="5"/>
    <n v="1752"/>
    <x v="2"/>
    <x v="0"/>
    <n v="11151.42"/>
  </r>
  <r>
    <n v="101423"/>
    <d v="2025-01-15T00:00:00"/>
    <d v="2025-01-16T00:00:00"/>
    <d v="2025-02-03T00:00:00"/>
    <s v="C9497"/>
    <x v="2"/>
    <s v="Mexico"/>
    <s v="P80440"/>
    <s v="Hand Sanitizer Case"/>
    <s v="Healthcare"/>
    <s v="S961"/>
    <s v="Zenith Procurement"/>
    <s v="Europe"/>
    <s v="WH 10"/>
    <s v="Cairo"/>
    <x v="2"/>
    <n v="249"/>
    <n v="17.36"/>
    <n v="4322.6400000000003"/>
    <n v="12.56"/>
    <n v="18"/>
    <n v="19"/>
    <n v="930"/>
    <x v="0"/>
    <x v="0"/>
    <n v="822.07"/>
  </r>
  <r>
    <n v="101424"/>
    <d v="2025-01-26T00:00:00"/>
    <d v="2025-01-26T00:00:00"/>
    <d v="2025-02-09T00:00:00"/>
    <s v="C2685"/>
    <x v="3"/>
    <s v="Netherlands"/>
    <s v="P45682"/>
    <s v="Study Table"/>
    <s v="Furniture"/>
    <s v="S494"/>
    <s v="Vertex Manufacturing"/>
    <s v="Middle East"/>
    <s v="WH 01"/>
    <s v="Karachi"/>
    <x v="3"/>
    <n v="453"/>
    <n v="271.52"/>
    <n v="122998.56"/>
    <n v="21.7"/>
    <n v="14"/>
    <n v="14"/>
    <n v="727"/>
    <x v="0"/>
    <x v="0"/>
    <n v="22805.06"/>
  </r>
  <r>
    <n v="101425"/>
    <d v="2024-03-01T00:00:00"/>
    <d v="2024-03-06T00:00:00"/>
    <d v="2024-03-10T00:00:00"/>
    <s v="C3693"/>
    <x v="3"/>
    <s v="Poland"/>
    <s v="P82417"/>
    <s v="Study Table"/>
    <s v="Furniture"/>
    <s v="S750"/>
    <s v="Evergreen Partners"/>
    <s v="North America"/>
    <s v="WH 09"/>
    <s v="Johannesburg"/>
    <x v="3"/>
    <n v="119"/>
    <n v="264.56"/>
    <n v="31482.639999999999"/>
    <n v="13.58"/>
    <n v="4"/>
    <n v="9"/>
    <n v="504"/>
    <x v="0"/>
    <x v="0"/>
    <n v="7283.33"/>
  </r>
  <r>
    <n v="101426"/>
    <d v="2024-05-17T00:00:00"/>
    <d v="2024-05-21T00:00:00"/>
    <d v="2024-06-05T00:00:00"/>
    <s v="C2249"/>
    <x v="4"/>
    <s v="Saudi Arabia"/>
    <s v="P32970"/>
    <s v="Smart Watch"/>
    <s v="Electronics"/>
    <s v="S305"/>
    <s v="Summit Supply Co"/>
    <s v="Asia"/>
    <s v="WH 10"/>
    <s v="Cairo"/>
    <x v="2"/>
    <n v="173"/>
    <n v="230.12"/>
    <n v="39810.76"/>
    <n v="11.17"/>
    <n v="15"/>
    <n v="19"/>
    <n v="744"/>
    <x v="0"/>
    <x v="0"/>
    <n v="5291.12"/>
  </r>
  <r>
    <n v="101427"/>
    <d v="2025-08-19T00:00:00"/>
    <d v="2025-08-21T00:00:00"/>
    <d v="2025-09-02T00:00:00"/>
    <s v="C6303"/>
    <x v="2"/>
    <s v="Mexico"/>
    <s v="P28018"/>
    <s v="Snack Carton"/>
    <s v="FMCG"/>
    <s v="S336"/>
    <s v="Atlas Sourcing"/>
    <s v="Asia"/>
    <s v="WH 02"/>
    <s v="Lahore"/>
    <x v="3"/>
    <n v="412"/>
    <n v="36.729999999999997"/>
    <n v="15132.76"/>
    <n v="20.7"/>
    <n v="12"/>
    <n v="14"/>
    <n v="3328"/>
    <x v="0"/>
    <x v="0"/>
    <n v="2157.39"/>
  </r>
  <r>
    <n v="101428"/>
    <d v="2025-12-07T00:00:00"/>
    <d v="2025-12-09T00:00:00"/>
    <d v="2025-12-19T00:00:00"/>
    <s v="C4530"/>
    <x v="4"/>
    <s v="United Arab Emirates"/>
    <s v="P74713"/>
    <s v="First Aid Kit"/>
    <s v="Healthcare"/>
    <s v="S522"/>
    <s v="Orion Supplies"/>
    <s v="Africa"/>
    <s v="WH 09"/>
    <s v="Johannesburg"/>
    <x v="0"/>
    <n v="289"/>
    <n v="36.39"/>
    <n v="10516.71"/>
    <n v="20.67"/>
    <n v="10"/>
    <n v="12"/>
    <n v="3240"/>
    <x v="0"/>
    <x v="0"/>
    <n v="1067.1600000000001"/>
  </r>
  <r>
    <n v="101429"/>
    <d v="2024-03-20T00:00:00"/>
    <d v="2024-03-24T00:00:00"/>
    <d v="2024-04-03T00:00:00"/>
    <s v="C1906"/>
    <x v="1"/>
    <s v="Egypt"/>
    <s v="P21955"/>
    <s v="Smart Watch"/>
    <s v="Electronics"/>
    <s v="S508"/>
    <s v="Pioneer Distribution"/>
    <s v="North America"/>
    <s v="WH 03"/>
    <s v="Dubai"/>
    <x v="0"/>
    <n v="40"/>
    <n v="364.06"/>
    <n v="14562.4"/>
    <n v="13.61"/>
    <n v="10"/>
    <n v="14"/>
    <n v="1576"/>
    <x v="0"/>
    <x v="0"/>
    <n v="2136.7399999999998"/>
  </r>
  <r>
    <n v="101430"/>
    <d v="2025-04-17T00:00:00"/>
    <d v="2025-04-17T00:00:00"/>
    <d v="2025-05-02T00:00:00"/>
    <s v="C1466"/>
    <x v="3"/>
    <s v="Italy"/>
    <s v="P58555"/>
    <s v="Detergent Bag"/>
    <s v="FMCG"/>
    <s v="S156"/>
    <s v="Atlas Sourcing"/>
    <s v="Middle East"/>
    <s v="WH 05"/>
    <s v="Frankfurt"/>
    <x v="2"/>
    <n v="331"/>
    <n v="32.28"/>
    <n v="10684.68"/>
    <n v="14.05"/>
    <n v="15"/>
    <n v="15"/>
    <n v="1818"/>
    <x v="1"/>
    <x v="1"/>
    <n v="-199.33"/>
  </r>
  <r>
    <n v="101431"/>
    <d v="2024-01-04T00:00:00"/>
    <d v="2024-01-09T00:00:00"/>
    <d v="2024-01-19T00:00:00"/>
    <s v="C9692"/>
    <x v="2"/>
    <s v="United States"/>
    <s v="P56741"/>
    <s v="Shampoo Pack"/>
    <s v="FMCG"/>
    <s v="S333"/>
    <s v="Vertex Manufacturing"/>
    <s v="Asia"/>
    <s v="WH 02"/>
    <s v="Lahore"/>
    <x v="0"/>
    <n v="418"/>
    <n v="27.43"/>
    <n v="11465.74"/>
    <n v="24.32"/>
    <n v="10"/>
    <n v="15"/>
    <n v="484"/>
    <x v="0"/>
    <x v="0"/>
    <n v="810.77"/>
  </r>
  <r>
    <n v="101432"/>
    <d v="2024-02-24T00:00:00"/>
    <d v="2024-02-28T00:00:00"/>
    <d v="2024-03-10T00:00:00"/>
    <s v="C2601"/>
    <x v="1"/>
    <s v="South Africa"/>
    <s v="P32151"/>
    <s v="Smart Watch"/>
    <s v="Electronics"/>
    <s v="S845"/>
    <s v="Nova Industrial"/>
    <s v="North America"/>
    <s v="WH 03"/>
    <s v="Dubai"/>
    <x v="3"/>
    <n v="208"/>
    <n v="280.44"/>
    <n v="58331.519999999997"/>
    <n v="15.75"/>
    <n v="11"/>
    <n v="15"/>
    <n v="949"/>
    <x v="0"/>
    <x v="0"/>
    <n v="4898.3500000000004"/>
  </r>
  <r>
    <n v="101433"/>
    <d v="2024-11-02T00:00:00"/>
    <d v="2024-11-07T00:00:00"/>
    <d v="2024-11-16T00:00:00"/>
    <s v="C8135"/>
    <x v="0"/>
    <s v="Malaysia"/>
    <s v="P36657"/>
    <s v="Denim Jeans"/>
    <s v="Apparel"/>
    <s v="S926"/>
    <s v="Evergreen Partners"/>
    <s v="Asia"/>
    <s v="WH 08"/>
    <s v="Chicago"/>
    <x v="0"/>
    <n v="139"/>
    <n v="109.09"/>
    <n v="15163.51"/>
    <n v="12.16"/>
    <n v="9"/>
    <n v="14"/>
    <n v="1324"/>
    <x v="0"/>
    <x v="0"/>
    <n v="3388.8"/>
  </r>
  <r>
    <n v="101434"/>
    <d v="2024-03-21T00:00:00"/>
    <d v="2024-03-24T00:00:00"/>
    <d v="2024-04-01T00:00:00"/>
    <s v="C7287"/>
    <x v="4"/>
    <s v="United Arab Emirates"/>
    <s v="P44173"/>
    <s v="Office Chair"/>
    <s v="Furniture"/>
    <s v="S554"/>
    <s v="Atlas Sourcing"/>
    <s v="Middle East"/>
    <s v="WH 07"/>
    <s v="Toronto"/>
    <x v="0"/>
    <n v="426"/>
    <n v="210.99"/>
    <n v="89881.74"/>
    <n v="18.190000000000001"/>
    <n v="8"/>
    <n v="11"/>
    <n v="625"/>
    <x v="0"/>
    <x v="0"/>
    <n v="14634.33"/>
  </r>
  <r>
    <n v="101435"/>
    <d v="2024-04-16T00:00:00"/>
    <d v="2024-04-19T00:00:00"/>
    <d v="2024-04-22T00:00:00"/>
    <s v="C3751"/>
    <x v="4"/>
    <s v="Saudi Arabia"/>
    <s v="P99424"/>
    <s v="Snack Carton"/>
    <s v="FMCG"/>
    <s v="S837"/>
    <s v="Orion Supplies"/>
    <s v="Europe"/>
    <s v="WH 10"/>
    <s v="Cairo"/>
    <x v="1"/>
    <n v="251"/>
    <n v="19.239999999999998"/>
    <n v="4829.24"/>
    <n v="44.78"/>
    <n v="3"/>
    <n v="6"/>
    <n v="661"/>
    <x v="2"/>
    <x v="0"/>
    <n v="319.41000000000003"/>
  </r>
  <r>
    <n v="101436"/>
    <d v="2024-05-31T00:00:00"/>
    <d v="2024-06-01T00:00:00"/>
    <d v="2024-06-08T00:00:00"/>
    <s v="C1269"/>
    <x v="0"/>
    <s v="Bangladesh"/>
    <s v="P99624"/>
    <s v="Sportswear Set"/>
    <s v="Apparel"/>
    <s v="S199"/>
    <s v="Vertex Manufacturing"/>
    <s v="Africa"/>
    <s v="WH 09"/>
    <s v="Johannesburg"/>
    <x v="0"/>
    <n v="114"/>
    <n v="66.569999999999993"/>
    <n v="7588.98"/>
    <n v="15.71"/>
    <n v="7"/>
    <n v="8"/>
    <n v="587"/>
    <x v="0"/>
    <x v="0"/>
    <n v="1310.5999999999999"/>
  </r>
  <r>
    <n v="101437"/>
    <d v="2024-12-25T00:00:00"/>
    <d v="2024-12-30T00:00:00"/>
    <d v="2025-01-02T00:00:00"/>
    <s v="C6474"/>
    <x v="3"/>
    <s v="Netherlands"/>
    <s v="P27864"/>
    <s v="T Shirt Bundle"/>
    <s v="Apparel"/>
    <s v="S821"/>
    <s v="Atlas Sourcing"/>
    <s v="Africa"/>
    <s v="WH 01"/>
    <s v="Karachi"/>
    <x v="0"/>
    <n v="28"/>
    <n v="38.869999999999997"/>
    <n v="1088.3599999999999"/>
    <n v="13.27"/>
    <n v="3"/>
    <n v="8"/>
    <n v="2011"/>
    <x v="0"/>
    <x v="0"/>
    <n v="279.7"/>
  </r>
  <r>
    <n v="101438"/>
    <d v="2025-10-24T00:00:00"/>
    <d v="2025-10-25T00:00:00"/>
    <d v="2025-10-31T00:00:00"/>
    <s v="C3072"/>
    <x v="1"/>
    <s v="Morocco"/>
    <s v="P65803"/>
    <s v="Toothpaste Box"/>
    <s v="FMCG"/>
    <s v="S197"/>
    <s v="Zenith Procurement"/>
    <s v="Asia"/>
    <s v="WH 04"/>
    <s v="Istanbul"/>
    <x v="0"/>
    <n v="277"/>
    <n v="28.99"/>
    <n v="8030.23"/>
    <n v="20.329999999999998"/>
    <n v="6"/>
    <n v="7"/>
    <n v="2087"/>
    <x v="2"/>
    <x v="0"/>
    <n v="715.5"/>
  </r>
  <r>
    <n v="101439"/>
    <d v="2024-05-12T00:00:00"/>
    <d v="2024-05-15T00:00:00"/>
    <d v="2024-05-18T00:00:00"/>
    <s v="C1854"/>
    <x v="2"/>
    <s v="United States"/>
    <s v="P73372"/>
    <s v="Shampoo Pack"/>
    <s v="FMCG"/>
    <s v="S658"/>
    <s v="Crescent Logistics"/>
    <s v="North America"/>
    <s v="WH 05"/>
    <s v="Frankfurt"/>
    <x v="0"/>
    <n v="255"/>
    <n v="14.82"/>
    <n v="3779.1"/>
    <n v="14.6"/>
    <n v="3"/>
    <n v="6"/>
    <n v="539"/>
    <x v="1"/>
    <x v="1"/>
    <n v="-203.54"/>
  </r>
  <r>
    <n v="101440"/>
    <d v="2024-07-16T00:00:00"/>
    <d v="2024-07-18T00:00:00"/>
    <d v="2024-07-24T00:00:00"/>
    <s v="C6710"/>
    <x v="3"/>
    <s v="Germany"/>
    <s v="P87228"/>
    <s v="Socks Pack"/>
    <s v="Apparel"/>
    <s v="S890"/>
    <s v="Nova Industrial"/>
    <s v="Middle East"/>
    <s v="WH 08"/>
    <s v="Chicago"/>
    <x v="3"/>
    <n v="241"/>
    <n v="57"/>
    <n v="13737"/>
    <n v="16.55"/>
    <n v="6"/>
    <n v="8"/>
    <n v="805"/>
    <x v="0"/>
    <x v="0"/>
    <n v="2670.46"/>
  </r>
  <r>
    <n v="101441"/>
    <d v="2025-12-09T00:00:00"/>
    <d v="2025-12-09T00:00:00"/>
    <d v="2025-12-18T00:00:00"/>
    <s v="C9657"/>
    <x v="1"/>
    <s v="Egypt"/>
    <s v="P22777"/>
    <s v="Snack Carton"/>
    <s v="FMCG"/>
    <s v="S868"/>
    <s v="Crescent Logistics"/>
    <s v="Europe"/>
    <s v="WH 05"/>
    <s v="Frankfurt"/>
    <x v="3"/>
    <n v="126"/>
    <n v="30.4"/>
    <n v="3830.4"/>
    <n v="13.75"/>
    <n v="9"/>
    <n v="9"/>
    <n v="495"/>
    <x v="1"/>
    <x v="2"/>
    <n v="661.05"/>
  </r>
  <r>
    <n v="101442"/>
    <d v="2024-09-07T00:00:00"/>
    <d v="2024-09-12T00:00:00"/>
    <d v="2024-09-18T00:00:00"/>
    <s v="C5275"/>
    <x v="0"/>
    <s v="Indonesia"/>
    <s v="P87027"/>
    <s v="Hand Sanitizer Case"/>
    <s v="Healthcare"/>
    <s v="S732"/>
    <s v="Crescent Logistics"/>
    <s v="Europe"/>
    <s v="WH 08"/>
    <s v="Chicago"/>
    <x v="3"/>
    <n v="116"/>
    <n v="37.83"/>
    <n v="4388.28"/>
    <n v="13.51"/>
    <n v="6"/>
    <n v="11"/>
    <n v="1880"/>
    <x v="0"/>
    <x v="0"/>
    <n v="575.66"/>
  </r>
  <r>
    <n v="101443"/>
    <d v="2025-06-26T00:00:00"/>
    <d v="2025-06-30T00:00:00"/>
    <d v="2025-07-12T00:00:00"/>
    <s v="C8230"/>
    <x v="4"/>
    <s v="Oman"/>
    <s v="P91331"/>
    <s v="Hand Sanitizer Case"/>
    <s v="Healthcare"/>
    <s v="S147"/>
    <s v="Zenith Procurement"/>
    <s v="Africa"/>
    <s v="WH 02"/>
    <s v="Lahore"/>
    <x v="3"/>
    <n v="454"/>
    <n v="44.82"/>
    <n v="20348.28"/>
    <n v="21.72"/>
    <n v="12"/>
    <n v="16"/>
    <n v="3073"/>
    <x v="0"/>
    <x v="0"/>
    <n v="1782.04"/>
  </r>
  <r>
    <n v="101444"/>
    <d v="2024-01-28T00:00:00"/>
    <d v="2024-01-29T00:00:00"/>
    <d v="2024-02-10T00:00:00"/>
    <s v="C3256"/>
    <x v="4"/>
    <s v="Saudi Arabia"/>
    <s v="P45402"/>
    <s v="Hand Sanitizer Case"/>
    <s v="Healthcare"/>
    <s v="S676"/>
    <s v="Zenith Procurement"/>
    <s v="Asia"/>
    <s v="WH 08"/>
    <s v="Chicago"/>
    <x v="3"/>
    <n v="346"/>
    <n v="61.42"/>
    <n v="21251.32"/>
    <n v="19.100000000000001"/>
    <n v="12"/>
    <n v="13"/>
    <n v="3664"/>
    <x v="0"/>
    <x v="0"/>
    <n v="4093.96"/>
  </r>
  <r>
    <n v="101445"/>
    <d v="2024-07-16T00:00:00"/>
    <d v="2024-07-18T00:00:00"/>
    <d v="2024-07-31T00:00:00"/>
    <s v="C7748"/>
    <x v="0"/>
    <s v="Indonesia"/>
    <s v="P41460"/>
    <s v="Socks Pack"/>
    <s v="Apparel"/>
    <s v="S748"/>
    <s v="Evergreen Partners"/>
    <s v="North America"/>
    <s v="WH 10"/>
    <s v="Cairo"/>
    <x v="2"/>
    <n v="114"/>
    <n v="11.34"/>
    <n v="1292.76"/>
    <n v="10.1"/>
    <n v="13"/>
    <n v="15"/>
    <n v="678"/>
    <x v="0"/>
    <x v="0"/>
    <n v="302.52"/>
  </r>
  <r>
    <n v="101446"/>
    <d v="2025-10-17T00:00:00"/>
    <d v="2025-10-21T00:00:00"/>
    <d v="2025-10-25T00:00:00"/>
    <s v="C3657"/>
    <x v="4"/>
    <s v="United Arab Emirates"/>
    <s v="P54935"/>
    <s v="Smart Watch"/>
    <s v="Electronics"/>
    <s v="S504"/>
    <s v="Zenith Procurement"/>
    <s v="Middle East"/>
    <s v="WH 03"/>
    <s v="Dubai"/>
    <x v="1"/>
    <n v="313"/>
    <n v="289.07"/>
    <n v="90478.91"/>
    <n v="36.14"/>
    <n v="4"/>
    <n v="8"/>
    <n v="897"/>
    <x v="1"/>
    <x v="2"/>
    <n v="18701.650000000001"/>
  </r>
  <r>
    <n v="101447"/>
    <d v="2025-07-27T00:00:00"/>
    <d v="2025-07-29T00:00:00"/>
    <d v="2025-08-02T00:00:00"/>
    <s v="C8778"/>
    <x v="3"/>
    <s v="Germany"/>
    <s v="P37446"/>
    <s v="Snack Carton"/>
    <s v="FMCG"/>
    <s v="S383"/>
    <s v="Zenith Procurement"/>
    <s v="Europe"/>
    <s v="WH 06"/>
    <s v="Amsterdam"/>
    <x v="1"/>
    <n v="366"/>
    <n v="14.1"/>
    <n v="5160.6000000000004"/>
    <n v="38.69"/>
    <n v="4"/>
    <n v="6"/>
    <n v="436"/>
    <x v="2"/>
    <x v="0"/>
    <n v="789.89"/>
  </r>
  <r>
    <n v="101448"/>
    <d v="2025-06-23T00:00:00"/>
    <d v="2025-06-28T00:00:00"/>
    <d v="2025-07-06T00:00:00"/>
    <s v="C9400"/>
    <x v="0"/>
    <s v="Bangladesh"/>
    <s v="P74669"/>
    <s v="Wireless Earbuds"/>
    <s v="Electronics"/>
    <s v="S436"/>
    <s v="Atlas Sourcing"/>
    <s v="Middle East"/>
    <s v="WH 10"/>
    <s v="Cairo"/>
    <x v="0"/>
    <n v="236"/>
    <n v="173.24"/>
    <n v="40884.639999999999"/>
    <n v="19.16"/>
    <n v="8"/>
    <n v="13"/>
    <n v="107"/>
    <x v="0"/>
    <x v="0"/>
    <n v="7293.96"/>
  </r>
  <r>
    <n v="101449"/>
    <d v="2025-01-11T00:00:00"/>
    <d v="2025-01-13T00:00:00"/>
    <d v="2025-01-14T00:00:00"/>
    <s v="C5510"/>
    <x v="3"/>
    <s v="Netherlands"/>
    <s v="P83541"/>
    <s v="Power Bank"/>
    <s v="Electronics"/>
    <s v="S714"/>
    <s v="Nova Industrial"/>
    <s v="Africa"/>
    <s v="WH 04"/>
    <s v="Istanbul"/>
    <x v="1"/>
    <n v="226"/>
    <n v="181.72"/>
    <n v="41068.720000000001"/>
    <n v="43.16"/>
    <n v="1"/>
    <n v="3"/>
    <n v="1649"/>
    <x v="2"/>
    <x v="0"/>
    <n v="5500.79"/>
  </r>
  <r>
    <n v="101450"/>
    <d v="2025-07-21T00:00:00"/>
    <d v="2025-07-23T00:00:00"/>
    <d v="2025-08-11T00:00:00"/>
    <s v="C9678"/>
    <x v="0"/>
    <s v="Indonesia"/>
    <s v="P16294"/>
    <s v="Socks Pack"/>
    <s v="Apparel"/>
    <s v="S458"/>
    <s v="BlueRiver Trading"/>
    <s v="Africa"/>
    <s v="WH 07"/>
    <s v="Toronto"/>
    <x v="2"/>
    <n v="377"/>
    <n v="72.349999999999994"/>
    <n v="27275.95"/>
    <n v="14.89"/>
    <n v="19"/>
    <n v="21"/>
    <n v="2404"/>
    <x v="0"/>
    <x v="0"/>
    <n v="6102.03"/>
  </r>
  <r>
    <n v="101451"/>
    <d v="2025-07-23T00:00:00"/>
    <d v="2025-07-23T00:00:00"/>
    <d v="2025-08-02T00:00:00"/>
    <s v="C3972"/>
    <x v="2"/>
    <s v="Canada"/>
    <s v="P86848"/>
    <s v="Toothpaste Box"/>
    <s v="FMCG"/>
    <s v="S998"/>
    <s v="Orion Supplies"/>
    <s v="Middle East"/>
    <s v="WH 08"/>
    <s v="Chicago"/>
    <x v="3"/>
    <n v="121"/>
    <n v="24.23"/>
    <n v="2931.83"/>
    <n v="13.63"/>
    <n v="10"/>
    <n v="10"/>
    <n v="1645"/>
    <x v="0"/>
    <x v="0"/>
    <n v="502.59"/>
  </r>
  <r>
    <n v="101452"/>
    <d v="2024-02-16T00:00:00"/>
    <d v="2024-02-19T00:00:00"/>
    <d v="2024-02-26T00:00:00"/>
    <s v="C6779"/>
    <x v="2"/>
    <s v="Canada"/>
    <s v="P39063"/>
    <s v="Bluetooth Speaker"/>
    <s v="Electronics"/>
    <s v="S453"/>
    <s v="Pioneer Distribution"/>
    <s v="Europe"/>
    <s v="WH 10"/>
    <s v="Cairo"/>
    <x v="0"/>
    <n v="314"/>
    <n v="301.51"/>
    <n v="94674.14"/>
    <n v="21.38"/>
    <n v="7"/>
    <n v="10"/>
    <n v="1638"/>
    <x v="0"/>
    <x v="0"/>
    <n v="9634.27"/>
  </r>
  <r>
    <n v="101453"/>
    <d v="2025-07-15T00:00:00"/>
    <d v="2025-07-15T00:00:00"/>
    <d v="2025-07-16T00:00:00"/>
    <s v="C4420"/>
    <x v="1"/>
    <s v="Egypt"/>
    <s v="P12068"/>
    <s v="Detergent Bag"/>
    <s v="FMCG"/>
    <s v="S810"/>
    <s v="Orion Supplies"/>
    <s v="North America"/>
    <s v="WH 01"/>
    <s v="Karachi"/>
    <x v="1"/>
    <n v="198"/>
    <n v="47.87"/>
    <n v="9478.26"/>
    <n v="41.34"/>
    <n v="1"/>
    <n v="1"/>
    <n v="451"/>
    <x v="2"/>
    <x v="0"/>
    <n v="480.87"/>
  </r>
  <r>
    <n v="101454"/>
    <d v="2024-03-15T00:00:00"/>
    <d v="2024-03-20T00:00:00"/>
    <d v="2024-03-23T00:00:00"/>
    <s v="C7389"/>
    <x v="4"/>
    <s v="Qatar"/>
    <s v="P74802"/>
    <s v="Bottled Water Case"/>
    <s v="FMCG"/>
    <s v="S211"/>
    <s v="Orion Supplies"/>
    <s v="Africa"/>
    <s v="WH 09"/>
    <s v="Johannesburg"/>
    <x v="0"/>
    <n v="212"/>
    <n v="12.33"/>
    <n v="2613.96"/>
    <n v="18.48"/>
    <n v="3"/>
    <n v="8"/>
    <n v="3708"/>
    <x v="0"/>
    <x v="0"/>
    <n v="168.96"/>
  </r>
  <r>
    <n v="101455"/>
    <d v="2024-04-25T00:00:00"/>
    <d v="2024-04-27T00:00:00"/>
    <d v="2024-05-04T00:00:00"/>
    <s v="C3389"/>
    <x v="2"/>
    <s v="Mexico"/>
    <s v="P83694"/>
    <s v="Bluetooth Speaker"/>
    <s v="Electronics"/>
    <s v="S709"/>
    <s v="Pioneer Distribution"/>
    <s v="Asia"/>
    <s v="WH 07"/>
    <s v="Toronto"/>
    <x v="0"/>
    <n v="225"/>
    <n v="236.78"/>
    <n v="53275.5"/>
    <n v="18.850000000000001"/>
    <n v="7"/>
    <n v="9"/>
    <n v="1439"/>
    <x v="0"/>
    <x v="0"/>
    <n v="8902.08"/>
  </r>
  <r>
    <n v="101456"/>
    <d v="2025-08-02T00:00:00"/>
    <d v="2025-08-07T00:00:00"/>
    <d v="2025-08-09T00:00:00"/>
    <s v="C1489"/>
    <x v="2"/>
    <s v="Canada"/>
    <s v="P76520"/>
    <s v="Sportswear Set"/>
    <s v="Apparel"/>
    <s v="S982"/>
    <s v="BlueRiver Trading"/>
    <s v="Africa"/>
    <s v="WH 06"/>
    <s v="Amsterdam"/>
    <x v="1"/>
    <n v="256"/>
    <n v="105.73"/>
    <n v="27066.880000000001"/>
    <n v="45.1"/>
    <n v="2"/>
    <n v="7"/>
    <n v="2037"/>
    <x v="2"/>
    <x v="0"/>
    <n v="7873.78"/>
  </r>
  <r>
    <n v="101457"/>
    <d v="2024-09-06T00:00:00"/>
    <d v="2024-09-09T00:00:00"/>
    <d v="2024-09-17T00:00:00"/>
    <s v="C9075"/>
    <x v="1"/>
    <s v="South Africa"/>
    <s v="P66782"/>
    <s v="Bookshelf"/>
    <s v="Furniture"/>
    <s v="S882"/>
    <s v="Pioneer Distribution"/>
    <s v="Middle East"/>
    <s v="WH 02"/>
    <s v="Lahore"/>
    <x v="3"/>
    <n v="410"/>
    <n v="304.89"/>
    <n v="125004.9"/>
    <n v="20.66"/>
    <n v="8"/>
    <n v="11"/>
    <n v="232"/>
    <x v="0"/>
    <x v="0"/>
    <n v="30304.06"/>
  </r>
  <r>
    <n v="101458"/>
    <d v="2024-03-14T00:00:00"/>
    <d v="2024-03-15T00:00:00"/>
    <d v="2024-03-19T00:00:00"/>
    <s v="C5059"/>
    <x v="1"/>
    <s v="South Africa"/>
    <s v="P86821"/>
    <s v="Smart Watch"/>
    <s v="Electronics"/>
    <s v="S527"/>
    <s v="Orion Supplies"/>
    <s v="Asia"/>
    <s v="WH 03"/>
    <s v="Dubai"/>
    <x v="1"/>
    <n v="41"/>
    <n v="290"/>
    <n v="11890"/>
    <n v="31.17"/>
    <n v="4"/>
    <n v="5"/>
    <n v="1588"/>
    <x v="2"/>
    <x v="0"/>
    <n v="2480.33"/>
  </r>
  <r>
    <n v="101459"/>
    <d v="2024-08-06T00:00:00"/>
    <d v="2024-08-06T00:00:00"/>
    <d v="2024-08-14T00:00:00"/>
    <s v="C7153"/>
    <x v="2"/>
    <s v="Mexico"/>
    <s v="P81123"/>
    <s v="Study Table"/>
    <s v="Furniture"/>
    <s v="S435"/>
    <s v="Crescent Logistics"/>
    <s v="Asia"/>
    <s v="WH 04"/>
    <s v="Istanbul"/>
    <x v="0"/>
    <n v="133"/>
    <n v="335.78"/>
    <n v="44658.74"/>
    <n v="16.239999999999998"/>
    <n v="8"/>
    <n v="8"/>
    <n v="1741"/>
    <x v="0"/>
    <x v="0"/>
    <n v="6837.58"/>
  </r>
  <r>
    <n v="101460"/>
    <d v="2025-07-10T00:00:00"/>
    <d v="2025-07-10T00:00:00"/>
    <d v="2025-07-19T00:00:00"/>
    <s v="C5447"/>
    <x v="1"/>
    <s v="South Africa"/>
    <s v="P30523"/>
    <s v="Wireless Earbuds"/>
    <s v="Electronics"/>
    <s v="S691"/>
    <s v="Orion Supplies"/>
    <s v="Asia"/>
    <s v="WH 01"/>
    <s v="Karachi"/>
    <x v="1"/>
    <n v="321"/>
    <n v="433.52"/>
    <n v="139159.92000000001"/>
    <n v="49.31"/>
    <n v="9"/>
    <n v="9"/>
    <n v="485"/>
    <x v="0"/>
    <x v="0"/>
    <n v="21561.66"/>
  </r>
  <r>
    <n v="101461"/>
    <d v="2025-11-03T00:00:00"/>
    <d v="2025-11-08T00:00:00"/>
    <d v="2025-11-12T00:00:00"/>
    <s v="C7174"/>
    <x v="0"/>
    <s v="Bangladesh"/>
    <s v="P25689"/>
    <s v="Socks Pack"/>
    <s v="Apparel"/>
    <s v="S901"/>
    <s v="Evergreen Partners"/>
    <s v="North America"/>
    <s v="WH 03"/>
    <s v="Dubai"/>
    <x v="1"/>
    <n v="178"/>
    <n v="43.05"/>
    <n v="7662.9"/>
    <n v="40.049999999999997"/>
    <n v="4"/>
    <n v="9"/>
    <n v="2656"/>
    <x v="0"/>
    <x v="0"/>
    <n v="1660.04"/>
  </r>
  <r>
    <n v="101462"/>
    <d v="2025-07-13T00:00:00"/>
    <d v="2025-07-18T00:00:00"/>
    <d v="2025-08-06T00:00:00"/>
    <s v="C4237"/>
    <x v="1"/>
    <s v="Egypt"/>
    <s v="P11027"/>
    <s v="Smart Watch"/>
    <s v="Electronics"/>
    <s v="S987"/>
    <s v="Zenith Procurement"/>
    <s v="Europe"/>
    <s v="WH 10"/>
    <s v="Cairo"/>
    <x v="2"/>
    <n v="128"/>
    <n v="346.26"/>
    <n v="44321.279999999999"/>
    <n v="10.35"/>
    <n v="19"/>
    <n v="24"/>
    <n v="519"/>
    <x v="0"/>
    <x v="0"/>
    <n v="4715.08"/>
  </r>
  <r>
    <n v="101463"/>
    <d v="2025-01-04T00:00:00"/>
    <d v="2025-01-08T00:00:00"/>
    <d v="2025-01-16T00:00:00"/>
    <s v="C5142"/>
    <x v="4"/>
    <s v="United Arab Emirates"/>
    <s v="P75481"/>
    <s v="Thermometer"/>
    <s v="Healthcare"/>
    <s v="S651"/>
    <s v="Atlas Sourcing"/>
    <s v="Africa"/>
    <s v="WH 08"/>
    <s v="Chicago"/>
    <x v="3"/>
    <n v="131"/>
    <n v="76.459999999999994"/>
    <n v="10016.26"/>
    <n v="13.88"/>
    <n v="8"/>
    <n v="12"/>
    <n v="1763"/>
    <x v="0"/>
    <x v="0"/>
    <n v="1771.56"/>
  </r>
  <r>
    <n v="101464"/>
    <d v="2025-01-24T00:00:00"/>
    <d v="2025-01-26T00:00:00"/>
    <d v="2025-02-08T00:00:00"/>
    <s v="C4654"/>
    <x v="2"/>
    <s v="Canada"/>
    <s v="P74372"/>
    <s v="Study Table"/>
    <s v="Furniture"/>
    <s v="S857"/>
    <s v="BlueRiver Trading"/>
    <s v="North America"/>
    <s v="WH 05"/>
    <s v="Frankfurt"/>
    <x v="3"/>
    <n v="205"/>
    <n v="255.58"/>
    <n v="52393.9"/>
    <n v="11.61"/>
    <n v="13"/>
    <n v="15"/>
    <n v="670"/>
    <x v="0"/>
    <x v="0"/>
    <n v="10686.66"/>
  </r>
  <r>
    <n v="101465"/>
    <d v="2024-10-23T00:00:00"/>
    <d v="2024-10-28T00:00:00"/>
    <d v="2024-11-07T00:00:00"/>
    <s v="C3364"/>
    <x v="2"/>
    <s v="Mexico"/>
    <s v="P25072"/>
    <s v="Toothpaste Box"/>
    <s v="FMCG"/>
    <s v="S496"/>
    <s v="BlueRiver Trading"/>
    <s v="Asia"/>
    <s v="WH 08"/>
    <s v="Chicago"/>
    <x v="0"/>
    <n v="98"/>
    <n v="49.55"/>
    <n v="4855.8999999999996"/>
    <n v="15.25"/>
    <n v="10"/>
    <n v="15"/>
    <n v="3090"/>
    <x v="0"/>
    <x v="0"/>
    <n v="652.80999999999995"/>
  </r>
  <r>
    <n v="101466"/>
    <d v="2025-07-13T00:00:00"/>
    <d v="2025-07-14T00:00:00"/>
    <d v="2025-07-24T00:00:00"/>
    <s v="C9501"/>
    <x v="3"/>
    <s v="Germany"/>
    <s v="P35594"/>
    <s v="Bottled Water Case"/>
    <s v="FMCG"/>
    <s v="S439"/>
    <s v="Evergreen Partners"/>
    <s v="Europe"/>
    <s v="WH 08"/>
    <s v="Chicago"/>
    <x v="0"/>
    <n v="144"/>
    <n v="32.69"/>
    <n v="4707.3599999999997"/>
    <n v="12.26"/>
    <n v="10"/>
    <n v="11"/>
    <n v="4110"/>
    <x v="0"/>
    <x v="0"/>
    <n v="310.85000000000002"/>
  </r>
  <r>
    <n v="101467"/>
    <d v="2025-04-12T00:00:00"/>
    <d v="2025-04-16T00:00:00"/>
    <d v="2025-04-18T00:00:00"/>
    <s v="C7088"/>
    <x v="2"/>
    <s v="United States"/>
    <s v="P52044"/>
    <s v="Thermometer"/>
    <s v="Healthcare"/>
    <s v="S557"/>
    <s v="Summit Supply Co"/>
    <s v="North America"/>
    <s v="WH 05"/>
    <s v="Frankfurt"/>
    <x v="0"/>
    <n v="470"/>
    <n v="67.959999999999994"/>
    <n v="31941.200000000001"/>
    <n v="19.11"/>
    <n v="2"/>
    <n v="6"/>
    <n v="2695"/>
    <x v="2"/>
    <x v="0"/>
    <n v="4414.09"/>
  </r>
  <r>
    <n v="101468"/>
    <d v="2025-05-29T00:00:00"/>
    <d v="2025-06-02T00:00:00"/>
    <d v="2025-06-08T00:00:00"/>
    <s v="C8952"/>
    <x v="3"/>
    <s v="Sweden"/>
    <s v="P34440"/>
    <s v="Vitamin Pack"/>
    <s v="Healthcare"/>
    <s v="S698"/>
    <s v="Crescent Logistics"/>
    <s v="Europe"/>
    <s v="WH 06"/>
    <s v="Amsterdam"/>
    <x v="3"/>
    <n v="49"/>
    <n v="69.260000000000005"/>
    <n v="3393.74"/>
    <n v="8.8000000000000007"/>
    <n v="6"/>
    <n v="10"/>
    <n v="1146"/>
    <x v="1"/>
    <x v="2"/>
    <n v="595.59"/>
  </r>
  <r>
    <n v="101469"/>
    <d v="2025-02-18T00:00:00"/>
    <d v="2025-02-21T00:00:00"/>
    <d v="2025-03-07T00:00:00"/>
    <s v="C9614"/>
    <x v="4"/>
    <s v="Turkey"/>
    <s v="P35147"/>
    <s v="First Aid Kit"/>
    <s v="Healthcare"/>
    <s v="S961"/>
    <s v="Evergreen Partners"/>
    <s v="Europe"/>
    <s v="WH 02"/>
    <s v="Lahore"/>
    <x v="3"/>
    <n v="236"/>
    <n v="11.18"/>
    <n v="2638.48"/>
    <n v="16.43"/>
    <n v="14"/>
    <n v="17"/>
    <n v="1623"/>
    <x v="0"/>
    <x v="0"/>
    <n v="170.38"/>
  </r>
  <r>
    <n v="101470"/>
    <d v="2024-07-28T00:00:00"/>
    <d v="2024-07-30T00:00:00"/>
    <d v="2024-07-31T00:00:00"/>
    <s v="C1316"/>
    <x v="4"/>
    <s v="Saudi Arabia"/>
    <s v="P25977"/>
    <s v="Socks Pack"/>
    <s v="Apparel"/>
    <s v="S705"/>
    <s v="BlueRiver Trading"/>
    <s v="Europe"/>
    <s v="WH 08"/>
    <s v="Chicago"/>
    <x v="1"/>
    <n v="72"/>
    <n v="40.590000000000003"/>
    <n v="2922.48"/>
    <n v="33.18"/>
    <n v="1"/>
    <n v="3"/>
    <n v="2744"/>
    <x v="2"/>
    <x v="0"/>
    <n v="697.93"/>
  </r>
  <r>
    <n v="101471"/>
    <d v="2024-05-08T00:00:00"/>
    <d v="2024-05-11T00:00:00"/>
    <d v="2024-05-20T00:00:00"/>
    <s v="C3930"/>
    <x v="0"/>
    <s v="India"/>
    <s v="P69643"/>
    <s v="Power Bank"/>
    <s v="Electronics"/>
    <s v="S234"/>
    <s v="Crescent Logistics"/>
    <s v="North America"/>
    <s v="WH 01"/>
    <s v="Karachi"/>
    <x v="0"/>
    <n v="340"/>
    <n v="188.99"/>
    <n v="64256.6"/>
    <n v="22.11"/>
    <n v="9"/>
    <n v="12"/>
    <n v="709"/>
    <x v="0"/>
    <x v="0"/>
    <n v="7124.31"/>
  </r>
  <r>
    <n v="101472"/>
    <d v="2025-01-02T00:00:00"/>
    <d v="2025-01-06T00:00:00"/>
    <d v="2025-01-10T00:00:00"/>
    <s v="C8829"/>
    <x v="1"/>
    <s v="Egypt"/>
    <s v="P93816"/>
    <s v="Hoodie"/>
    <s v="Apparel"/>
    <s v="S800"/>
    <s v="BlueRiver Trading"/>
    <s v="Africa"/>
    <s v="WH 02"/>
    <s v="Lahore"/>
    <x v="3"/>
    <n v="30"/>
    <n v="89.31"/>
    <n v="2679.3"/>
    <n v="8.4600000000000009"/>
    <n v="4"/>
    <n v="8"/>
    <n v="2480"/>
    <x v="0"/>
    <x v="0"/>
    <n v="495.4"/>
  </r>
  <r>
    <n v="101473"/>
    <d v="2025-02-14T00:00:00"/>
    <d v="2025-02-18T00:00:00"/>
    <d v="2025-02-21T00:00:00"/>
    <s v="C7501"/>
    <x v="4"/>
    <s v="Saudi Arabia"/>
    <s v="P88845"/>
    <s v="Bottled Water Case"/>
    <s v="FMCG"/>
    <s v="S713"/>
    <s v="Summit Supply Co"/>
    <s v="Middle East"/>
    <s v="WH 09"/>
    <s v="Johannesburg"/>
    <x v="1"/>
    <n v="295"/>
    <n v="27.76"/>
    <n v="8189.2"/>
    <n v="35.28"/>
    <n v="3"/>
    <n v="7"/>
    <n v="3658"/>
    <x v="2"/>
    <x v="0"/>
    <n v="1135.2"/>
  </r>
  <r>
    <n v="101474"/>
    <d v="2024-12-30T00:00:00"/>
    <d v="2025-01-04T00:00:00"/>
    <d v="2025-01-07T00:00:00"/>
    <s v="C6870"/>
    <x v="0"/>
    <s v="Malaysia"/>
    <s v="P40736"/>
    <s v="Hoodie"/>
    <s v="Apparel"/>
    <s v="S317"/>
    <s v="BlueRiver Trading"/>
    <s v="Asia"/>
    <s v="WH 07"/>
    <s v="Toronto"/>
    <x v="1"/>
    <n v="238"/>
    <n v="79.739999999999995"/>
    <n v="18978.12"/>
    <n v="32.54"/>
    <n v="3"/>
    <n v="8"/>
    <n v="2344"/>
    <x v="0"/>
    <x v="0"/>
    <n v="2444.85"/>
  </r>
  <r>
    <n v="101475"/>
    <d v="2024-12-17T00:00:00"/>
    <d v="2024-12-19T00:00:00"/>
    <d v="2024-12-25T00:00:00"/>
    <s v="C3400"/>
    <x v="3"/>
    <s v="Italy"/>
    <s v="P79814"/>
    <s v="Bottled Water Case"/>
    <s v="FMCG"/>
    <s v="S554"/>
    <s v="Crescent Logistics"/>
    <s v="Africa"/>
    <s v="WH 05"/>
    <s v="Frankfurt"/>
    <x v="3"/>
    <n v="143"/>
    <n v="23.03"/>
    <n v="3293.29"/>
    <n v="14.17"/>
    <n v="6"/>
    <n v="8"/>
    <n v="4315"/>
    <x v="0"/>
    <x v="0"/>
    <n v="284.32"/>
  </r>
  <r>
    <n v="101476"/>
    <d v="2025-10-01T00:00:00"/>
    <d v="2025-10-06T00:00:00"/>
    <d v="2025-10-11T00:00:00"/>
    <s v="C9773"/>
    <x v="1"/>
    <s v="Egypt"/>
    <s v="P59939"/>
    <s v="Bluetooth Speaker"/>
    <s v="Electronics"/>
    <s v="S890"/>
    <s v="Atlas Sourcing"/>
    <s v="Asia"/>
    <s v="WH 04"/>
    <s v="Istanbul"/>
    <x v="3"/>
    <n v="319"/>
    <n v="60.49"/>
    <n v="19296.310000000001"/>
    <n v="18.440000000000001"/>
    <n v="5"/>
    <n v="10"/>
    <n v="269"/>
    <x v="0"/>
    <x v="0"/>
    <n v="2270.06"/>
  </r>
  <r>
    <n v="101477"/>
    <d v="2025-04-16T00:00:00"/>
    <d v="2025-04-20T00:00:00"/>
    <d v="2025-04-22T00:00:00"/>
    <s v="C3886"/>
    <x v="0"/>
    <s v="Pakistan"/>
    <s v="P97108"/>
    <s v="Hand Sanitizer Case"/>
    <s v="Healthcare"/>
    <s v="S925"/>
    <s v="Atlas Sourcing"/>
    <s v="Asia"/>
    <s v="WH 09"/>
    <s v="Johannesburg"/>
    <x v="0"/>
    <n v="72"/>
    <n v="41.21"/>
    <n v="2967.12"/>
    <n v="10.75"/>
    <n v="2"/>
    <n v="6"/>
    <n v="3661"/>
    <x v="1"/>
    <x v="2"/>
    <n v="538.59"/>
  </r>
  <r>
    <n v="101478"/>
    <d v="2025-01-14T00:00:00"/>
    <d v="2025-01-15T00:00:00"/>
    <d v="2025-01-17T00:00:00"/>
    <s v="C5043"/>
    <x v="2"/>
    <s v="United States"/>
    <s v="P24242"/>
    <s v="Face Mask Box"/>
    <s v="Healthcare"/>
    <s v="S697"/>
    <s v="Evergreen Partners"/>
    <s v="Middle East"/>
    <s v="WH 02"/>
    <s v="Lahore"/>
    <x v="0"/>
    <n v="176"/>
    <n v="38.94"/>
    <n v="6853.44"/>
    <n v="17.46"/>
    <n v="2"/>
    <n v="3"/>
    <n v="364"/>
    <x v="2"/>
    <x v="0"/>
    <n v="1204"/>
  </r>
  <r>
    <n v="101479"/>
    <d v="2025-11-17T00:00:00"/>
    <d v="2025-11-17T00:00:00"/>
    <d v="2025-12-12T00:00:00"/>
    <s v="C6622"/>
    <x v="2"/>
    <s v="Canada"/>
    <s v="P23570"/>
    <s v="Toothpaste Box"/>
    <s v="FMCG"/>
    <s v="S277"/>
    <s v="Atlas Sourcing"/>
    <s v="North America"/>
    <s v="WH 05"/>
    <s v="Frankfurt"/>
    <x v="2"/>
    <n v="419"/>
    <n v="44.26"/>
    <n v="18544.939999999999"/>
    <n v="11.6"/>
    <n v="25"/>
    <n v="25"/>
    <n v="1641"/>
    <x v="1"/>
    <x v="3"/>
    <n v="721.09"/>
  </r>
  <r>
    <n v="101480"/>
    <d v="2025-06-25T00:00:00"/>
    <d v="2025-06-26T00:00:00"/>
    <d v="2025-07-01T00:00:00"/>
    <s v="C6437"/>
    <x v="0"/>
    <s v="Pakistan"/>
    <s v="P61134"/>
    <s v="Detergent Bag"/>
    <s v="FMCG"/>
    <s v="S690"/>
    <s v="Vertex Manufacturing"/>
    <s v="Middle East"/>
    <s v="WH 05"/>
    <s v="Frankfurt"/>
    <x v="1"/>
    <n v="203"/>
    <n v="9.1"/>
    <n v="1847.3"/>
    <n v="41.67"/>
    <n v="5"/>
    <n v="6"/>
    <n v="1419"/>
    <x v="2"/>
    <x v="0"/>
    <n v="219.51"/>
  </r>
  <r>
    <n v="101481"/>
    <d v="2025-05-13T00:00:00"/>
    <d v="2025-05-17T00:00:00"/>
    <d v="2025-06-07T00:00:00"/>
    <s v="C3673"/>
    <x v="3"/>
    <s v="Italy"/>
    <s v="P56921"/>
    <s v="Smart Watch"/>
    <s v="Electronics"/>
    <s v="S692"/>
    <s v="Crescent Logistics"/>
    <s v="North America"/>
    <s v="WH 08"/>
    <s v="Chicago"/>
    <x v="2"/>
    <n v="359"/>
    <n v="268.86"/>
    <n v="96520.74"/>
    <n v="14.56"/>
    <n v="21"/>
    <n v="25"/>
    <n v="1514"/>
    <x v="1"/>
    <x v="3"/>
    <n v="13116"/>
  </r>
  <r>
    <n v="101482"/>
    <d v="2024-04-03T00:00:00"/>
    <d v="2024-04-05T00:00:00"/>
    <d v="2024-04-21T00:00:00"/>
    <s v="C3946"/>
    <x v="0"/>
    <s v="China"/>
    <s v="P26472"/>
    <s v="Floor Lamp"/>
    <s v="Furniture"/>
    <s v="S602"/>
    <s v="Zenith Procurement"/>
    <s v="Asia"/>
    <s v="WH 03"/>
    <s v="Dubai"/>
    <x v="2"/>
    <n v="264"/>
    <n v="179.77"/>
    <n v="47459.28"/>
    <n v="9.5"/>
    <n v="16"/>
    <n v="18"/>
    <n v="1495"/>
    <x v="0"/>
    <x v="0"/>
    <n v="9980.74"/>
  </r>
  <r>
    <n v="101483"/>
    <d v="2025-01-21T00:00:00"/>
    <d v="2025-01-21T00:00:00"/>
    <d v="2025-01-23T00:00:00"/>
    <s v="C8153"/>
    <x v="0"/>
    <s v="India"/>
    <s v="P47310"/>
    <s v="Router"/>
    <s v="Electronics"/>
    <s v="S932"/>
    <s v="Zenith Procurement"/>
    <s v="Middle East"/>
    <s v="WH 10"/>
    <s v="Cairo"/>
    <x v="1"/>
    <n v="344"/>
    <n v="211.73"/>
    <n v="72835.12"/>
    <n v="50.8"/>
    <n v="2"/>
    <n v="2"/>
    <n v="1165"/>
    <x v="2"/>
    <x v="0"/>
    <n v="12473.09"/>
  </r>
  <r>
    <n v="101484"/>
    <d v="2024-01-03T00:00:00"/>
    <d v="2024-01-03T00:00:00"/>
    <d v="2024-01-10T00:00:00"/>
    <s v="C5087"/>
    <x v="4"/>
    <s v="Saudi Arabia"/>
    <s v="P42655"/>
    <s v="Office Chair"/>
    <s v="Furniture"/>
    <s v="S563"/>
    <s v="Orion Supplies"/>
    <s v="Asia"/>
    <s v="WH 10"/>
    <s v="Cairo"/>
    <x v="0"/>
    <n v="113"/>
    <n v="305.47000000000003"/>
    <n v="34518.11"/>
    <n v="15.68"/>
    <n v="7"/>
    <n v="7"/>
    <n v="978"/>
    <x v="2"/>
    <x v="0"/>
    <n v="6383.57"/>
  </r>
  <r>
    <n v="101485"/>
    <d v="2025-06-10T00:00:00"/>
    <d v="2025-06-14T00:00:00"/>
    <d v="2025-06-15T00:00:00"/>
    <s v="C1360"/>
    <x v="3"/>
    <s v="Netherlands"/>
    <s v="P80135"/>
    <s v="First Aid Kit"/>
    <s v="Healthcare"/>
    <s v="S687"/>
    <s v="Crescent Logistics"/>
    <s v="Asia"/>
    <s v="WH 02"/>
    <s v="Lahore"/>
    <x v="1"/>
    <n v="39"/>
    <n v="73.069999999999993"/>
    <n v="2849.73"/>
    <n v="31.04"/>
    <n v="1"/>
    <n v="5"/>
    <n v="2373"/>
    <x v="2"/>
    <x v="0"/>
    <n v="339.22"/>
  </r>
  <r>
    <n v="101486"/>
    <d v="2024-09-19T00:00:00"/>
    <d v="2024-09-24T00:00:00"/>
    <d v="2024-09-26T00:00:00"/>
    <s v="C9497"/>
    <x v="2"/>
    <s v="Canada"/>
    <s v="P37955"/>
    <s v="Bookshelf"/>
    <s v="Furniture"/>
    <s v="S770"/>
    <s v="Summit Supply Co"/>
    <s v="North America"/>
    <s v="WH 08"/>
    <s v="Chicago"/>
    <x v="1"/>
    <n v="494"/>
    <n v="311.27"/>
    <n v="153767.38"/>
    <n v="44.83"/>
    <n v="2"/>
    <n v="7"/>
    <n v="1007"/>
    <x v="2"/>
    <x v="0"/>
    <n v="29068.12"/>
  </r>
  <r>
    <n v="101487"/>
    <d v="2024-01-15T00:00:00"/>
    <d v="2024-01-16T00:00:00"/>
    <d v="2024-01-20T00:00:00"/>
    <s v="C8445"/>
    <x v="2"/>
    <s v="Canada"/>
    <s v="P89817"/>
    <s v="Wireless Earbuds"/>
    <s v="Electronics"/>
    <s v="S558"/>
    <s v="Nova Industrial"/>
    <s v="North America"/>
    <s v="WH 09"/>
    <s v="Johannesburg"/>
    <x v="1"/>
    <n v="47"/>
    <n v="170.14"/>
    <n v="7996.58"/>
    <n v="23.38"/>
    <n v="4"/>
    <n v="5"/>
    <n v="1777"/>
    <x v="2"/>
    <x v="0"/>
    <n v="1345.33"/>
  </r>
  <r>
    <n v="101488"/>
    <d v="2024-01-01T00:00:00"/>
    <d v="2024-01-06T00:00:00"/>
    <d v="2024-01-16T00:00:00"/>
    <s v="C5715"/>
    <x v="0"/>
    <s v="Bangladesh"/>
    <s v="P44162"/>
    <s v="Vitamin Pack"/>
    <s v="Healthcare"/>
    <s v="S921"/>
    <s v="Crescent Logistics"/>
    <s v="Middle East"/>
    <s v="WH 04"/>
    <s v="Istanbul"/>
    <x v="3"/>
    <n v="76"/>
    <n v="19.89"/>
    <n v="1511.64"/>
    <n v="12.54"/>
    <n v="10"/>
    <n v="15"/>
    <n v="3972"/>
    <x v="1"/>
    <x v="1"/>
    <n v="-203.02"/>
  </r>
  <r>
    <n v="101489"/>
    <d v="2024-05-13T00:00:00"/>
    <d v="2024-05-13T00:00:00"/>
    <d v="2024-05-30T00:00:00"/>
    <s v="C7090"/>
    <x v="2"/>
    <s v="Canada"/>
    <s v="P21377"/>
    <s v="Smart Watch"/>
    <s v="Electronics"/>
    <s v="S187"/>
    <s v="Vertex Manufacturing"/>
    <s v="Middle East"/>
    <s v="WH 06"/>
    <s v="Amsterdam"/>
    <x v="2"/>
    <n v="147"/>
    <n v="134.24"/>
    <n v="19733.28"/>
    <n v="10.7"/>
    <n v="17"/>
    <n v="17"/>
    <n v="584"/>
    <x v="0"/>
    <x v="0"/>
    <n v="2122.27"/>
  </r>
  <r>
    <n v="101490"/>
    <d v="2025-03-22T00:00:00"/>
    <d v="2025-03-26T00:00:00"/>
    <d v="2025-04-05T00:00:00"/>
    <s v="C5734"/>
    <x v="0"/>
    <s v="India"/>
    <s v="P95293"/>
    <s v="Office Chair"/>
    <s v="Furniture"/>
    <s v="S732"/>
    <s v="Nova Industrial"/>
    <s v="Africa"/>
    <s v="WH 08"/>
    <s v="Chicago"/>
    <x v="2"/>
    <n v="414"/>
    <n v="254.96"/>
    <n v="105553.44"/>
    <n v="15.56"/>
    <n v="10"/>
    <n v="14"/>
    <n v="886"/>
    <x v="0"/>
    <x v="0"/>
    <n v="22722.79"/>
  </r>
  <r>
    <n v="101491"/>
    <d v="2025-07-17T00:00:00"/>
    <d v="2025-07-17T00:00:00"/>
    <d v="2025-07-29T00:00:00"/>
    <s v="C4822"/>
    <x v="2"/>
    <s v="Mexico"/>
    <s v="P65305"/>
    <s v="Hoodie"/>
    <s v="Apparel"/>
    <s v="S401"/>
    <s v="Evergreen Partners"/>
    <s v="Africa"/>
    <s v="WH 07"/>
    <s v="Toronto"/>
    <x v="2"/>
    <n v="368"/>
    <n v="89.27"/>
    <n v="32851.360000000001"/>
    <n v="14.73"/>
    <n v="12"/>
    <n v="12"/>
    <n v="954"/>
    <x v="0"/>
    <x v="0"/>
    <n v="6354.37"/>
  </r>
  <r>
    <n v="101492"/>
    <d v="2024-12-22T00:00:00"/>
    <d v="2024-12-24T00:00:00"/>
    <d v="2024-12-28T00:00:00"/>
    <s v="C3420"/>
    <x v="2"/>
    <s v="United States"/>
    <s v="P94448"/>
    <s v="Router"/>
    <s v="Electronics"/>
    <s v="S321"/>
    <s v="Summit Supply Co"/>
    <s v="North America"/>
    <s v="WH 10"/>
    <s v="Cairo"/>
    <x v="1"/>
    <n v="414"/>
    <n v="134.56"/>
    <n v="55707.839999999997"/>
    <n v="40.99"/>
    <n v="4"/>
    <n v="6"/>
    <n v="564"/>
    <x v="2"/>
    <x v="0"/>
    <n v="12159.04"/>
  </r>
  <r>
    <n v="101493"/>
    <d v="2024-07-11T00:00:00"/>
    <d v="2024-07-14T00:00:00"/>
    <d v="2024-07-16T00:00:00"/>
    <s v="C3662"/>
    <x v="4"/>
    <s v="Oman"/>
    <s v="P70049"/>
    <s v="Hand Sanitizer Case"/>
    <s v="Healthcare"/>
    <s v="S389"/>
    <s v="Nova Industrial"/>
    <s v="Asia"/>
    <s v="WH 01"/>
    <s v="Karachi"/>
    <x v="0"/>
    <n v="266"/>
    <n v="37.450000000000003"/>
    <n v="9961.7000000000007"/>
    <n v="20.02"/>
    <n v="2"/>
    <n v="5"/>
    <n v="3735"/>
    <x v="2"/>
    <x v="0"/>
    <n v="859.04"/>
  </r>
  <r>
    <n v="101494"/>
    <d v="2025-03-29T00:00:00"/>
    <d v="2025-03-29T00:00:00"/>
    <d v="2025-04-11T00:00:00"/>
    <s v="C5258"/>
    <x v="3"/>
    <s v="Spain"/>
    <s v="P79907"/>
    <s v="Detergent Bag"/>
    <s v="FMCG"/>
    <s v="S463"/>
    <s v="Nova Industrial"/>
    <s v="Africa"/>
    <s v="WH 09"/>
    <s v="Johannesburg"/>
    <x v="3"/>
    <n v="139"/>
    <n v="13.54"/>
    <n v="1882.06"/>
    <n v="14.07"/>
    <n v="13"/>
    <n v="13"/>
    <n v="2302"/>
    <x v="0"/>
    <x v="0"/>
    <n v="89.49"/>
  </r>
  <r>
    <n v="101495"/>
    <d v="2024-08-30T00:00:00"/>
    <d v="2024-09-03T00:00:00"/>
    <d v="2024-09-28T00:00:00"/>
    <s v="C4201"/>
    <x v="2"/>
    <s v="Canada"/>
    <s v="P80288"/>
    <s v="T Shirt Bundle"/>
    <s v="Apparel"/>
    <s v="S182"/>
    <s v="Nova Industrial"/>
    <s v="Asia"/>
    <s v="WH 08"/>
    <s v="Chicago"/>
    <x v="2"/>
    <n v="369"/>
    <n v="27.72"/>
    <n v="10228.68"/>
    <n v="14.74"/>
    <n v="25"/>
    <n v="29"/>
    <n v="891"/>
    <x v="0"/>
    <x v="0"/>
    <n v="1927.04"/>
  </r>
  <r>
    <n v="101496"/>
    <d v="2024-02-20T00:00:00"/>
    <d v="2024-02-21T00:00:00"/>
    <d v="2024-03-02T00:00:00"/>
    <s v="C5994"/>
    <x v="3"/>
    <s v="Italy"/>
    <s v="P14696"/>
    <s v="Vitamin Pack"/>
    <s v="Healthcare"/>
    <s v="S447"/>
    <s v="Orion Supplies"/>
    <s v="Middle East"/>
    <s v="WH 05"/>
    <s v="Frankfurt"/>
    <x v="0"/>
    <n v="341"/>
    <n v="46.67"/>
    <n v="15914.47"/>
    <n v="22.14"/>
    <n v="10"/>
    <n v="11"/>
    <n v="3023"/>
    <x v="0"/>
    <x v="0"/>
    <n v="1567.83"/>
  </r>
  <r>
    <n v="101497"/>
    <d v="2024-05-26T00:00:00"/>
    <d v="2024-05-30T00:00:00"/>
    <d v="2024-06-07T00:00:00"/>
    <s v="C5909"/>
    <x v="4"/>
    <s v="Qatar"/>
    <s v="P83563"/>
    <s v="Bluetooth Speaker"/>
    <s v="Electronics"/>
    <s v="S501"/>
    <s v="Nova Industrial"/>
    <s v="Europe"/>
    <s v="WH 06"/>
    <s v="Amsterdam"/>
    <x v="0"/>
    <n v="83"/>
    <n v="85.54"/>
    <n v="7099.82"/>
    <n v="14.83"/>
    <n v="8"/>
    <n v="12"/>
    <n v="189"/>
    <x v="0"/>
    <x v="0"/>
    <n v="575.58000000000004"/>
  </r>
  <r>
    <n v="101498"/>
    <d v="2025-06-04T00:00:00"/>
    <d v="2025-06-08T00:00:00"/>
    <d v="2025-06-16T00:00:00"/>
    <s v="C4142"/>
    <x v="1"/>
    <s v="Morocco"/>
    <s v="P36409"/>
    <s v="Shampoo Pack"/>
    <s v="FMCG"/>
    <s v="S546"/>
    <s v="Nova Industrial"/>
    <s v="Europe"/>
    <s v="WH 04"/>
    <s v="Istanbul"/>
    <x v="1"/>
    <n v="99"/>
    <n v="6.49"/>
    <n v="642.51"/>
    <n v="34.93"/>
    <n v="8"/>
    <n v="12"/>
    <n v="4502"/>
    <x v="0"/>
    <x v="0"/>
    <n v="59.85"/>
  </r>
  <r>
    <n v="101499"/>
    <d v="2024-05-26T00:00:00"/>
    <d v="2024-05-26T00:00:00"/>
    <d v="2024-06-06T00:00:00"/>
    <s v="C5950"/>
    <x v="1"/>
    <s v="South Africa"/>
    <s v="P99007"/>
    <s v="Denim Jeans"/>
    <s v="Apparel"/>
    <s v="S181"/>
    <s v="Orion Supplies"/>
    <s v="Middle East"/>
    <s v="WH 06"/>
    <s v="Amsterdam"/>
    <x v="3"/>
    <n v="457"/>
    <n v="25.36"/>
    <n v="11589.52"/>
    <n v="21.8"/>
    <n v="11"/>
    <n v="11"/>
    <n v="1145"/>
    <x v="0"/>
    <x v="0"/>
    <n v="628.58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4C301-1D7F-4613-ACBB-E0C6FDE62C7A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26">
    <pivotField dataField="1" showAll="0"/>
    <pivotField numFmtId="22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2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order_id" fld="0" subtotal="count" baseField="23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91D2D-224C-437B-ADB7-F4B039D4913C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6">
    <pivotField showAll="0"/>
    <pivotField numFmtId="22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profit" fld="2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A52F8-C0E9-458A-A225-9EA7835FAE34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26">
    <pivotField showAll="0"/>
    <pivotField numFmtId="22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5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Average of order_to_delivery_days" fld="21" subtotal="average" baseField="15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D99C9-C251-4D68-9D79-9F9E88A621FA}" name="PivotTable6" cacheId="19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0" rowHeaderCaption="Region" colHeaderCaption="Order Status">
  <location ref="A3:F10" firstHeaderRow="1" firstDataRow="2" firstDataCol="1"/>
  <pivotFields count="26">
    <pivotField dataField="1" showAll="0"/>
    <pivotField numFmtId="22" showAll="0"/>
    <pivotField numFmtId="22" showAll="0"/>
    <pivotField numFmtId="22" showAll="0"/>
    <pivotField showAll="0"/>
    <pivotField axis="axisRow" showAll="0" sortType="descending">
      <items count="6">
        <item x="1"/>
        <item x="0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5"/>
  </rowFields>
  <rowItems count="6">
    <i>
      <x v="4"/>
    </i>
    <i>
      <x v="3"/>
    </i>
    <i>
      <x v="1"/>
    </i>
    <i>
      <x/>
    </i>
    <i>
      <x v="2"/>
    </i>
    <i t="grand">
      <x/>
    </i>
  </rowItems>
  <colFields count="1">
    <field x="24"/>
  </colFields>
  <colItems count="5">
    <i>
      <x v="2"/>
    </i>
    <i>
      <x v="3"/>
    </i>
    <i>
      <x v="1"/>
    </i>
    <i>
      <x/>
    </i>
    <i t="grand">
      <x/>
    </i>
  </colItems>
  <dataFields count="1">
    <dataField name="Count of order_id" fld="0" subtotal="count" baseField="0" baseItem="0"/>
  </dataFields>
  <chartFormats count="8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8721155-3775-45ED-9CB1-85D10A960981}" autoFormatId="16" applyNumberFormats="0" applyBorderFormats="0" applyFontFormats="0" applyPatternFormats="0" applyAlignmentFormats="0" applyWidthHeightFormats="0">
  <queryTableRefresh nextId="27">
    <queryTableFields count="26">
      <queryTableField id="1" name="order_id" tableColumnId="1"/>
      <queryTableField id="2" name="order_date" tableColumnId="2"/>
      <queryTableField id="3" name="shipment_date" tableColumnId="3"/>
      <queryTableField id="4" name="delivery_date" tableColumnId="4"/>
      <queryTableField id="5" name="customer_id" tableColumnId="5"/>
      <queryTableField id="6" name="customer_region" tableColumnId="6"/>
      <queryTableField id="7" name="customer_country" tableColumnId="7"/>
      <queryTableField id="8" name="product_id" tableColumnId="8"/>
      <queryTableField id="9" name="product_name" tableColumnId="9"/>
      <queryTableField id="10" name="product_category" tableColumnId="10"/>
      <queryTableField id="11" name="supplier_id" tableColumnId="11"/>
      <queryTableField id="12" name="supplier_name" tableColumnId="12"/>
      <queryTableField id="13" name="supplier_region" tableColumnId="13"/>
      <queryTableField id="14" name="warehouse_id" tableColumnId="14"/>
      <queryTableField id="15" name="warehouse_location" tableColumnId="15"/>
      <queryTableField id="16" name="transportation_mode" tableColumnId="16"/>
      <queryTableField id="17" name="order_quantity" tableColumnId="17"/>
      <queryTableField id="18" name="unit_price" tableColumnId="18"/>
      <queryTableField id="19" name="total_cost" tableColumnId="19"/>
      <queryTableField id="20" name="shipping_cost" tableColumnId="20"/>
      <queryTableField id="21" name="shipment_to_delivery_days" tableColumnId="21"/>
      <queryTableField id="22" name="order_to_delivery_days" tableColumnId="22"/>
      <queryTableField id="23" name="inventory_level" tableColumnId="23"/>
      <queryTableField id="24" name="delivery_performance" tableColumnId="24"/>
      <queryTableField id="25" name="order_status" tableColumnId="25"/>
      <queryTableField id="26" name="profi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3D86A8-2894-44B2-AE05-2A7141006C7E}" autoFormatId="16" applyNumberFormats="0" applyBorderFormats="0" applyFontFormats="0" applyPatternFormats="0" applyAlignmentFormats="0" applyWidthHeightFormats="0">
  <queryTableRefresh nextId="25">
    <queryTableFields count="24">
      <queryTableField id="1" name="Order ID" tableColumnId="1"/>
      <queryTableField id="2" name="Order Date" tableColumnId="2"/>
      <queryTableField id="3" name="Shipment Date" tableColumnId="3"/>
      <queryTableField id="4" name="Delivery Date" tableColumnId="4"/>
      <queryTableField id="5" name="Customer ID" tableColumnId="5"/>
      <queryTableField id="6" name="Customer Region" tableColumnId="6"/>
      <queryTableField id="7" name="Customer Country" tableColumnId="7"/>
      <queryTableField id="8" name="Product ID" tableColumnId="8"/>
      <queryTableField id="9" name="Product Name" tableColumnId="9"/>
      <queryTableField id="10" name="Product Category" tableColumnId="10"/>
      <queryTableField id="11" name="Supplier ID" tableColumnId="11"/>
      <queryTableField id="12" name="Supplier Name" tableColumnId="12"/>
      <queryTableField id="13" name="Supplier Region" tableColumnId="13"/>
      <queryTableField id="14" name="Warehouse ID" tableColumnId="14"/>
      <queryTableField id="15" name="Warehouse Location" tableColumnId="15"/>
      <queryTableField id="16" name="Transportation Mode" tableColumnId="16"/>
      <queryTableField id="17" name="Order Quantity" tableColumnId="17"/>
      <queryTableField id="18" name="Unit Price" tableColumnId="18"/>
      <queryTableField id="19" name="Total Cost" tableColumnId="19"/>
      <queryTableField id="20" name="Shipping Cost" tableColumnId="20"/>
      <queryTableField id="21" name="Delivery Time Days" tableColumnId="21"/>
      <queryTableField id="22" name="Inventory Level" tableColumnId="22"/>
      <queryTableField id="23" name="Order Status" tableColumnId="23"/>
      <queryTableField id="24" name="Profit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BAC440-E0AD-410F-A9B8-741D43AEDA85}" name="cleaned_data" displayName="cleaned_data" ref="A1:Z1501" tableType="queryTable" totalsRowShown="0">
  <autoFilter ref="A1:Z1501" xr:uid="{5CBAC440-E0AD-410F-A9B8-741D43AEDA85}"/>
  <tableColumns count="26">
    <tableColumn id="1" xr3:uid="{68A1A726-F95B-4631-A4C0-882FAC96EE44}" uniqueName="1" name="order_id" queryTableFieldId="1"/>
    <tableColumn id="2" xr3:uid="{3EF95B29-973B-4EFF-B23E-EB213DCFC318}" uniqueName="2" name="order_date" queryTableFieldId="2" dataDxfId="32"/>
    <tableColumn id="3" xr3:uid="{F0AFE1E9-13E4-4158-865D-97DE84FFACB3}" uniqueName="3" name="shipment_date" queryTableFieldId="3" dataDxfId="31"/>
    <tableColumn id="4" xr3:uid="{FF8E9AAB-5CCD-4D52-818D-9716FEA17AE1}" uniqueName="4" name="delivery_date" queryTableFieldId="4" dataDxfId="30"/>
    <tableColumn id="5" xr3:uid="{C7121D73-367A-4A98-9DC1-13FA67BB088B}" uniqueName="5" name="customer_id" queryTableFieldId="5" dataDxfId="29"/>
    <tableColumn id="6" xr3:uid="{2BA196FF-1005-497C-B270-ED6DE1AF63C1}" uniqueName="6" name="customer_region" queryTableFieldId="6" dataDxfId="28"/>
    <tableColumn id="7" xr3:uid="{58DCBAE7-08A9-4B24-BE5D-CE5D4ECEC4E4}" uniqueName="7" name="customer_country" queryTableFieldId="7" dataDxfId="27"/>
    <tableColumn id="8" xr3:uid="{87801FA3-38D6-4CA9-8A8A-8BE2E326EBA8}" uniqueName="8" name="product_id" queryTableFieldId="8" dataDxfId="26"/>
    <tableColumn id="9" xr3:uid="{2254AB9B-19BC-479C-93FA-797D370D1A01}" uniqueName="9" name="product_name" queryTableFieldId="9" dataDxfId="25"/>
    <tableColumn id="10" xr3:uid="{4DD2B658-7D9B-48DB-92E7-22FD633C4026}" uniqueName="10" name="product_category" queryTableFieldId="10" dataDxfId="24"/>
    <tableColumn id="11" xr3:uid="{C8299E6A-891A-47C6-8A38-63938659BDEF}" uniqueName="11" name="supplier_id" queryTableFieldId="11" dataDxfId="23"/>
    <tableColumn id="12" xr3:uid="{E8CFEEC3-5FFF-42BB-BA41-55FAF30C0BFD}" uniqueName="12" name="supplier_name" queryTableFieldId="12" dataDxfId="22"/>
    <tableColumn id="13" xr3:uid="{F13721B3-9747-4393-98F1-EBD9A726170B}" uniqueName="13" name="supplier_region" queryTableFieldId="13" dataDxfId="21"/>
    <tableColumn id="14" xr3:uid="{3EAAAFA8-F1D7-4BC5-ACD4-443AE5E910CD}" uniqueName="14" name="warehouse_id" queryTableFieldId="14" dataDxfId="20"/>
    <tableColumn id="15" xr3:uid="{C289CA50-F322-4234-86F7-395E6DC92E89}" uniqueName="15" name="warehouse_location" queryTableFieldId="15" dataDxfId="19"/>
    <tableColumn id="16" xr3:uid="{492C1274-83DA-4658-9EE8-953B2C808E96}" uniqueName="16" name="transportation_mode" queryTableFieldId="16" dataDxfId="18"/>
    <tableColumn id="17" xr3:uid="{1A26A31C-944B-4CFC-B29B-69A46DDC6E20}" uniqueName="17" name="order_quantity" queryTableFieldId="17"/>
    <tableColumn id="18" xr3:uid="{B765AD41-FC28-4621-B55B-F77CC5DB371C}" uniqueName="18" name="unit_price" queryTableFieldId="18"/>
    <tableColumn id="19" xr3:uid="{1F8D43BF-A83C-4629-9DD4-12E6B65C041D}" uniqueName="19" name="total_cost" queryTableFieldId="19"/>
    <tableColumn id="20" xr3:uid="{867F3DF3-0A2F-4C55-A284-76B338946BAE}" uniqueName="20" name="shipping_cost" queryTableFieldId="20"/>
    <tableColumn id="21" xr3:uid="{84D33549-C852-42C2-BCD7-8EB3499FBA46}" uniqueName="21" name="shipment_to_delivery_days" queryTableFieldId="21"/>
    <tableColumn id="22" xr3:uid="{20374F74-F1D5-47DF-96C1-417CB5210A26}" uniqueName="22" name="order_to_delivery_days" queryTableFieldId="22"/>
    <tableColumn id="23" xr3:uid="{8CFC05EA-399F-4F15-A912-6630FE4E9DF7}" uniqueName="23" name="inventory_level" queryTableFieldId="23"/>
    <tableColumn id="24" xr3:uid="{4E38D152-D014-4BD1-80EE-8D7B9206C231}" uniqueName="24" name="delivery_performance" queryTableFieldId="24"/>
    <tableColumn id="25" xr3:uid="{5309A2C5-DFD1-4BD4-BA3E-EEEF43E56555}" uniqueName="25" name="order_status" queryTableFieldId="25" dataDxfId="17"/>
    <tableColumn id="26" xr3:uid="{5BCE09AC-E3B2-4614-88C0-E485FF640A92}" uniqueName="26" name="profit" queryTableField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6BD99-DD06-4429-9C58-8408BDD4909F}" name="tbl_supplychain" displayName="tbl_supplychain" ref="A1:X1501" tableType="queryTable" totalsRowShown="0">
  <autoFilter ref="A1:X1501" xr:uid="{67D6BD99-DD06-4429-9C58-8408BDD4909F}"/>
  <tableColumns count="24">
    <tableColumn id="1" xr3:uid="{14DC35E3-81ED-41BF-A1AB-495EFF96CD39}" uniqueName="1" name="Order ID" queryTableFieldId="1" dataDxfId="16"/>
    <tableColumn id="2" xr3:uid="{7F729B2E-1656-4546-9723-D0ED9A31CE29}" uniqueName="2" name="Order Date" queryTableFieldId="2" dataDxfId="15"/>
    <tableColumn id="3" xr3:uid="{7914B7D9-62DF-4E18-B021-8E50D5CDDA10}" uniqueName="3" name="Shipment Date" queryTableFieldId="3" dataDxfId="14"/>
    <tableColumn id="4" xr3:uid="{038EE335-E295-4F2C-BB17-A3E24FCD11D3}" uniqueName="4" name="Delivery Date" queryTableFieldId="4" dataDxfId="13"/>
    <tableColumn id="5" xr3:uid="{35291CFF-F50F-4E89-A0A3-57F7837F87D4}" uniqueName="5" name="Customer ID" queryTableFieldId="5" dataDxfId="12"/>
    <tableColumn id="6" xr3:uid="{3C9FC05F-9024-44E1-B238-F08BE4A7BAA6}" uniqueName="6" name="Customer Region" queryTableFieldId="6" dataDxfId="11"/>
    <tableColumn id="7" xr3:uid="{3C220C79-7665-413A-BDEE-1F0E009942D8}" uniqueName="7" name="Customer Country" queryTableFieldId="7" dataDxfId="10"/>
    <tableColumn id="8" xr3:uid="{FB69647B-34F9-4035-91FA-986B8114D271}" uniqueName="8" name="Product ID" queryTableFieldId="8" dataDxfId="9"/>
    <tableColumn id="9" xr3:uid="{627E03C8-58BA-49B5-811B-C4DE5E9019E6}" uniqueName="9" name="Product Name" queryTableFieldId="9" dataDxfId="8"/>
    <tableColumn id="10" xr3:uid="{FC28BEBE-BB7F-4CA3-9FC5-165738E27F11}" uniqueName="10" name="Product Category" queryTableFieldId="10" dataDxfId="7"/>
    <tableColumn id="11" xr3:uid="{584BDF83-A4C7-4716-8ED7-7AAE1918B6F7}" uniqueName="11" name="Supplier ID" queryTableFieldId="11" dataDxfId="6"/>
    <tableColumn id="12" xr3:uid="{A96EE331-5702-440E-B848-09E0D36CC3C6}" uniqueName="12" name="Supplier Name" queryTableFieldId="12" dataDxfId="5"/>
    <tableColumn id="13" xr3:uid="{D1348233-4ADE-4907-9EA6-24DC6782F8B5}" uniqueName="13" name="Supplier Region" queryTableFieldId="13" dataDxfId="4"/>
    <tableColumn id="14" xr3:uid="{5D0EAEFA-5E55-4CBB-B378-2520ADC2B5F7}" uniqueName="14" name="Warehouse ID" queryTableFieldId="14" dataDxfId="3"/>
    <tableColumn id="15" xr3:uid="{E13C1D7B-07F5-4AA2-BDC7-C2EEF1E17774}" uniqueName="15" name="Warehouse Location" queryTableFieldId="15" dataDxfId="2"/>
    <tableColumn id="16" xr3:uid="{53517943-483B-49AB-AF83-D7E35F6BBD53}" uniqueName="16" name="Transportation Mode" queryTableFieldId="16" dataDxfId="1"/>
    <tableColumn id="17" xr3:uid="{6B8E4E9C-2C54-458D-8726-2E6B1AF62DB1}" uniqueName="17" name="Order Quantity" queryTableFieldId="17"/>
    <tableColumn id="18" xr3:uid="{92D8987D-D738-4194-8850-56364A4237B7}" uniqueName="18" name="Unit Price" queryTableFieldId="18"/>
    <tableColumn id="19" xr3:uid="{866335B0-4C32-4C38-A978-069116DCC2F5}" uniqueName="19" name="Total Cost" queryTableFieldId="19"/>
    <tableColumn id="20" xr3:uid="{D0424A55-4F53-4D73-B19C-120D2F378DC0}" uniqueName="20" name="Shipping Cost" queryTableFieldId="20"/>
    <tableColumn id="21" xr3:uid="{8CC46A0D-679F-41DE-9178-34D81EFD1E64}" uniqueName="21" name="Delivery Time Days" queryTableFieldId="21"/>
    <tableColumn id="22" xr3:uid="{5B34313D-1BD0-4004-B718-0F043E25D2E4}" uniqueName="22" name="Inventory Level" queryTableFieldId="22"/>
    <tableColumn id="23" xr3:uid="{519C869A-E4E2-4492-BE91-13E7E15737CF}" uniqueName="23" name="Order Status" queryTableFieldId="23" dataDxfId="0"/>
    <tableColumn id="24" xr3:uid="{5D69167F-B5F5-41D6-BF7E-501DEBABFA51}" uniqueName="24" name="Profit" queryTableField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5BA1-5F3C-4E3F-B521-5DFC2DA43B6D}">
  <dimension ref="A3:B7"/>
  <sheetViews>
    <sheetView workbookViewId="0">
      <selection activeCell="A4" sqref="A4:B6"/>
    </sheetView>
  </sheetViews>
  <sheetFormatPr defaultRowHeight="15" x14ac:dyDescent="0.25"/>
  <cols>
    <col min="1" max="1" width="15.85546875" bestFit="1" customWidth="1"/>
    <col min="2" max="2" width="16.85546875" bestFit="1" customWidth="1"/>
  </cols>
  <sheetData>
    <row r="3" spans="1:2" x14ac:dyDescent="0.25">
      <c r="A3" s="4" t="s">
        <v>3743</v>
      </c>
      <c r="B3" t="s">
        <v>3745</v>
      </c>
    </row>
    <row r="4" spans="1:2" x14ac:dyDescent="0.25">
      <c r="A4" s="5" t="s">
        <v>188</v>
      </c>
      <c r="B4" s="6">
        <v>829</v>
      </c>
    </row>
    <row r="5" spans="1:2" x14ac:dyDescent="0.25">
      <c r="A5" s="5" t="s">
        <v>3741</v>
      </c>
      <c r="B5" s="6">
        <v>407</v>
      </c>
    </row>
    <row r="6" spans="1:2" x14ac:dyDescent="0.25">
      <c r="A6" s="5" t="s">
        <v>3742</v>
      </c>
      <c r="B6" s="6">
        <v>264</v>
      </c>
    </row>
    <row r="7" spans="1:2" x14ac:dyDescent="0.25">
      <c r="A7" s="5" t="s">
        <v>3744</v>
      </c>
      <c r="B7" s="6">
        <v>1500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78BE-8E9D-44DE-922D-7E5836D2987D}">
  <dimension ref="A3:B8"/>
  <sheetViews>
    <sheetView workbookViewId="0">
      <selection activeCell="O16" sqref="O16"/>
    </sheetView>
  </sheetViews>
  <sheetFormatPr defaultRowHeight="15" x14ac:dyDescent="0.25"/>
  <cols>
    <col min="1" max="1" width="13.42578125" bestFit="1" customWidth="1"/>
    <col min="2" max="2" width="12.7109375" bestFit="1" customWidth="1"/>
  </cols>
  <sheetData>
    <row r="3" spans="1:2" x14ac:dyDescent="0.25">
      <c r="A3" s="4" t="s">
        <v>3743</v>
      </c>
      <c r="B3" t="s">
        <v>3746</v>
      </c>
    </row>
    <row r="4" spans="1:2" x14ac:dyDescent="0.25">
      <c r="A4" s="5" t="s">
        <v>123</v>
      </c>
      <c r="B4" s="6">
        <v>1966012.5900000003</v>
      </c>
    </row>
    <row r="5" spans="1:2" x14ac:dyDescent="0.25">
      <c r="A5" s="5" t="s">
        <v>76</v>
      </c>
      <c r="B5" s="6">
        <v>1836152.8299999987</v>
      </c>
    </row>
    <row r="6" spans="1:2" x14ac:dyDescent="0.25">
      <c r="A6" s="5" t="s">
        <v>68</v>
      </c>
      <c r="B6" s="6">
        <v>1788199.4600000009</v>
      </c>
    </row>
    <row r="7" spans="1:2" x14ac:dyDescent="0.25">
      <c r="A7" s="5" t="s">
        <v>35</v>
      </c>
      <c r="B7" s="6">
        <v>1666838.0100000016</v>
      </c>
    </row>
    <row r="8" spans="1:2" x14ac:dyDescent="0.25">
      <c r="A8" s="5" t="s">
        <v>3744</v>
      </c>
      <c r="B8" s="6">
        <v>7257202.8900000015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69CB-2179-4904-91DD-7221A17D9399}">
  <dimension ref="A3:B8"/>
  <sheetViews>
    <sheetView workbookViewId="0">
      <selection activeCell="A4" sqref="A4:B7"/>
    </sheetView>
  </sheetViews>
  <sheetFormatPr defaultRowHeight="15" x14ac:dyDescent="0.25"/>
  <cols>
    <col min="1" max="1" width="13.42578125" bestFit="1" customWidth="1"/>
    <col min="2" max="2" width="32.28515625" bestFit="1" customWidth="1"/>
  </cols>
  <sheetData>
    <row r="3" spans="1:2" x14ac:dyDescent="0.25">
      <c r="A3" s="4" t="s">
        <v>3743</v>
      </c>
      <c r="B3" t="s">
        <v>3747</v>
      </c>
    </row>
    <row r="4" spans="1:2" x14ac:dyDescent="0.25">
      <c r="A4" s="5" t="s">
        <v>76</v>
      </c>
      <c r="B4" s="2">
        <v>20.338797814207652</v>
      </c>
    </row>
    <row r="5" spans="1:2" x14ac:dyDescent="0.25">
      <c r="A5" s="5" t="s">
        <v>123</v>
      </c>
      <c r="B5" s="2">
        <v>11.984</v>
      </c>
    </row>
    <row r="6" spans="1:2" x14ac:dyDescent="0.25">
      <c r="A6" s="5" t="s">
        <v>35</v>
      </c>
      <c r="B6" s="2">
        <v>9.0686015831134572</v>
      </c>
    </row>
    <row r="7" spans="1:2" x14ac:dyDescent="0.25">
      <c r="A7" s="5" t="s">
        <v>68</v>
      </c>
      <c r="B7" s="2">
        <v>6.1263157894736846</v>
      </c>
    </row>
    <row r="8" spans="1:2" x14ac:dyDescent="0.25">
      <c r="A8" s="5" t="s">
        <v>3744</v>
      </c>
      <c r="B8" s="2">
        <v>11.802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6308-BB9A-4CBF-876E-CCDE13229476}">
  <dimension ref="A3:F10"/>
  <sheetViews>
    <sheetView workbookViewId="0">
      <selection activeCell="A4" sqref="A4:E9"/>
    </sheetView>
  </sheetViews>
  <sheetFormatPr defaultRowHeight="15" x14ac:dyDescent="0.25"/>
  <cols>
    <col min="1" max="1" width="16.85546875" bestFit="1" customWidth="1"/>
    <col min="2" max="2" width="14.5703125" bestFit="1" customWidth="1"/>
    <col min="3" max="3" width="9.28515625" bestFit="1" customWidth="1"/>
    <col min="4" max="4" width="8.42578125" bestFit="1" customWidth="1"/>
    <col min="5" max="5" width="10.140625" bestFit="1" customWidth="1"/>
    <col min="6" max="6" width="11.28515625" bestFit="1" customWidth="1"/>
  </cols>
  <sheetData>
    <row r="3" spans="1:6" x14ac:dyDescent="0.25">
      <c r="A3" s="4" t="s">
        <v>3745</v>
      </c>
      <c r="B3" s="4" t="s">
        <v>22</v>
      </c>
    </row>
    <row r="4" spans="1:6" x14ac:dyDescent="0.25">
      <c r="A4" s="4" t="s">
        <v>3748</v>
      </c>
      <c r="B4" t="s">
        <v>36</v>
      </c>
      <c r="C4" t="s">
        <v>57</v>
      </c>
      <c r="D4" t="s">
        <v>188</v>
      </c>
      <c r="E4" t="s">
        <v>47</v>
      </c>
      <c r="F4" t="s">
        <v>3744</v>
      </c>
    </row>
    <row r="5" spans="1:6" x14ac:dyDescent="0.25">
      <c r="A5" s="5" t="s">
        <v>65</v>
      </c>
      <c r="B5" s="6">
        <v>271</v>
      </c>
      <c r="C5" s="6">
        <v>25</v>
      </c>
      <c r="D5" s="6">
        <v>22</v>
      </c>
      <c r="E5" s="6">
        <v>12</v>
      </c>
      <c r="F5" s="6">
        <v>330</v>
      </c>
    </row>
    <row r="6" spans="1:6" x14ac:dyDescent="0.25">
      <c r="A6" s="5" t="s">
        <v>54</v>
      </c>
      <c r="B6" s="6">
        <v>251</v>
      </c>
      <c r="C6" s="6">
        <v>25</v>
      </c>
      <c r="D6" s="6">
        <v>16</v>
      </c>
      <c r="E6" s="6">
        <v>11</v>
      </c>
      <c r="F6" s="6">
        <v>303</v>
      </c>
    </row>
    <row r="7" spans="1:6" x14ac:dyDescent="0.25">
      <c r="A7" s="5" t="s">
        <v>25</v>
      </c>
      <c r="B7" s="6">
        <v>245</v>
      </c>
      <c r="C7" s="6">
        <v>26</v>
      </c>
      <c r="D7" s="6">
        <v>21</v>
      </c>
      <c r="E7" s="6">
        <v>9</v>
      </c>
      <c r="F7" s="6">
        <v>301</v>
      </c>
    </row>
    <row r="8" spans="1:6" x14ac:dyDescent="0.25">
      <c r="A8" s="5" t="s">
        <v>38</v>
      </c>
      <c r="B8" s="6">
        <v>240</v>
      </c>
      <c r="C8" s="6">
        <v>25</v>
      </c>
      <c r="D8" s="6">
        <v>13</v>
      </c>
      <c r="E8" s="6">
        <v>9</v>
      </c>
      <c r="F8" s="6">
        <v>287</v>
      </c>
    </row>
    <row r="9" spans="1:6" x14ac:dyDescent="0.25">
      <c r="A9" s="5" t="s">
        <v>32</v>
      </c>
      <c r="B9" s="6">
        <v>229</v>
      </c>
      <c r="C9" s="6">
        <v>22</v>
      </c>
      <c r="D9" s="6">
        <v>16</v>
      </c>
      <c r="E9" s="6">
        <v>12</v>
      </c>
      <c r="F9" s="6">
        <v>279</v>
      </c>
    </row>
    <row r="10" spans="1:6" x14ac:dyDescent="0.25">
      <c r="A10" s="5" t="s">
        <v>3744</v>
      </c>
      <c r="B10" s="6">
        <v>1236</v>
      </c>
      <c r="C10" s="6">
        <v>123</v>
      </c>
      <c r="D10" s="6">
        <v>88</v>
      </c>
      <c r="E10" s="6">
        <v>53</v>
      </c>
      <c r="F10" s="6">
        <v>1500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ED54-3462-4497-9BAB-E8393C9936A0}">
  <dimension ref="H7:I11"/>
  <sheetViews>
    <sheetView workbookViewId="0">
      <selection activeCell="I7" sqref="I7"/>
    </sheetView>
  </sheetViews>
  <sheetFormatPr defaultRowHeight="15" x14ac:dyDescent="0.25"/>
  <cols>
    <col min="8" max="8" width="27.42578125" customWidth="1"/>
  </cols>
  <sheetData>
    <row r="7" spans="8:9" x14ac:dyDescent="0.25">
      <c r="H7" t="s">
        <v>3749</v>
      </c>
      <c r="I7">
        <f>COUNT(cleaned_data[order_id])</f>
        <v>1500</v>
      </c>
    </row>
    <row r="8" spans="8:9" x14ac:dyDescent="0.25">
      <c r="H8" t="s">
        <v>3750</v>
      </c>
      <c r="I8">
        <f>SUM(cleaned_data[profit])</f>
        <v>7257202.8899999885</v>
      </c>
    </row>
    <row r="9" spans="8:9" x14ac:dyDescent="0.25">
      <c r="H9" t="s">
        <v>3751</v>
      </c>
      <c r="I9">
        <f>AVERAGE(cleaned_data[order_to_delivery_days])</f>
        <v>11.802</v>
      </c>
    </row>
    <row r="10" spans="8:9" x14ac:dyDescent="0.25">
      <c r="H10" t="s">
        <v>3752</v>
      </c>
      <c r="I10" s="7">
        <f>COUNTIF(cleaned_data[delivery_performance],"On Time")/COUNTIF(cleaned_data[delivery_performance],"&lt;&gt;Not Yet Delivered")</f>
        <v>0.32928802588996764</v>
      </c>
    </row>
    <row r="11" spans="8:9" x14ac:dyDescent="0.25">
      <c r="H11" t="s">
        <v>3753</v>
      </c>
      <c r="I11" s="7">
        <f>COUNTIF(cleaned_data[order_status],"Cancelled")/COUNTA(cleaned_data[order_id])</f>
        <v>3.5333333333333335E-2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C66E-CED8-45AB-BF2A-B6E22BACD4E7}">
  <dimension ref="L1:S8"/>
  <sheetViews>
    <sheetView showGridLines="0" tabSelected="1" zoomScale="70" zoomScaleNormal="70" workbookViewId="0">
      <selection activeCell="W21" sqref="W21"/>
    </sheetView>
  </sheetViews>
  <sheetFormatPr defaultRowHeight="15" x14ac:dyDescent="0.25"/>
  <cols>
    <col min="1" max="1" width="8.85546875" customWidth="1"/>
    <col min="2" max="2" width="16" customWidth="1"/>
    <col min="3" max="3" width="11.5703125" customWidth="1"/>
    <col min="4" max="4" width="14.7109375" customWidth="1"/>
    <col min="5" max="5" width="14.5703125" customWidth="1"/>
    <col min="6" max="6" width="11.42578125" customWidth="1"/>
    <col min="8" max="8" width="12.5703125" customWidth="1"/>
    <col min="11" max="11" width="8.85546875" customWidth="1"/>
    <col min="12" max="12" width="15.85546875" customWidth="1"/>
    <col min="15" max="15" width="17.7109375" customWidth="1"/>
    <col min="19" max="19" width="14.28515625" customWidth="1"/>
  </cols>
  <sheetData>
    <row r="1" spans="12:19" x14ac:dyDescent="0.25">
      <c r="L1" s="9" t="s">
        <v>3754</v>
      </c>
      <c r="M1" s="9"/>
      <c r="N1" s="9"/>
      <c r="O1" s="9"/>
      <c r="P1" s="9"/>
      <c r="Q1" s="9"/>
      <c r="R1" s="9"/>
    </row>
    <row r="2" spans="12:19" x14ac:dyDescent="0.25">
      <c r="L2" s="9"/>
      <c r="M2" s="9"/>
      <c r="N2" s="9"/>
      <c r="O2" s="9"/>
      <c r="P2" s="9"/>
      <c r="Q2" s="9"/>
      <c r="R2" s="9"/>
    </row>
    <row r="3" spans="12:19" ht="27" x14ac:dyDescent="0.35">
      <c r="L3" s="8"/>
      <c r="M3" s="8"/>
      <c r="N3" s="8"/>
      <c r="O3" s="8"/>
      <c r="P3" s="8"/>
      <c r="Q3" s="8"/>
      <c r="R3" s="8"/>
    </row>
    <row r="4" spans="12:19" x14ac:dyDescent="0.25">
      <c r="L4" s="10" t="s">
        <v>3749</v>
      </c>
      <c r="M4" s="10"/>
      <c r="R4" s="11" t="s">
        <v>3750</v>
      </c>
      <c r="S4" s="11"/>
    </row>
    <row r="5" spans="12:19" x14ac:dyDescent="0.25">
      <c r="L5" s="10">
        <f>Kpis!I7</f>
        <v>1500</v>
      </c>
      <c r="M5" s="10"/>
      <c r="O5" s="11" t="s">
        <v>3751</v>
      </c>
      <c r="P5" s="11"/>
      <c r="R5" s="13">
        <f>Kpis!I8</f>
        <v>7257202.8899999885</v>
      </c>
      <c r="S5" s="13"/>
    </row>
    <row r="6" spans="12:19" x14ac:dyDescent="0.25">
      <c r="O6" s="12">
        <f>Kpis!I9</f>
        <v>11.802</v>
      </c>
      <c r="P6" s="12"/>
    </row>
    <row r="7" spans="12:19" x14ac:dyDescent="0.25">
      <c r="L7" s="11" t="s">
        <v>3752</v>
      </c>
      <c r="M7" s="11"/>
      <c r="R7" s="11" t="s">
        <v>3753</v>
      </c>
      <c r="S7" s="11"/>
    </row>
    <row r="8" spans="12:19" x14ac:dyDescent="0.25">
      <c r="L8" s="14">
        <f>Kpis!I10</f>
        <v>0.32928802588996764</v>
      </c>
      <c r="M8" s="14"/>
      <c r="R8" s="14">
        <f>Kpis!I11</f>
        <v>3.5333333333333335E-2</v>
      </c>
      <c r="S8" s="14"/>
    </row>
  </sheetData>
  <mergeCells count="11">
    <mergeCell ref="L4:M4"/>
    <mergeCell ref="L5:M5"/>
    <mergeCell ref="O5:P5"/>
    <mergeCell ref="O6:P6"/>
    <mergeCell ref="R4:S4"/>
    <mergeCell ref="R5:S5"/>
    <mergeCell ref="L8:M8"/>
    <mergeCell ref="R8:S8"/>
    <mergeCell ref="L7:M7"/>
    <mergeCell ref="R7:S7"/>
    <mergeCell ref="L1:R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729F-339C-4A7E-99FE-5DFD654D8610}">
  <dimension ref="A1:Z1501"/>
  <sheetViews>
    <sheetView topLeftCell="P1" workbookViewId="0">
      <selection activeCell="Y3" sqref="Y3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16.85546875" bestFit="1" customWidth="1"/>
    <col min="4" max="4" width="15.5703125" bestFit="1" customWidth="1"/>
    <col min="5" max="5" width="14.42578125" bestFit="1" customWidth="1"/>
    <col min="6" max="6" width="18.5703125" bestFit="1" customWidth="1"/>
    <col min="7" max="7" width="19.85546875" bestFit="1" customWidth="1"/>
    <col min="8" max="8" width="12.85546875" bestFit="1" customWidth="1"/>
    <col min="9" max="9" width="18.7109375" bestFit="1" customWidth="1"/>
    <col min="10" max="10" width="19" bestFit="1" customWidth="1"/>
    <col min="11" max="11" width="13.28515625" bestFit="1" customWidth="1"/>
    <col min="12" max="12" width="19.85546875" bestFit="1" customWidth="1"/>
    <col min="13" max="13" width="17.42578125" bestFit="1" customWidth="1"/>
    <col min="14" max="14" width="15.85546875" bestFit="1" customWidth="1"/>
    <col min="15" max="15" width="21.5703125" bestFit="1" customWidth="1"/>
    <col min="16" max="16" width="22.42578125" bestFit="1" customWidth="1"/>
    <col min="17" max="17" width="16.5703125" bestFit="1" customWidth="1"/>
    <col min="18" max="18" width="12.28515625" bestFit="1" customWidth="1"/>
    <col min="19" max="19" width="12.140625" bestFit="1" customWidth="1"/>
    <col min="20" max="20" width="15.85546875" bestFit="1" customWidth="1"/>
    <col min="21" max="21" width="28.28515625" bestFit="1" customWidth="1"/>
    <col min="22" max="22" width="24.42578125" bestFit="1" customWidth="1"/>
    <col min="23" max="23" width="17.28515625" bestFit="1" customWidth="1"/>
    <col min="24" max="24" width="23.28515625" bestFit="1" customWidth="1"/>
    <col min="25" max="25" width="14.5703125" bestFit="1" customWidth="1"/>
    <col min="26" max="26" width="9" bestFit="1" customWidth="1"/>
  </cols>
  <sheetData>
    <row r="1" spans="1:26" x14ac:dyDescent="0.25">
      <c r="A1" t="s">
        <v>3716</v>
      </c>
      <c r="B1" t="s">
        <v>3717</v>
      </c>
      <c r="C1" t="s">
        <v>3718</v>
      </c>
      <c r="D1" t="s">
        <v>3719</v>
      </c>
      <c r="E1" t="s">
        <v>3720</v>
      </c>
      <c r="F1" t="s">
        <v>3721</v>
      </c>
      <c r="G1" t="s">
        <v>3722</v>
      </c>
      <c r="H1" t="s">
        <v>3723</v>
      </c>
      <c r="I1" t="s">
        <v>3724</v>
      </c>
      <c r="J1" t="s">
        <v>3725</v>
      </c>
      <c r="K1" t="s">
        <v>3726</v>
      </c>
      <c r="L1" t="s">
        <v>3727</v>
      </c>
      <c r="M1" t="s">
        <v>3728</v>
      </c>
      <c r="N1" t="s">
        <v>3729</v>
      </c>
      <c r="O1" t="s">
        <v>3730</v>
      </c>
      <c r="P1" t="s">
        <v>3731</v>
      </c>
      <c r="Q1" t="s">
        <v>3732</v>
      </c>
      <c r="R1" t="s">
        <v>3733</v>
      </c>
      <c r="S1" t="s">
        <v>3734</v>
      </c>
      <c r="T1" t="s">
        <v>3735</v>
      </c>
      <c r="U1" t="s">
        <v>3738</v>
      </c>
      <c r="V1" t="s">
        <v>3739</v>
      </c>
      <c r="W1" t="s">
        <v>3736</v>
      </c>
      <c r="X1" t="s">
        <v>3740</v>
      </c>
      <c r="Y1" t="s">
        <v>3737</v>
      </c>
      <c r="Z1" t="s">
        <v>3715</v>
      </c>
    </row>
    <row r="2" spans="1:26" x14ac:dyDescent="0.25">
      <c r="A2">
        <v>100000</v>
      </c>
      <c r="B2" s="3">
        <v>45394</v>
      </c>
      <c r="C2" s="3">
        <v>45397</v>
      </c>
      <c r="D2" s="3">
        <v>45406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224</v>
      </c>
      <c r="R2">
        <v>16.39</v>
      </c>
      <c r="S2">
        <v>3671.36</v>
      </c>
      <c r="T2">
        <v>18.82</v>
      </c>
      <c r="U2">
        <v>9</v>
      </c>
      <c r="V2">
        <v>12</v>
      </c>
      <c r="W2">
        <v>2285</v>
      </c>
      <c r="X2" t="s">
        <v>188</v>
      </c>
      <c r="Y2" t="s">
        <v>36</v>
      </c>
      <c r="Z2">
        <v>668.08</v>
      </c>
    </row>
    <row r="3" spans="1:26" x14ac:dyDescent="0.25">
      <c r="A3">
        <v>100001</v>
      </c>
      <c r="B3" s="3">
        <v>45705</v>
      </c>
      <c r="C3" s="3">
        <v>45710</v>
      </c>
      <c r="D3" s="3">
        <v>45713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32</v>
      </c>
      <c r="N3" t="s">
        <v>45</v>
      </c>
      <c r="O3" t="s">
        <v>46</v>
      </c>
      <c r="P3" t="s">
        <v>35</v>
      </c>
      <c r="Q3">
        <v>323</v>
      </c>
      <c r="R3">
        <v>264.66000000000003</v>
      </c>
      <c r="S3">
        <v>85485.18</v>
      </c>
      <c r="T3">
        <v>21.63</v>
      </c>
      <c r="U3">
        <v>3</v>
      </c>
      <c r="V3">
        <v>8</v>
      </c>
      <c r="W3">
        <v>797</v>
      </c>
      <c r="X3" t="s">
        <v>3742</v>
      </c>
      <c r="Y3" t="s">
        <v>47</v>
      </c>
      <c r="Z3">
        <v>-21.2</v>
      </c>
    </row>
    <row r="4" spans="1:26" x14ac:dyDescent="0.25">
      <c r="A4">
        <v>100002</v>
      </c>
      <c r="B4" s="3">
        <v>45991</v>
      </c>
      <c r="C4" s="3">
        <v>45996</v>
      </c>
      <c r="D4" s="3">
        <v>46000</v>
      </c>
      <c r="E4" t="s">
        <v>48</v>
      </c>
      <c r="F4" t="s">
        <v>38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31</v>
      </c>
      <c r="M4" t="s">
        <v>54</v>
      </c>
      <c r="N4" t="s">
        <v>55</v>
      </c>
      <c r="O4" t="s">
        <v>56</v>
      </c>
      <c r="P4" t="s">
        <v>35</v>
      </c>
      <c r="Q4">
        <v>140</v>
      </c>
      <c r="R4">
        <v>78.52</v>
      </c>
      <c r="S4">
        <v>10992.8</v>
      </c>
      <c r="T4">
        <v>16.440000000000001</v>
      </c>
      <c r="U4">
        <v>4</v>
      </c>
      <c r="V4">
        <v>9</v>
      </c>
      <c r="W4">
        <v>846</v>
      </c>
      <c r="X4" t="s">
        <v>3742</v>
      </c>
      <c r="Y4" t="s">
        <v>57</v>
      </c>
      <c r="Z4">
        <v>2109.0700000000002</v>
      </c>
    </row>
    <row r="5" spans="1:26" x14ac:dyDescent="0.25">
      <c r="A5">
        <v>100003</v>
      </c>
      <c r="B5" s="3">
        <v>45533</v>
      </c>
      <c r="C5" s="3">
        <v>45534</v>
      </c>
      <c r="D5" s="3">
        <v>45538</v>
      </c>
      <c r="E5" t="s">
        <v>58</v>
      </c>
      <c r="F5" t="s">
        <v>25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>
        <v>437</v>
      </c>
      <c r="R5">
        <v>27.28</v>
      </c>
      <c r="S5">
        <v>11921.36</v>
      </c>
      <c r="T5">
        <v>56.83</v>
      </c>
      <c r="U5">
        <v>4</v>
      </c>
      <c r="V5">
        <v>5</v>
      </c>
      <c r="W5">
        <v>4314</v>
      </c>
      <c r="X5" t="s">
        <v>3741</v>
      </c>
      <c r="Y5" t="s">
        <v>36</v>
      </c>
      <c r="Z5">
        <v>821.66</v>
      </c>
    </row>
    <row r="6" spans="1:26" x14ac:dyDescent="0.25">
      <c r="A6">
        <v>100004</v>
      </c>
      <c r="B6" s="3">
        <v>45681</v>
      </c>
      <c r="C6" s="3">
        <v>45686</v>
      </c>
      <c r="D6" s="3">
        <v>45705</v>
      </c>
      <c r="E6" t="s">
        <v>69</v>
      </c>
      <c r="F6" t="s">
        <v>65</v>
      </c>
      <c r="G6" t="s">
        <v>70</v>
      </c>
      <c r="H6" t="s">
        <v>71</v>
      </c>
      <c r="I6" t="s">
        <v>72</v>
      </c>
      <c r="J6" t="s">
        <v>42</v>
      </c>
      <c r="K6" t="s">
        <v>73</v>
      </c>
      <c r="L6" t="s">
        <v>44</v>
      </c>
      <c r="M6" t="s">
        <v>65</v>
      </c>
      <c r="N6" t="s">
        <v>74</v>
      </c>
      <c r="O6" t="s">
        <v>75</v>
      </c>
      <c r="P6" t="s">
        <v>76</v>
      </c>
      <c r="Q6">
        <v>211</v>
      </c>
      <c r="R6">
        <v>408.98</v>
      </c>
      <c r="S6">
        <v>86294.78</v>
      </c>
      <c r="T6">
        <v>8.7899999999999991</v>
      </c>
      <c r="U6">
        <v>19</v>
      </c>
      <c r="V6">
        <v>24</v>
      </c>
      <c r="W6">
        <v>319</v>
      </c>
      <c r="X6" t="s">
        <v>188</v>
      </c>
      <c r="Y6" t="s">
        <v>36</v>
      </c>
      <c r="Z6">
        <v>13786.48</v>
      </c>
    </row>
    <row r="7" spans="1:26" x14ac:dyDescent="0.25">
      <c r="A7">
        <v>100005</v>
      </c>
      <c r="B7" s="3">
        <v>45993</v>
      </c>
      <c r="C7" s="3">
        <v>45997</v>
      </c>
      <c r="D7" s="3">
        <v>46002</v>
      </c>
      <c r="E7" t="s">
        <v>77</v>
      </c>
      <c r="F7" t="s">
        <v>25</v>
      </c>
      <c r="G7" t="s">
        <v>26</v>
      </c>
      <c r="H7" t="s">
        <v>78</v>
      </c>
      <c r="I7" t="s">
        <v>79</v>
      </c>
      <c r="J7" t="s">
        <v>80</v>
      </c>
      <c r="K7" t="s">
        <v>81</v>
      </c>
      <c r="L7" t="s">
        <v>44</v>
      </c>
      <c r="M7" t="s">
        <v>54</v>
      </c>
      <c r="N7" t="s">
        <v>33</v>
      </c>
      <c r="O7" t="s">
        <v>34</v>
      </c>
      <c r="P7" t="s">
        <v>68</v>
      </c>
      <c r="Q7">
        <v>261</v>
      </c>
      <c r="R7">
        <v>228.18</v>
      </c>
      <c r="S7">
        <v>59554.98</v>
      </c>
      <c r="T7">
        <v>45.42</v>
      </c>
      <c r="U7">
        <v>5</v>
      </c>
      <c r="V7">
        <v>9</v>
      </c>
      <c r="W7">
        <v>542</v>
      </c>
      <c r="X7" t="s">
        <v>188</v>
      </c>
      <c r="Y7" t="s">
        <v>36</v>
      </c>
      <c r="Z7">
        <v>7811.56</v>
      </c>
    </row>
    <row r="8" spans="1:26" x14ac:dyDescent="0.25">
      <c r="A8">
        <v>100006</v>
      </c>
      <c r="B8" s="3">
        <v>45635</v>
      </c>
      <c r="C8" s="3">
        <v>45635</v>
      </c>
      <c r="D8" s="3">
        <v>45639</v>
      </c>
      <c r="E8" t="s">
        <v>82</v>
      </c>
      <c r="F8" t="s">
        <v>38</v>
      </c>
      <c r="G8" t="s">
        <v>83</v>
      </c>
      <c r="H8" t="s">
        <v>84</v>
      </c>
      <c r="I8" t="s">
        <v>85</v>
      </c>
      <c r="J8" t="s">
        <v>52</v>
      </c>
      <c r="K8" t="s">
        <v>86</v>
      </c>
      <c r="L8" t="s">
        <v>44</v>
      </c>
      <c r="M8" t="s">
        <v>25</v>
      </c>
      <c r="N8" t="s">
        <v>45</v>
      </c>
      <c r="O8" t="s">
        <v>46</v>
      </c>
      <c r="P8" t="s">
        <v>68</v>
      </c>
      <c r="Q8">
        <v>401</v>
      </c>
      <c r="R8">
        <v>67.78</v>
      </c>
      <c r="S8">
        <v>27179.78</v>
      </c>
      <c r="T8">
        <v>54.5</v>
      </c>
      <c r="U8">
        <v>4</v>
      </c>
      <c r="V8">
        <v>4</v>
      </c>
      <c r="W8">
        <v>3761</v>
      </c>
      <c r="X8" t="s">
        <v>3741</v>
      </c>
      <c r="Y8" t="s">
        <v>36</v>
      </c>
      <c r="Z8">
        <v>4897.75</v>
      </c>
    </row>
    <row r="9" spans="1:26" x14ac:dyDescent="0.25">
      <c r="A9">
        <v>100007</v>
      </c>
      <c r="B9" s="3">
        <v>45324</v>
      </c>
      <c r="C9" s="3">
        <v>45329</v>
      </c>
      <c r="D9" s="3">
        <v>45334</v>
      </c>
      <c r="E9" t="s">
        <v>87</v>
      </c>
      <c r="F9" t="s">
        <v>25</v>
      </c>
      <c r="G9" t="s">
        <v>59</v>
      </c>
      <c r="H9" t="s">
        <v>88</v>
      </c>
      <c r="I9" t="s">
        <v>89</v>
      </c>
      <c r="J9" t="s">
        <v>62</v>
      </c>
      <c r="K9" t="s">
        <v>90</v>
      </c>
      <c r="L9" t="s">
        <v>91</v>
      </c>
      <c r="M9" t="s">
        <v>65</v>
      </c>
      <c r="N9" t="s">
        <v>92</v>
      </c>
      <c r="O9" t="s">
        <v>93</v>
      </c>
      <c r="P9" t="s">
        <v>68</v>
      </c>
      <c r="Q9">
        <v>110</v>
      </c>
      <c r="R9">
        <v>48.73</v>
      </c>
      <c r="S9">
        <v>5360.3</v>
      </c>
      <c r="T9">
        <v>35.64</v>
      </c>
      <c r="U9">
        <v>5</v>
      </c>
      <c r="V9">
        <v>10</v>
      </c>
      <c r="W9">
        <v>2990</v>
      </c>
      <c r="X9" t="s">
        <v>188</v>
      </c>
      <c r="Y9" t="s">
        <v>36</v>
      </c>
      <c r="Z9">
        <v>769.61</v>
      </c>
    </row>
    <row r="10" spans="1:26" x14ac:dyDescent="0.25">
      <c r="A10">
        <v>100008</v>
      </c>
      <c r="B10" s="3">
        <v>45684</v>
      </c>
      <c r="C10" s="3">
        <v>45685</v>
      </c>
      <c r="D10" s="3">
        <v>45687</v>
      </c>
      <c r="E10" t="s">
        <v>94</v>
      </c>
      <c r="F10" t="s">
        <v>32</v>
      </c>
      <c r="G10" t="s">
        <v>95</v>
      </c>
      <c r="H10" t="s">
        <v>96</v>
      </c>
      <c r="I10" t="s">
        <v>28</v>
      </c>
      <c r="J10" t="s">
        <v>29</v>
      </c>
      <c r="K10" t="s">
        <v>97</v>
      </c>
      <c r="L10" t="s">
        <v>98</v>
      </c>
      <c r="M10" t="s">
        <v>25</v>
      </c>
      <c r="N10" t="s">
        <v>55</v>
      </c>
      <c r="O10" t="s">
        <v>56</v>
      </c>
      <c r="P10" t="s">
        <v>68</v>
      </c>
      <c r="Q10">
        <v>250</v>
      </c>
      <c r="R10">
        <v>44.58</v>
      </c>
      <c r="S10">
        <v>11145</v>
      </c>
      <c r="T10">
        <v>44.71</v>
      </c>
      <c r="U10">
        <v>2</v>
      </c>
      <c r="V10">
        <v>3</v>
      </c>
      <c r="W10">
        <v>245</v>
      </c>
      <c r="X10" t="s">
        <v>3741</v>
      </c>
      <c r="Y10" t="s">
        <v>36</v>
      </c>
      <c r="Z10">
        <v>1380.36</v>
      </c>
    </row>
    <row r="11" spans="1:26" x14ac:dyDescent="0.25">
      <c r="A11">
        <v>100009</v>
      </c>
      <c r="B11" s="3">
        <v>45946</v>
      </c>
      <c r="C11" s="3">
        <v>45948</v>
      </c>
      <c r="D11" s="3">
        <v>45970</v>
      </c>
      <c r="E11" t="s">
        <v>99</v>
      </c>
      <c r="F11" t="s">
        <v>38</v>
      </c>
      <c r="G11" t="s">
        <v>49</v>
      </c>
      <c r="H11" t="s">
        <v>100</v>
      </c>
      <c r="I11" t="s">
        <v>61</v>
      </c>
      <c r="J11" t="s">
        <v>62</v>
      </c>
      <c r="K11" t="s">
        <v>101</v>
      </c>
      <c r="L11" t="s">
        <v>91</v>
      </c>
      <c r="M11" t="s">
        <v>65</v>
      </c>
      <c r="N11" t="s">
        <v>102</v>
      </c>
      <c r="O11" t="s">
        <v>103</v>
      </c>
      <c r="P11" t="s">
        <v>76</v>
      </c>
      <c r="Q11">
        <v>179</v>
      </c>
      <c r="R11">
        <v>41.37</v>
      </c>
      <c r="S11">
        <v>7405.23</v>
      </c>
      <c r="T11">
        <v>11.28</v>
      </c>
      <c r="U11">
        <v>22</v>
      </c>
      <c r="V11">
        <v>24</v>
      </c>
      <c r="W11">
        <v>3360</v>
      </c>
      <c r="X11" t="s">
        <v>188</v>
      </c>
      <c r="Y11" t="s">
        <v>36</v>
      </c>
      <c r="Z11">
        <v>538.59</v>
      </c>
    </row>
    <row r="12" spans="1:26" x14ac:dyDescent="0.25">
      <c r="A12">
        <v>100010</v>
      </c>
      <c r="B12" s="3">
        <v>45622</v>
      </c>
      <c r="C12" s="3">
        <v>45623</v>
      </c>
      <c r="D12" s="3">
        <v>45639</v>
      </c>
      <c r="E12" t="s">
        <v>104</v>
      </c>
      <c r="F12" t="s">
        <v>65</v>
      </c>
      <c r="G12" t="s">
        <v>70</v>
      </c>
      <c r="H12" t="s">
        <v>105</v>
      </c>
      <c r="I12" t="s">
        <v>89</v>
      </c>
      <c r="J12" t="s">
        <v>62</v>
      </c>
      <c r="K12" t="s">
        <v>106</v>
      </c>
      <c r="L12" t="s">
        <v>64</v>
      </c>
      <c r="M12" t="s">
        <v>54</v>
      </c>
      <c r="N12" t="s">
        <v>107</v>
      </c>
      <c r="O12" t="s">
        <v>108</v>
      </c>
      <c r="P12" t="s">
        <v>76</v>
      </c>
      <c r="Q12">
        <v>292</v>
      </c>
      <c r="R12">
        <v>24.22</v>
      </c>
      <c r="S12">
        <v>7072.24</v>
      </c>
      <c r="T12">
        <v>13.34</v>
      </c>
      <c r="U12">
        <v>16</v>
      </c>
      <c r="V12">
        <v>17</v>
      </c>
      <c r="W12">
        <v>2975</v>
      </c>
      <c r="X12" t="s">
        <v>188</v>
      </c>
      <c r="Y12" t="s">
        <v>36</v>
      </c>
      <c r="Z12">
        <v>491.66</v>
      </c>
    </row>
    <row r="13" spans="1:26" x14ac:dyDescent="0.25">
      <c r="A13">
        <v>100011</v>
      </c>
      <c r="B13" s="3">
        <v>45609</v>
      </c>
      <c r="C13" s="3">
        <v>45613</v>
      </c>
      <c r="D13" s="3">
        <v>45620</v>
      </c>
      <c r="E13" t="s">
        <v>109</v>
      </c>
      <c r="F13" t="s">
        <v>32</v>
      </c>
      <c r="G13" t="s">
        <v>110</v>
      </c>
      <c r="H13" t="s">
        <v>111</v>
      </c>
      <c r="I13" t="s">
        <v>28</v>
      </c>
      <c r="J13" t="s">
        <v>29</v>
      </c>
      <c r="K13" t="s">
        <v>112</v>
      </c>
      <c r="L13" t="s">
        <v>113</v>
      </c>
      <c r="M13" t="s">
        <v>54</v>
      </c>
      <c r="N13" t="s">
        <v>92</v>
      </c>
      <c r="O13" t="s">
        <v>93</v>
      </c>
      <c r="P13" t="s">
        <v>35</v>
      </c>
      <c r="Q13">
        <v>383</v>
      </c>
      <c r="R13">
        <v>34.06</v>
      </c>
      <c r="S13">
        <v>13044.98</v>
      </c>
      <c r="T13">
        <v>23.33</v>
      </c>
      <c r="U13">
        <v>7</v>
      </c>
      <c r="V13">
        <v>11</v>
      </c>
      <c r="W13">
        <v>1645</v>
      </c>
      <c r="X13" t="s">
        <v>188</v>
      </c>
      <c r="Y13" t="s">
        <v>36</v>
      </c>
      <c r="Z13">
        <v>3816.54</v>
      </c>
    </row>
    <row r="14" spans="1:26" x14ac:dyDescent="0.25">
      <c r="A14">
        <v>100012</v>
      </c>
      <c r="B14" s="3">
        <v>45801</v>
      </c>
      <c r="C14" s="3">
        <v>45802</v>
      </c>
      <c r="D14" s="3">
        <v>45814</v>
      </c>
      <c r="E14" t="s">
        <v>114</v>
      </c>
      <c r="F14" t="s">
        <v>65</v>
      </c>
      <c r="G14" t="s">
        <v>70</v>
      </c>
      <c r="H14" t="s">
        <v>115</v>
      </c>
      <c r="I14" t="s">
        <v>116</v>
      </c>
      <c r="J14" t="s">
        <v>62</v>
      </c>
      <c r="K14" t="s">
        <v>117</v>
      </c>
      <c r="L14" t="s">
        <v>118</v>
      </c>
      <c r="M14" t="s">
        <v>65</v>
      </c>
      <c r="N14" t="s">
        <v>55</v>
      </c>
      <c r="O14" t="s">
        <v>56</v>
      </c>
      <c r="P14" t="s">
        <v>76</v>
      </c>
      <c r="Q14">
        <v>139</v>
      </c>
      <c r="R14">
        <v>23.5</v>
      </c>
      <c r="S14">
        <v>3266.5</v>
      </c>
      <c r="T14">
        <v>7.82</v>
      </c>
      <c r="U14">
        <v>12</v>
      </c>
      <c r="V14">
        <v>13</v>
      </c>
      <c r="W14">
        <v>1154</v>
      </c>
      <c r="X14" t="s">
        <v>188</v>
      </c>
      <c r="Y14" t="s">
        <v>36</v>
      </c>
      <c r="Z14">
        <v>257.23</v>
      </c>
    </row>
    <row r="15" spans="1:26" x14ac:dyDescent="0.25">
      <c r="A15">
        <v>100013</v>
      </c>
      <c r="B15" s="3">
        <v>45975</v>
      </c>
      <c r="C15" s="3">
        <v>45976</v>
      </c>
      <c r="D15" s="3">
        <v>45985</v>
      </c>
      <c r="E15" t="s">
        <v>119</v>
      </c>
      <c r="F15" t="s">
        <v>38</v>
      </c>
      <c r="G15" t="s">
        <v>39</v>
      </c>
      <c r="H15" t="s">
        <v>120</v>
      </c>
      <c r="I15" t="s">
        <v>28</v>
      </c>
      <c r="J15" t="s">
        <v>29</v>
      </c>
      <c r="K15" t="s">
        <v>121</v>
      </c>
      <c r="L15" t="s">
        <v>122</v>
      </c>
      <c r="M15" t="s">
        <v>38</v>
      </c>
      <c r="N15" t="s">
        <v>92</v>
      </c>
      <c r="O15" t="s">
        <v>93</v>
      </c>
      <c r="P15" t="s">
        <v>123</v>
      </c>
      <c r="Q15">
        <v>193</v>
      </c>
      <c r="R15">
        <v>36.14</v>
      </c>
      <c r="S15">
        <v>6975.02</v>
      </c>
      <c r="T15">
        <v>11.39</v>
      </c>
      <c r="U15">
        <v>9</v>
      </c>
      <c r="V15">
        <v>10</v>
      </c>
      <c r="W15">
        <v>916</v>
      </c>
      <c r="X15" t="s">
        <v>188</v>
      </c>
      <c r="Y15" t="s">
        <v>36</v>
      </c>
      <c r="Z15">
        <v>2057.9899999999998</v>
      </c>
    </row>
    <row r="16" spans="1:26" x14ac:dyDescent="0.25">
      <c r="A16">
        <v>100014</v>
      </c>
      <c r="B16" s="3">
        <v>45802</v>
      </c>
      <c r="C16" s="3">
        <v>45802</v>
      </c>
      <c r="D16" s="3">
        <v>45812</v>
      </c>
      <c r="E16" t="s">
        <v>124</v>
      </c>
      <c r="F16" t="s">
        <v>25</v>
      </c>
      <c r="G16" t="s">
        <v>59</v>
      </c>
      <c r="H16" t="s">
        <v>125</v>
      </c>
      <c r="I16" t="s">
        <v>126</v>
      </c>
      <c r="J16" t="s">
        <v>42</v>
      </c>
      <c r="K16" t="s">
        <v>127</v>
      </c>
      <c r="L16" t="s">
        <v>122</v>
      </c>
      <c r="M16" t="s">
        <v>54</v>
      </c>
      <c r="N16" t="s">
        <v>55</v>
      </c>
      <c r="O16" t="s">
        <v>56</v>
      </c>
      <c r="P16" t="s">
        <v>35</v>
      </c>
      <c r="Q16">
        <v>157</v>
      </c>
      <c r="R16">
        <v>187.12</v>
      </c>
      <c r="S16">
        <v>29377.84</v>
      </c>
      <c r="T16">
        <v>16.920000000000002</v>
      </c>
      <c r="U16">
        <v>10</v>
      </c>
      <c r="V16">
        <v>10</v>
      </c>
      <c r="W16">
        <v>452</v>
      </c>
      <c r="X16" t="s">
        <v>188</v>
      </c>
      <c r="Y16" t="s">
        <v>36</v>
      </c>
      <c r="Z16">
        <v>3767.33</v>
      </c>
    </row>
    <row r="17" spans="1:26" x14ac:dyDescent="0.25">
      <c r="A17">
        <v>100015</v>
      </c>
      <c r="B17" s="3">
        <v>45780</v>
      </c>
      <c r="C17" s="3">
        <v>45780</v>
      </c>
      <c r="D17" s="3">
        <v>45789</v>
      </c>
      <c r="E17" t="s">
        <v>128</v>
      </c>
      <c r="F17" t="s">
        <v>54</v>
      </c>
      <c r="G17" t="s">
        <v>129</v>
      </c>
      <c r="H17" t="s">
        <v>130</v>
      </c>
      <c r="I17" t="s">
        <v>51</v>
      </c>
      <c r="J17" t="s">
        <v>52</v>
      </c>
      <c r="K17" t="s">
        <v>131</v>
      </c>
      <c r="L17" t="s">
        <v>118</v>
      </c>
      <c r="M17" t="s">
        <v>65</v>
      </c>
      <c r="N17" t="s">
        <v>102</v>
      </c>
      <c r="O17" t="s">
        <v>103</v>
      </c>
      <c r="P17" t="s">
        <v>35</v>
      </c>
      <c r="Q17">
        <v>276</v>
      </c>
      <c r="R17">
        <v>35.97</v>
      </c>
      <c r="S17">
        <v>9927.7199999999993</v>
      </c>
      <c r="T17">
        <v>20.3</v>
      </c>
      <c r="U17">
        <v>9</v>
      </c>
      <c r="V17">
        <v>9</v>
      </c>
      <c r="W17">
        <v>4261</v>
      </c>
      <c r="X17" t="s">
        <v>188</v>
      </c>
      <c r="Y17" t="s">
        <v>36</v>
      </c>
      <c r="Z17">
        <v>900.44</v>
      </c>
    </row>
    <row r="18" spans="1:26" x14ac:dyDescent="0.25">
      <c r="A18">
        <v>100016</v>
      </c>
      <c r="B18" s="3">
        <v>45863</v>
      </c>
      <c r="C18" s="3">
        <v>45863</v>
      </c>
      <c r="D18" s="3">
        <v>45866</v>
      </c>
      <c r="E18" t="s">
        <v>132</v>
      </c>
      <c r="F18" t="s">
        <v>25</v>
      </c>
      <c r="G18" t="s">
        <v>26</v>
      </c>
      <c r="H18" t="s">
        <v>133</v>
      </c>
      <c r="I18" t="s">
        <v>134</v>
      </c>
      <c r="J18" t="s">
        <v>52</v>
      </c>
      <c r="K18" t="s">
        <v>135</v>
      </c>
      <c r="L18" t="s">
        <v>64</v>
      </c>
      <c r="M18" t="s">
        <v>25</v>
      </c>
      <c r="N18" t="s">
        <v>107</v>
      </c>
      <c r="O18" t="s">
        <v>108</v>
      </c>
      <c r="P18" t="s">
        <v>35</v>
      </c>
      <c r="Q18">
        <v>242</v>
      </c>
      <c r="R18">
        <v>36.64</v>
      </c>
      <c r="S18">
        <v>8866.8799999999992</v>
      </c>
      <c r="T18">
        <v>14.32</v>
      </c>
      <c r="U18">
        <v>3</v>
      </c>
      <c r="V18">
        <v>3</v>
      </c>
      <c r="W18">
        <v>2455</v>
      </c>
      <c r="X18" t="s">
        <v>3741</v>
      </c>
      <c r="Y18" t="s">
        <v>36</v>
      </c>
      <c r="Z18">
        <v>1505.32</v>
      </c>
    </row>
    <row r="19" spans="1:26" x14ac:dyDescent="0.25">
      <c r="A19">
        <v>100017</v>
      </c>
      <c r="B19" s="3">
        <v>45878</v>
      </c>
      <c r="C19" s="3">
        <v>45878</v>
      </c>
      <c r="D19" s="3">
        <v>45889</v>
      </c>
      <c r="E19" t="s">
        <v>136</v>
      </c>
      <c r="F19" t="s">
        <v>32</v>
      </c>
      <c r="G19" t="s">
        <v>137</v>
      </c>
      <c r="H19" t="s">
        <v>138</v>
      </c>
      <c r="I19" t="s">
        <v>139</v>
      </c>
      <c r="J19" t="s">
        <v>42</v>
      </c>
      <c r="K19" t="s">
        <v>140</v>
      </c>
      <c r="L19" t="s">
        <v>118</v>
      </c>
      <c r="M19" t="s">
        <v>32</v>
      </c>
      <c r="N19" t="s">
        <v>102</v>
      </c>
      <c r="O19" t="s">
        <v>103</v>
      </c>
      <c r="P19" t="s">
        <v>123</v>
      </c>
      <c r="Q19">
        <v>236</v>
      </c>
      <c r="R19">
        <v>205.19</v>
      </c>
      <c r="S19">
        <v>48424.84</v>
      </c>
      <c r="T19">
        <v>12.17</v>
      </c>
      <c r="U19">
        <v>11</v>
      </c>
      <c r="V19">
        <v>11</v>
      </c>
      <c r="W19">
        <v>1546</v>
      </c>
      <c r="X19" t="s">
        <v>3742</v>
      </c>
      <c r="Y19" t="s">
        <v>57</v>
      </c>
      <c r="Z19">
        <v>4952.01</v>
      </c>
    </row>
    <row r="20" spans="1:26" x14ac:dyDescent="0.25">
      <c r="A20">
        <v>100018</v>
      </c>
      <c r="B20" s="3">
        <v>45454</v>
      </c>
      <c r="C20" s="3">
        <v>45458</v>
      </c>
      <c r="D20" s="3">
        <v>45468</v>
      </c>
      <c r="E20" t="s">
        <v>141</v>
      </c>
      <c r="F20" t="s">
        <v>65</v>
      </c>
      <c r="G20" t="s">
        <v>142</v>
      </c>
      <c r="H20" t="s">
        <v>143</v>
      </c>
      <c r="I20" t="s">
        <v>144</v>
      </c>
      <c r="J20" t="s">
        <v>52</v>
      </c>
      <c r="K20" t="s">
        <v>145</v>
      </c>
      <c r="L20" t="s">
        <v>31</v>
      </c>
      <c r="M20" t="s">
        <v>32</v>
      </c>
      <c r="N20" t="s">
        <v>74</v>
      </c>
      <c r="O20" t="s">
        <v>75</v>
      </c>
      <c r="P20" t="s">
        <v>35</v>
      </c>
      <c r="Q20">
        <v>286</v>
      </c>
      <c r="R20">
        <v>22.66</v>
      </c>
      <c r="S20">
        <v>6480.76</v>
      </c>
      <c r="T20">
        <v>20.58</v>
      </c>
      <c r="U20">
        <v>10</v>
      </c>
      <c r="V20">
        <v>14</v>
      </c>
      <c r="W20">
        <v>1727</v>
      </c>
      <c r="X20" t="s">
        <v>188</v>
      </c>
      <c r="Y20" t="s">
        <v>36</v>
      </c>
      <c r="Z20">
        <v>987.11</v>
      </c>
    </row>
    <row r="21" spans="1:26" x14ac:dyDescent="0.25">
      <c r="A21">
        <v>100019</v>
      </c>
      <c r="B21" s="3">
        <v>45751</v>
      </c>
      <c r="C21" s="3">
        <v>45753</v>
      </c>
      <c r="D21" s="3">
        <v>45765</v>
      </c>
      <c r="E21" t="s">
        <v>146</v>
      </c>
      <c r="F21" t="s">
        <v>38</v>
      </c>
      <c r="G21" t="s">
        <v>147</v>
      </c>
      <c r="H21" t="s">
        <v>148</v>
      </c>
      <c r="I21" t="s">
        <v>149</v>
      </c>
      <c r="J21" t="s">
        <v>42</v>
      </c>
      <c r="K21" t="s">
        <v>150</v>
      </c>
      <c r="L21" t="s">
        <v>64</v>
      </c>
      <c r="M21" t="s">
        <v>54</v>
      </c>
      <c r="N21" t="s">
        <v>151</v>
      </c>
      <c r="O21" t="s">
        <v>152</v>
      </c>
      <c r="P21" t="s">
        <v>76</v>
      </c>
      <c r="Q21">
        <v>47</v>
      </c>
      <c r="R21">
        <v>441.77</v>
      </c>
      <c r="S21">
        <v>20763.189999999999</v>
      </c>
      <c r="T21">
        <v>8.8800000000000008</v>
      </c>
      <c r="U21">
        <v>12</v>
      </c>
      <c r="V21">
        <v>14</v>
      </c>
      <c r="W21">
        <v>612</v>
      </c>
      <c r="X21" t="s">
        <v>188</v>
      </c>
      <c r="Y21" t="s">
        <v>36</v>
      </c>
      <c r="Z21">
        <v>3962.57</v>
      </c>
    </row>
    <row r="22" spans="1:26" x14ac:dyDescent="0.25">
      <c r="A22">
        <v>100020</v>
      </c>
      <c r="B22" s="3">
        <v>45575</v>
      </c>
      <c r="C22" s="3">
        <v>45575</v>
      </c>
      <c r="D22" s="3">
        <v>45581</v>
      </c>
      <c r="E22" t="s">
        <v>153</v>
      </c>
      <c r="F22" t="s">
        <v>65</v>
      </c>
      <c r="G22" t="s">
        <v>154</v>
      </c>
      <c r="H22" t="s">
        <v>155</v>
      </c>
      <c r="I22" t="s">
        <v>89</v>
      </c>
      <c r="J22" t="s">
        <v>62</v>
      </c>
      <c r="K22" t="s">
        <v>156</v>
      </c>
      <c r="L22" t="s">
        <v>31</v>
      </c>
      <c r="M22" t="s">
        <v>38</v>
      </c>
      <c r="N22" t="s">
        <v>33</v>
      </c>
      <c r="O22" t="s">
        <v>34</v>
      </c>
      <c r="P22" t="s">
        <v>35</v>
      </c>
      <c r="Q22">
        <v>229</v>
      </c>
      <c r="R22">
        <v>26.15</v>
      </c>
      <c r="S22">
        <v>5988.35</v>
      </c>
      <c r="T22">
        <v>18.97</v>
      </c>
      <c r="U22">
        <v>6</v>
      </c>
      <c r="V22">
        <v>6</v>
      </c>
      <c r="W22">
        <v>1369</v>
      </c>
      <c r="X22" t="s">
        <v>3741</v>
      </c>
      <c r="Y22" t="s">
        <v>36</v>
      </c>
      <c r="Z22">
        <v>292.48</v>
      </c>
    </row>
    <row r="23" spans="1:26" x14ac:dyDescent="0.25">
      <c r="A23">
        <v>100021</v>
      </c>
      <c r="B23" s="3">
        <v>45788</v>
      </c>
      <c r="C23" s="3">
        <v>45793</v>
      </c>
      <c r="D23" s="3">
        <v>45799</v>
      </c>
      <c r="E23" t="s">
        <v>157</v>
      </c>
      <c r="F23" t="s">
        <v>54</v>
      </c>
      <c r="G23" t="s">
        <v>158</v>
      </c>
      <c r="H23" t="s">
        <v>159</v>
      </c>
      <c r="I23" t="s">
        <v>85</v>
      </c>
      <c r="J23" t="s">
        <v>52</v>
      </c>
      <c r="K23" t="s">
        <v>160</v>
      </c>
      <c r="L23" t="s">
        <v>122</v>
      </c>
      <c r="M23" t="s">
        <v>54</v>
      </c>
      <c r="N23" t="s">
        <v>102</v>
      </c>
      <c r="O23" t="s">
        <v>103</v>
      </c>
      <c r="P23" t="s">
        <v>35</v>
      </c>
      <c r="Q23">
        <v>200</v>
      </c>
      <c r="R23">
        <v>33.07</v>
      </c>
      <c r="S23">
        <v>6614</v>
      </c>
      <c r="T23">
        <v>13.44</v>
      </c>
      <c r="U23">
        <v>6</v>
      </c>
      <c r="V23">
        <v>11</v>
      </c>
      <c r="W23">
        <v>3175</v>
      </c>
      <c r="X23" t="s">
        <v>188</v>
      </c>
      <c r="Y23" t="s">
        <v>36</v>
      </c>
      <c r="Z23">
        <v>595.27</v>
      </c>
    </row>
    <row r="24" spans="1:26" x14ac:dyDescent="0.25">
      <c r="A24">
        <v>100022</v>
      </c>
      <c r="B24" s="3">
        <v>45857</v>
      </c>
      <c r="C24" s="3">
        <v>45858</v>
      </c>
      <c r="D24" s="3">
        <v>45870</v>
      </c>
      <c r="E24" t="s">
        <v>161</v>
      </c>
      <c r="F24" t="s">
        <v>65</v>
      </c>
      <c r="G24" t="s">
        <v>142</v>
      </c>
      <c r="H24" t="s">
        <v>162</v>
      </c>
      <c r="I24" t="s">
        <v>51</v>
      </c>
      <c r="J24" t="s">
        <v>52</v>
      </c>
      <c r="K24" t="s">
        <v>163</v>
      </c>
      <c r="L24" t="s">
        <v>31</v>
      </c>
      <c r="M24" t="s">
        <v>38</v>
      </c>
      <c r="N24" t="s">
        <v>45</v>
      </c>
      <c r="O24" t="s">
        <v>46</v>
      </c>
      <c r="P24" t="s">
        <v>76</v>
      </c>
      <c r="Q24">
        <v>160</v>
      </c>
      <c r="R24">
        <v>19.489999999999998</v>
      </c>
      <c r="S24">
        <v>3118.4</v>
      </c>
      <c r="T24">
        <v>10.94</v>
      </c>
      <c r="U24">
        <v>12</v>
      </c>
      <c r="V24">
        <v>13</v>
      </c>
      <c r="W24">
        <v>354</v>
      </c>
      <c r="X24" t="s">
        <v>188</v>
      </c>
      <c r="Y24" t="s">
        <v>36</v>
      </c>
      <c r="Z24">
        <v>551.39</v>
      </c>
    </row>
    <row r="25" spans="1:26" x14ac:dyDescent="0.25">
      <c r="A25">
        <v>100023</v>
      </c>
      <c r="B25" s="3">
        <v>45537</v>
      </c>
      <c r="C25" s="3">
        <v>45541</v>
      </c>
      <c r="D25" s="3">
        <v>45543</v>
      </c>
      <c r="E25" t="s">
        <v>164</v>
      </c>
      <c r="F25" t="s">
        <v>54</v>
      </c>
      <c r="G25" t="s">
        <v>165</v>
      </c>
      <c r="H25" t="s">
        <v>166</v>
      </c>
      <c r="I25" t="s">
        <v>79</v>
      </c>
      <c r="J25" t="s">
        <v>80</v>
      </c>
      <c r="K25" t="s">
        <v>167</v>
      </c>
      <c r="L25" t="s">
        <v>113</v>
      </c>
      <c r="M25" t="s">
        <v>25</v>
      </c>
      <c r="N25" t="s">
        <v>45</v>
      </c>
      <c r="O25" t="s">
        <v>46</v>
      </c>
      <c r="P25" t="s">
        <v>68</v>
      </c>
      <c r="Q25">
        <v>22</v>
      </c>
      <c r="R25">
        <v>65.290000000000006</v>
      </c>
      <c r="S25">
        <v>1436.38</v>
      </c>
      <c r="T25">
        <v>29.94</v>
      </c>
      <c r="U25">
        <v>2</v>
      </c>
      <c r="V25">
        <v>6</v>
      </c>
      <c r="W25">
        <v>85</v>
      </c>
      <c r="X25" t="s">
        <v>3741</v>
      </c>
      <c r="Y25" t="s">
        <v>36</v>
      </c>
      <c r="Z25">
        <v>291.8</v>
      </c>
    </row>
    <row r="26" spans="1:26" x14ac:dyDescent="0.25">
      <c r="A26">
        <v>100024</v>
      </c>
      <c r="B26" s="3">
        <v>45691</v>
      </c>
      <c r="C26" s="3">
        <v>45696</v>
      </c>
      <c r="D26" s="3">
        <v>45717</v>
      </c>
      <c r="E26" t="s">
        <v>168</v>
      </c>
      <c r="F26" t="s">
        <v>25</v>
      </c>
      <c r="G26" t="s">
        <v>169</v>
      </c>
      <c r="H26" t="s">
        <v>170</v>
      </c>
      <c r="I26" t="s">
        <v>149</v>
      </c>
      <c r="J26" t="s">
        <v>42</v>
      </c>
      <c r="K26" t="s">
        <v>163</v>
      </c>
      <c r="L26" t="s">
        <v>118</v>
      </c>
      <c r="M26" t="s">
        <v>32</v>
      </c>
      <c r="N26" t="s">
        <v>55</v>
      </c>
      <c r="O26" t="s">
        <v>56</v>
      </c>
      <c r="P26" t="s">
        <v>76</v>
      </c>
      <c r="Q26">
        <v>60</v>
      </c>
      <c r="R26">
        <v>241.58</v>
      </c>
      <c r="S26">
        <v>14494.8</v>
      </c>
      <c r="T26">
        <v>9.11</v>
      </c>
      <c r="U26">
        <v>21</v>
      </c>
      <c r="V26">
        <v>26</v>
      </c>
      <c r="W26">
        <v>624</v>
      </c>
      <c r="X26" t="s">
        <v>188</v>
      </c>
      <c r="Y26" t="s">
        <v>36</v>
      </c>
      <c r="Z26">
        <v>2896.47</v>
      </c>
    </row>
    <row r="27" spans="1:26" x14ac:dyDescent="0.25">
      <c r="A27">
        <v>100025</v>
      </c>
      <c r="B27" s="3">
        <v>45973</v>
      </c>
      <c r="C27" s="3">
        <v>45978</v>
      </c>
      <c r="D27" s="3">
        <v>46002</v>
      </c>
      <c r="E27" t="s">
        <v>171</v>
      </c>
      <c r="F27" t="s">
        <v>25</v>
      </c>
      <c r="G27" t="s">
        <v>172</v>
      </c>
      <c r="H27" t="s">
        <v>173</v>
      </c>
      <c r="I27" t="s">
        <v>126</v>
      </c>
      <c r="J27" t="s">
        <v>42</v>
      </c>
      <c r="K27" t="s">
        <v>174</v>
      </c>
      <c r="L27" t="s">
        <v>44</v>
      </c>
      <c r="M27" t="s">
        <v>25</v>
      </c>
      <c r="N27" t="s">
        <v>74</v>
      </c>
      <c r="O27" t="s">
        <v>75</v>
      </c>
      <c r="P27" t="s">
        <v>76</v>
      </c>
      <c r="Q27">
        <v>69</v>
      </c>
      <c r="R27">
        <v>144.16999999999999</v>
      </c>
      <c r="S27">
        <v>9947.73</v>
      </c>
      <c r="T27">
        <v>6.87</v>
      </c>
      <c r="U27">
        <v>24</v>
      </c>
      <c r="V27">
        <v>29</v>
      </c>
      <c r="W27">
        <v>54</v>
      </c>
      <c r="X27" t="s">
        <v>188</v>
      </c>
      <c r="Y27" t="s">
        <v>36</v>
      </c>
      <c r="Z27">
        <v>1059.6600000000001</v>
      </c>
    </row>
    <row r="28" spans="1:26" x14ac:dyDescent="0.25">
      <c r="A28">
        <v>100026</v>
      </c>
      <c r="B28" s="3">
        <v>45947</v>
      </c>
      <c r="C28" s="3">
        <v>45951</v>
      </c>
      <c r="D28" s="3">
        <v>45954</v>
      </c>
      <c r="E28" t="s">
        <v>175</v>
      </c>
      <c r="F28" t="s">
        <v>38</v>
      </c>
      <c r="G28" t="s">
        <v>49</v>
      </c>
      <c r="H28" t="s">
        <v>176</v>
      </c>
      <c r="I28" t="s">
        <v>177</v>
      </c>
      <c r="J28" t="s">
        <v>29</v>
      </c>
      <c r="K28" t="s">
        <v>178</v>
      </c>
      <c r="L28" t="s">
        <v>31</v>
      </c>
      <c r="M28" t="s">
        <v>38</v>
      </c>
      <c r="N28" t="s">
        <v>66</v>
      </c>
      <c r="O28" t="s">
        <v>67</v>
      </c>
      <c r="P28" t="s">
        <v>35</v>
      </c>
      <c r="Q28">
        <v>328</v>
      </c>
      <c r="R28">
        <v>57.69</v>
      </c>
      <c r="S28">
        <v>18922.32</v>
      </c>
      <c r="T28">
        <v>16.13</v>
      </c>
      <c r="U28">
        <v>3</v>
      </c>
      <c r="V28">
        <v>7</v>
      </c>
      <c r="W28">
        <v>1231</v>
      </c>
      <c r="X28" t="s">
        <v>3742</v>
      </c>
      <c r="Y28" t="s">
        <v>57</v>
      </c>
      <c r="Z28">
        <v>5519.21</v>
      </c>
    </row>
    <row r="29" spans="1:26" x14ac:dyDescent="0.25">
      <c r="A29">
        <v>100027</v>
      </c>
      <c r="B29" s="3">
        <v>45684</v>
      </c>
      <c r="C29" s="3">
        <v>45687</v>
      </c>
      <c r="D29" s="3">
        <v>45698</v>
      </c>
      <c r="E29" t="s">
        <v>179</v>
      </c>
      <c r="F29" t="s">
        <v>32</v>
      </c>
      <c r="G29" t="s">
        <v>180</v>
      </c>
      <c r="H29" t="s">
        <v>181</v>
      </c>
      <c r="I29" t="s">
        <v>182</v>
      </c>
      <c r="J29" t="s">
        <v>80</v>
      </c>
      <c r="K29" t="s">
        <v>183</v>
      </c>
      <c r="L29" t="s">
        <v>31</v>
      </c>
      <c r="M29" t="s">
        <v>25</v>
      </c>
      <c r="N29" t="s">
        <v>33</v>
      </c>
      <c r="O29" t="s">
        <v>34</v>
      </c>
      <c r="P29" t="s">
        <v>123</v>
      </c>
      <c r="Q29">
        <v>127</v>
      </c>
      <c r="R29">
        <v>261.52</v>
      </c>
      <c r="S29">
        <v>33213.040000000001</v>
      </c>
      <c r="T29">
        <v>13.78</v>
      </c>
      <c r="U29">
        <v>11</v>
      </c>
      <c r="V29">
        <v>14</v>
      </c>
      <c r="W29">
        <v>537</v>
      </c>
      <c r="X29" t="s">
        <v>188</v>
      </c>
      <c r="Y29" t="s">
        <v>36</v>
      </c>
      <c r="Z29">
        <v>6717.55</v>
      </c>
    </row>
    <row r="30" spans="1:26" x14ac:dyDescent="0.25">
      <c r="A30">
        <v>100028</v>
      </c>
      <c r="B30" s="3">
        <v>45872</v>
      </c>
      <c r="C30" s="3">
        <v>45877</v>
      </c>
      <c r="D30" s="3">
        <v>45890</v>
      </c>
      <c r="E30" t="s">
        <v>184</v>
      </c>
      <c r="F30" t="s">
        <v>65</v>
      </c>
      <c r="G30" t="s">
        <v>154</v>
      </c>
      <c r="H30" t="s">
        <v>185</v>
      </c>
      <c r="I30" t="s">
        <v>182</v>
      </c>
      <c r="J30" t="s">
        <v>80</v>
      </c>
      <c r="K30" t="s">
        <v>186</v>
      </c>
      <c r="L30" t="s">
        <v>187</v>
      </c>
      <c r="M30" t="s">
        <v>25</v>
      </c>
      <c r="N30" t="s">
        <v>151</v>
      </c>
      <c r="O30" t="s">
        <v>152</v>
      </c>
      <c r="P30" t="s">
        <v>123</v>
      </c>
      <c r="Q30">
        <v>194</v>
      </c>
      <c r="R30">
        <v>145.97999999999999</v>
      </c>
      <c r="S30">
        <v>28320.12</v>
      </c>
      <c r="T30">
        <v>15.41</v>
      </c>
      <c r="U30">
        <v>13</v>
      </c>
      <c r="V30">
        <v>18</v>
      </c>
      <c r="W30">
        <v>1293</v>
      </c>
      <c r="X30" t="s">
        <v>3742</v>
      </c>
      <c r="Y30" t="s">
        <v>188</v>
      </c>
      <c r="Z30">
        <v>3567.56</v>
      </c>
    </row>
    <row r="31" spans="1:26" x14ac:dyDescent="0.25">
      <c r="A31">
        <v>100029</v>
      </c>
      <c r="B31" s="3">
        <v>45744</v>
      </c>
      <c r="C31" s="3">
        <v>45747</v>
      </c>
      <c r="D31" s="3">
        <v>45760</v>
      </c>
      <c r="E31" t="s">
        <v>189</v>
      </c>
      <c r="F31" t="s">
        <v>65</v>
      </c>
      <c r="G31" t="s">
        <v>70</v>
      </c>
      <c r="H31" t="s">
        <v>190</v>
      </c>
      <c r="I31" t="s">
        <v>191</v>
      </c>
      <c r="J31" t="s">
        <v>62</v>
      </c>
      <c r="K31" t="s">
        <v>140</v>
      </c>
      <c r="L31" t="s">
        <v>31</v>
      </c>
      <c r="M31" t="s">
        <v>38</v>
      </c>
      <c r="N31" t="s">
        <v>92</v>
      </c>
      <c r="O31" t="s">
        <v>93</v>
      </c>
      <c r="P31" t="s">
        <v>123</v>
      </c>
      <c r="Q31">
        <v>231</v>
      </c>
      <c r="R31">
        <v>34.24</v>
      </c>
      <c r="S31">
        <v>7909.44</v>
      </c>
      <c r="T31">
        <v>16.309999999999999</v>
      </c>
      <c r="U31">
        <v>13</v>
      </c>
      <c r="V31">
        <v>16</v>
      </c>
      <c r="W31">
        <v>3149</v>
      </c>
      <c r="X31" t="s">
        <v>3742</v>
      </c>
      <c r="Y31" t="s">
        <v>57</v>
      </c>
      <c r="Z31">
        <v>1338.95</v>
      </c>
    </row>
    <row r="32" spans="1:26" x14ac:dyDescent="0.25">
      <c r="A32">
        <v>100030</v>
      </c>
      <c r="B32" s="3">
        <v>45616</v>
      </c>
      <c r="C32" s="3">
        <v>45620</v>
      </c>
      <c r="D32" s="3">
        <v>45633</v>
      </c>
      <c r="E32" t="s">
        <v>192</v>
      </c>
      <c r="F32" t="s">
        <v>54</v>
      </c>
      <c r="G32" t="s">
        <v>193</v>
      </c>
      <c r="H32" t="s">
        <v>194</v>
      </c>
      <c r="I32" t="s">
        <v>177</v>
      </c>
      <c r="J32" t="s">
        <v>29</v>
      </c>
      <c r="K32" t="s">
        <v>195</v>
      </c>
      <c r="L32" t="s">
        <v>31</v>
      </c>
      <c r="M32" t="s">
        <v>25</v>
      </c>
      <c r="N32" t="s">
        <v>92</v>
      </c>
      <c r="O32" t="s">
        <v>93</v>
      </c>
      <c r="P32" t="s">
        <v>76</v>
      </c>
      <c r="Q32">
        <v>485</v>
      </c>
      <c r="R32">
        <v>74.44</v>
      </c>
      <c r="S32">
        <v>36103.4</v>
      </c>
      <c r="T32">
        <v>16.86</v>
      </c>
      <c r="U32">
        <v>13</v>
      </c>
      <c r="V32">
        <v>17</v>
      </c>
      <c r="W32">
        <v>1001</v>
      </c>
      <c r="X32" t="s">
        <v>188</v>
      </c>
      <c r="Y32" t="s">
        <v>36</v>
      </c>
      <c r="Z32">
        <v>8238.4599999999991</v>
      </c>
    </row>
    <row r="33" spans="1:26" x14ac:dyDescent="0.25">
      <c r="A33">
        <v>100031</v>
      </c>
      <c r="B33" s="3">
        <v>45982</v>
      </c>
      <c r="C33" s="3">
        <v>45984</v>
      </c>
      <c r="D33" s="3">
        <v>45990</v>
      </c>
      <c r="E33" t="s">
        <v>196</v>
      </c>
      <c r="F33" t="s">
        <v>25</v>
      </c>
      <c r="G33" t="s">
        <v>26</v>
      </c>
      <c r="H33" t="s">
        <v>197</v>
      </c>
      <c r="I33" t="s">
        <v>198</v>
      </c>
      <c r="J33" t="s">
        <v>52</v>
      </c>
      <c r="K33" t="s">
        <v>199</v>
      </c>
      <c r="L33" t="s">
        <v>44</v>
      </c>
      <c r="M33" t="s">
        <v>32</v>
      </c>
      <c r="N33" t="s">
        <v>66</v>
      </c>
      <c r="O33" t="s">
        <v>67</v>
      </c>
      <c r="P33" t="s">
        <v>35</v>
      </c>
      <c r="Q33">
        <v>53</v>
      </c>
      <c r="R33">
        <v>30.46</v>
      </c>
      <c r="S33">
        <v>1614.38</v>
      </c>
      <c r="T33">
        <v>13.98</v>
      </c>
      <c r="U33">
        <v>6</v>
      </c>
      <c r="V33">
        <v>8</v>
      </c>
      <c r="W33">
        <v>4307</v>
      </c>
      <c r="X33" t="s">
        <v>3742</v>
      </c>
      <c r="Y33" t="s">
        <v>57</v>
      </c>
      <c r="Z33">
        <v>118.85</v>
      </c>
    </row>
    <row r="34" spans="1:26" x14ac:dyDescent="0.25">
      <c r="A34">
        <v>100032</v>
      </c>
      <c r="B34" s="3">
        <v>45381</v>
      </c>
      <c r="C34" s="3">
        <v>45385</v>
      </c>
      <c r="D34" s="3">
        <v>45398</v>
      </c>
      <c r="E34" t="s">
        <v>200</v>
      </c>
      <c r="F34" t="s">
        <v>54</v>
      </c>
      <c r="G34" t="s">
        <v>129</v>
      </c>
      <c r="H34" t="s">
        <v>201</v>
      </c>
      <c r="I34" t="s">
        <v>61</v>
      </c>
      <c r="J34" t="s">
        <v>62</v>
      </c>
      <c r="K34" t="s">
        <v>202</v>
      </c>
      <c r="L34" t="s">
        <v>187</v>
      </c>
      <c r="M34" t="s">
        <v>32</v>
      </c>
      <c r="N34" t="s">
        <v>203</v>
      </c>
      <c r="O34" t="s">
        <v>204</v>
      </c>
      <c r="P34" t="s">
        <v>123</v>
      </c>
      <c r="Q34">
        <v>400</v>
      </c>
      <c r="R34">
        <v>10.32</v>
      </c>
      <c r="S34">
        <v>4128</v>
      </c>
      <c r="T34">
        <v>20.41</v>
      </c>
      <c r="U34">
        <v>13</v>
      </c>
      <c r="V34">
        <v>17</v>
      </c>
      <c r="W34">
        <v>1816</v>
      </c>
      <c r="X34" t="s">
        <v>3742</v>
      </c>
      <c r="Y34" t="s">
        <v>57</v>
      </c>
      <c r="Z34">
        <v>410.28</v>
      </c>
    </row>
    <row r="35" spans="1:26" x14ac:dyDescent="0.25">
      <c r="A35">
        <v>100033</v>
      </c>
      <c r="B35" s="3">
        <v>45967</v>
      </c>
      <c r="C35" s="3">
        <v>45968</v>
      </c>
      <c r="D35" s="3">
        <v>45974</v>
      </c>
      <c r="E35" t="s">
        <v>205</v>
      </c>
      <c r="F35" t="s">
        <v>54</v>
      </c>
      <c r="G35" t="s">
        <v>165</v>
      </c>
      <c r="H35" t="s">
        <v>206</v>
      </c>
      <c r="I35" t="s">
        <v>207</v>
      </c>
      <c r="J35" t="s">
        <v>80</v>
      </c>
      <c r="K35" t="s">
        <v>208</v>
      </c>
      <c r="L35" t="s">
        <v>91</v>
      </c>
      <c r="M35" t="s">
        <v>38</v>
      </c>
      <c r="N35" t="s">
        <v>92</v>
      </c>
      <c r="O35" t="s">
        <v>93</v>
      </c>
      <c r="P35" t="s">
        <v>35</v>
      </c>
      <c r="Q35">
        <v>475</v>
      </c>
      <c r="R35">
        <v>117.51</v>
      </c>
      <c r="S35">
        <v>55817.25</v>
      </c>
      <c r="T35">
        <v>25.94</v>
      </c>
      <c r="U35">
        <v>6</v>
      </c>
      <c r="V35">
        <v>7</v>
      </c>
      <c r="W35">
        <v>2193</v>
      </c>
      <c r="X35" t="s">
        <v>3741</v>
      </c>
      <c r="Y35" t="s">
        <v>36</v>
      </c>
      <c r="Z35">
        <v>14338.41</v>
      </c>
    </row>
    <row r="36" spans="1:26" x14ac:dyDescent="0.25">
      <c r="A36">
        <v>100034</v>
      </c>
      <c r="B36" s="3">
        <v>45816</v>
      </c>
      <c r="C36" s="3">
        <v>45816</v>
      </c>
      <c r="D36" s="3">
        <v>45830</v>
      </c>
      <c r="E36" t="s">
        <v>209</v>
      </c>
      <c r="F36" t="s">
        <v>32</v>
      </c>
      <c r="G36" t="s">
        <v>95</v>
      </c>
      <c r="H36" t="s">
        <v>210</v>
      </c>
      <c r="I36" t="s">
        <v>89</v>
      </c>
      <c r="J36" t="s">
        <v>62</v>
      </c>
      <c r="K36" t="s">
        <v>211</v>
      </c>
      <c r="L36" t="s">
        <v>212</v>
      </c>
      <c r="M36" t="s">
        <v>38</v>
      </c>
      <c r="N36" t="s">
        <v>151</v>
      </c>
      <c r="O36" t="s">
        <v>152</v>
      </c>
      <c r="P36" t="s">
        <v>76</v>
      </c>
      <c r="Q36">
        <v>351</v>
      </c>
      <c r="R36">
        <v>18.39</v>
      </c>
      <c r="S36">
        <v>6454.89</v>
      </c>
      <c r="T36">
        <v>14.42</v>
      </c>
      <c r="U36">
        <v>14</v>
      </c>
      <c r="V36">
        <v>14</v>
      </c>
      <c r="W36">
        <v>695</v>
      </c>
      <c r="X36" t="s">
        <v>3742</v>
      </c>
      <c r="Y36" t="s">
        <v>188</v>
      </c>
      <c r="Z36">
        <v>1019.19</v>
      </c>
    </row>
    <row r="37" spans="1:26" x14ac:dyDescent="0.25">
      <c r="A37">
        <v>100035</v>
      </c>
      <c r="B37" s="3">
        <v>46009</v>
      </c>
      <c r="C37" s="3">
        <v>46012</v>
      </c>
      <c r="D37" s="3">
        <v>46015</v>
      </c>
      <c r="E37" t="s">
        <v>213</v>
      </c>
      <c r="F37" t="s">
        <v>25</v>
      </c>
      <c r="G37" t="s">
        <v>172</v>
      </c>
      <c r="H37" t="s">
        <v>214</v>
      </c>
      <c r="I37" t="s">
        <v>51</v>
      </c>
      <c r="J37" t="s">
        <v>52</v>
      </c>
      <c r="K37" t="s">
        <v>215</v>
      </c>
      <c r="L37" t="s">
        <v>118</v>
      </c>
      <c r="M37" t="s">
        <v>38</v>
      </c>
      <c r="N37" t="s">
        <v>66</v>
      </c>
      <c r="O37" t="s">
        <v>67</v>
      </c>
      <c r="P37" t="s">
        <v>68</v>
      </c>
      <c r="Q37">
        <v>108</v>
      </c>
      <c r="R37">
        <v>57.4</v>
      </c>
      <c r="S37">
        <v>6199.2</v>
      </c>
      <c r="T37">
        <v>35.51</v>
      </c>
      <c r="U37">
        <v>3</v>
      </c>
      <c r="V37">
        <v>6</v>
      </c>
      <c r="W37">
        <v>3138</v>
      </c>
      <c r="X37" t="s">
        <v>3741</v>
      </c>
      <c r="Y37" t="s">
        <v>36</v>
      </c>
      <c r="Z37">
        <v>1028.08</v>
      </c>
    </row>
    <row r="38" spans="1:26" x14ac:dyDescent="0.25">
      <c r="A38">
        <v>100036</v>
      </c>
      <c r="B38" s="3">
        <v>45984</v>
      </c>
      <c r="C38" s="3">
        <v>45985</v>
      </c>
      <c r="D38" s="3">
        <v>45993</v>
      </c>
      <c r="E38" t="s">
        <v>216</v>
      </c>
      <c r="F38" t="s">
        <v>38</v>
      </c>
      <c r="G38" t="s">
        <v>217</v>
      </c>
      <c r="H38" t="s">
        <v>218</v>
      </c>
      <c r="I38" t="s">
        <v>89</v>
      </c>
      <c r="J38" t="s">
        <v>62</v>
      </c>
      <c r="K38" t="s">
        <v>219</v>
      </c>
      <c r="L38" t="s">
        <v>212</v>
      </c>
      <c r="M38" t="s">
        <v>25</v>
      </c>
      <c r="N38" t="s">
        <v>45</v>
      </c>
      <c r="O38" t="s">
        <v>46</v>
      </c>
      <c r="P38" t="s">
        <v>35</v>
      </c>
      <c r="Q38">
        <v>224</v>
      </c>
      <c r="R38">
        <v>29.57</v>
      </c>
      <c r="S38">
        <v>6623.68</v>
      </c>
      <c r="T38">
        <v>18.82</v>
      </c>
      <c r="U38">
        <v>8</v>
      </c>
      <c r="V38">
        <v>9</v>
      </c>
      <c r="W38">
        <v>1253</v>
      </c>
      <c r="X38" t="s">
        <v>188</v>
      </c>
      <c r="Y38" t="s">
        <v>36</v>
      </c>
      <c r="Z38">
        <v>384.79</v>
      </c>
    </row>
    <row r="39" spans="1:26" x14ac:dyDescent="0.25">
      <c r="A39">
        <v>100037</v>
      </c>
      <c r="B39" s="3">
        <v>45461</v>
      </c>
      <c r="C39" s="3">
        <v>45461</v>
      </c>
      <c r="D39" s="3">
        <v>45466</v>
      </c>
      <c r="E39" t="s">
        <v>220</v>
      </c>
      <c r="F39" t="s">
        <v>25</v>
      </c>
      <c r="G39" t="s">
        <v>221</v>
      </c>
      <c r="H39" t="s">
        <v>222</v>
      </c>
      <c r="I39" t="s">
        <v>116</v>
      </c>
      <c r="J39" t="s">
        <v>62</v>
      </c>
      <c r="K39" t="s">
        <v>223</v>
      </c>
      <c r="L39" t="s">
        <v>212</v>
      </c>
      <c r="M39" t="s">
        <v>25</v>
      </c>
      <c r="N39" t="s">
        <v>55</v>
      </c>
      <c r="O39" t="s">
        <v>56</v>
      </c>
      <c r="P39" t="s">
        <v>123</v>
      </c>
      <c r="Q39">
        <v>431</v>
      </c>
      <c r="R39">
        <v>49.4</v>
      </c>
      <c r="S39">
        <v>21291.4</v>
      </c>
      <c r="T39">
        <v>15.68</v>
      </c>
      <c r="U39">
        <v>5</v>
      </c>
      <c r="V39">
        <v>5</v>
      </c>
      <c r="W39">
        <v>1688</v>
      </c>
      <c r="X39" t="s">
        <v>3741</v>
      </c>
      <c r="Y39" t="s">
        <v>36</v>
      </c>
      <c r="Z39">
        <v>3670.76</v>
      </c>
    </row>
    <row r="40" spans="1:26" x14ac:dyDescent="0.25">
      <c r="A40">
        <v>100038</v>
      </c>
      <c r="B40" s="3">
        <v>45423</v>
      </c>
      <c r="C40" s="3">
        <v>45426</v>
      </c>
      <c r="D40" s="3">
        <v>45433</v>
      </c>
      <c r="E40" t="s">
        <v>224</v>
      </c>
      <c r="F40" t="s">
        <v>54</v>
      </c>
      <c r="G40" t="s">
        <v>225</v>
      </c>
      <c r="H40" t="s">
        <v>226</v>
      </c>
      <c r="I40" t="s">
        <v>144</v>
      </c>
      <c r="J40" t="s">
        <v>52</v>
      </c>
      <c r="K40" t="s">
        <v>227</v>
      </c>
      <c r="L40" t="s">
        <v>64</v>
      </c>
      <c r="M40" t="s">
        <v>65</v>
      </c>
      <c r="N40" t="s">
        <v>45</v>
      </c>
      <c r="O40" t="s">
        <v>46</v>
      </c>
      <c r="P40" t="s">
        <v>35</v>
      </c>
      <c r="Q40">
        <v>191</v>
      </c>
      <c r="R40">
        <v>65.819999999999993</v>
      </c>
      <c r="S40">
        <v>12571.62</v>
      </c>
      <c r="T40">
        <v>17.89</v>
      </c>
      <c r="U40">
        <v>7</v>
      </c>
      <c r="V40">
        <v>10</v>
      </c>
      <c r="W40">
        <v>913</v>
      </c>
      <c r="X40" t="s">
        <v>188</v>
      </c>
      <c r="Y40" t="s">
        <v>36</v>
      </c>
      <c r="Z40">
        <v>842.89</v>
      </c>
    </row>
    <row r="41" spans="1:26" x14ac:dyDescent="0.25">
      <c r="A41">
        <v>100039</v>
      </c>
      <c r="B41" s="3">
        <v>45349</v>
      </c>
      <c r="C41" s="3">
        <v>45352</v>
      </c>
      <c r="D41" s="3">
        <v>45356</v>
      </c>
      <c r="E41" t="s">
        <v>228</v>
      </c>
      <c r="F41" t="s">
        <v>32</v>
      </c>
      <c r="G41" t="s">
        <v>95</v>
      </c>
      <c r="H41" t="s">
        <v>229</v>
      </c>
      <c r="I41" t="s">
        <v>230</v>
      </c>
      <c r="J41" t="s">
        <v>80</v>
      </c>
      <c r="K41" t="s">
        <v>231</v>
      </c>
      <c r="L41" t="s">
        <v>98</v>
      </c>
      <c r="M41" t="s">
        <v>54</v>
      </c>
      <c r="N41" t="s">
        <v>74</v>
      </c>
      <c r="O41" t="s">
        <v>75</v>
      </c>
      <c r="P41" t="s">
        <v>68</v>
      </c>
      <c r="Q41">
        <v>199</v>
      </c>
      <c r="R41">
        <v>164.07</v>
      </c>
      <c r="S41">
        <v>32649.93</v>
      </c>
      <c r="T41">
        <v>41.41</v>
      </c>
      <c r="U41">
        <v>4</v>
      </c>
      <c r="V41">
        <v>7</v>
      </c>
      <c r="W41">
        <v>1581</v>
      </c>
      <c r="X41" t="s">
        <v>3741</v>
      </c>
      <c r="Y41" t="s">
        <v>36</v>
      </c>
      <c r="Z41">
        <v>5044.6400000000003</v>
      </c>
    </row>
    <row r="42" spans="1:26" x14ac:dyDescent="0.25">
      <c r="A42">
        <v>100040</v>
      </c>
      <c r="B42" s="3">
        <v>45847</v>
      </c>
      <c r="C42" s="3">
        <v>45851</v>
      </c>
      <c r="D42" s="3">
        <v>45863</v>
      </c>
      <c r="E42" t="s">
        <v>232</v>
      </c>
      <c r="F42" t="s">
        <v>25</v>
      </c>
      <c r="G42" t="s">
        <v>233</v>
      </c>
      <c r="H42" t="s">
        <v>234</v>
      </c>
      <c r="I42" t="s">
        <v>144</v>
      </c>
      <c r="J42" t="s">
        <v>52</v>
      </c>
      <c r="K42" t="s">
        <v>235</v>
      </c>
      <c r="L42" t="s">
        <v>44</v>
      </c>
      <c r="M42" t="s">
        <v>25</v>
      </c>
      <c r="N42" t="s">
        <v>102</v>
      </c>
      <c r="O42" t="s">
        <v>103</v>
      </c>
      <c r="P42" t="s">
        <v>35</v>
      </c>
      <c r="Q42">
        <v>450</v>
      </c>
      <c r="R42">
        <v>50.89</v>
      </c>
      <c r="S42">
        <v>22900.5</v>
      </c>
      <c r="T42">
        <v>18.690000000000001</v>
      </c>
      <c r="U42">
        <v>12</v>
      </c>
      <c r="V42">
        <v>16</v>
      </c>
      <c r="W42">
        <v>1456</v>
      </c>
      <c r="X42" t="s">
        <v>3742</v>
      </c>
      <c r="Y42" t="s">
        <v>188</v>
      </c>
      <c r="Z42">
        <v>2461.0700000000002</v>
      </c>
    </row>
    <row r="43" spans="1:26" x14ac:dyDescent="0.25">
      <c r="A43">
        <v>100041</v>
      </c>
      <c r="B43" s="3">
        <v>45857</v>
      </c>
      <c r="C43" s="3">
        <v>45862</v>
      </c>
      <c r="D43" s="3">
        <v>45874</v>
      </c>
      <c r="E43" t="s">
        <v>236</v>
      </c>
      <c r="F43" t="s">
        <v>38</v>
      </c>
      <c r="G43" t="s">
        <v>83</v>
      </c>
      <c r="H43" t="s">
        <v>237</v>
      </c>
      <c r="I43" t="s">
        <v>238</v>
      </c>
      <c r="J43" t="s">
        <v>62</v>
      </c>
      <c r="K43" t="s">
        <v>239</v>
      </c>
      <c r="L43" t="s">
        <v>44</v>
      </c>
      <c r="M43" t="s">
        <v>32</v>
      </c>
      <c r="N43" t="s">
        <v>74</v>
      </c>
      <c r="O43" t="s">
        <v>75</v>
      </c>
      <c r="P43" t="s">
        <v>76</v>
      </c>
      <c r="Q43">
        <v>339</v>
      </c>
      <c r="R43">
        <v>47.77</v>
      </c>
      <c r="S43">
        <v>16194.03</v>
      </c>
      <c r="T43">
        <v>14.2</v>
      </c>
      <c r="U43">
        <v>12</v>
      </c>
      <c r="V43">
        <v>17</v>
      </c>
      <c r="W43">
        <v>657</v>
      </c>
      <c r="X43" t="s">
        <v>188</v>
      </c>
      <c r="Y43" t="s">
        <v>36</v>
      </c>
      <c r="Z43">
        <v>1379.45</v>
      </c>
    </row>
    <row r="44" spans="1:26" x14ac:dyDescent="0.25">
      <c r="A44">
        <v>100042</v>
      </c>
      <c r="B44" s="3">
        <v>45381</v>
      </c>
      <c r="C44" s="3">
        <v>45382</v>
      </c>
      <c r="D44" s="3">
        <v>45386</v>
      </c>
      <c r="E44" t="s">
        <v>240</v>
      </c>
      <c r="F44" t="s">
        <v>32</v>
      </c>
      <c r="G44" t="s">
        <v>137</v>
      </c>
      <c r="H44" t="s">
        <v>241</v>
      </c>
      <c r="I44" t="s">
        <v>134</v>
      </c>
      <c r="J44" t="s">
        <v>52</v>
      </c>
      <c r="K44" t="s">
        <v>242</v>
      </c>
      <c r="L44" t="s">
        <v>212</v>
      </c>
      <c r="M44" t="s">
        <v>38</v>
      </c>
      <c r="N44" t="s">
        <v>151</v>
      </c>
      <c r="O44" t="s">
        <v>152</v>
      </c>
      <c r="P44" t="s">
        <v>68</v>
      </c>
      <c r="Q44">
        <v>420</v>
      </c>
      <c r="R44">
        <v>65.25</v>
      </c>
      <c r="S44">
        <v>27405</v>
      </c>
      <c r="T44">
        <v>55.73</v>
      </c>
      <c r="U44">
        <v>4</v>
      </c>
      <c r="V44">
        <v>5</v>
      </c>
      <c r="W44">
        <v>2708</v>
      </c>
      <c r="X44" t="s">
        <v>3741</v>
      </c>
      <c r="Y44" t="s">
        <v>36</v>
      </c>
      <c r="Z44">
        <v>5107.93</v>
      </c>
    </row>
    <row r="45" spans="1:26" x14ac:dyDescent="0.25">
      <c r="A45">
        <v>100043</v>
      </c>
      <c r="B45" s="3">
        <v>45885</v>
      </c>
      <c r="C45" s="3">
        <v>45887</v>
      </c>
      <c r="D45" s="3">
        <v>45892</v>
      </c>
      <c r="E45" t="s">
        <v>243</v>
      </c>
      <c r="F45" t="s">
        <v>25</v>
      </c>
      <c r="G45" t="s">
        <v>244</v>
      </c>
      <c r="H45" t="s">
        <v>245</v>
      </c>
      <c r="I45" t="s">
        <v>246</v>
      </c>
      <c r="J45" t="s">
        <v>29</v>
      </c>
      <c r="K45" t="s">
        <v>247</v>
      </c>
      <c r="L45" t="s">
        <v>44</v>
      </c>
      <c r="M45" t="s">
        <v>38</v>
      </c>
      <c r="N45" t="s">
        <v>66</v>
      </c>
      <c r="O45" t="s">
        <v>67</v>
      </c>
      <c r="P45" t="s">
        <v>68</v>
      </c>
      <c r="Q45">
        <v>251</v>
      </c>
      <c r="R45">
        <v>70.67</v>
      </c>
      <c r="S45">
        <v>17738.169999999998</v>
      </c>
      <c r="T45">
        <v>44.78</v>
      </c>
      <c r="U45">
        <v>5</v>
      </c>
      <c r="V45">
        <v>7</v>
      </c>
      <c r="W45">
        <v>1178</v>
      </c>
      <c r="X45" t="s">
        <v>3742</v>
      </c>
      <c r="Y45" t="s">
        <v>47</v>
      </c>
      <c r="Z45">
        <v>-246.95</v>
      </c>
    </row>
    <row r="46" spans="1:26" x14ac:dyDescent="0.25">
      <c r="A46">
        <v>100044</v>
      </c>
      <c r="B46" s="3">
        <v>45468</v>
      </c>
      <c r="C46" s="3">
        <v>45470</v>
      </c>
      <c r="D46" s="3">
        <v>45475</v>
      </c>
      <c r="E46" t="s">
        <v>248</v>
      </c>
      <c r="F46" t="s">
        <v>65</v>
      </c>
      <c r="G46" t="s">
        <v>142</v>
      </c>
      <c r="H46" t="s">
        <v>249</v>
      </c>
      <c r="I46" t="s">
        <v>238</v>
      </c>
      <c r="J46" t="s">
        <v>62</v>
      </c>
      <c r="K46" t="s">
        <v>250</v>
      </c>
      <c r="L46" t="s">
        <v>31</v>
      </c>
      <c r="M46" t="s">
        <v>65</v>
      </c>
      <c r="N46" t="s">
        <v>102</v>
      </c>
      <c r="O46" t="s">
        <v>103</v>
      </c>
      <c r="P46" t="s">
        <v>68</v>
      </c>
      <c r="Q46">
        <v>186</v>
      </c>
      <c r="R46">
        <v>42.72</v>
      </c>
      <c r="S46">
        <v>7945.92</v>
      </c>
      <c r="T46">
        <v>30.05</v>
      </c>
      <c r="U46">
        <v>5</v>
      </c>
      <c r="V46">
        <v>7</v>
      </c>
      <c r="W46">
        <v>1933</v>
      </c>
      <c r="X46" t="s">
        <v>3741</v>
      </c>
      <c r="Y46" t="s">
        <v>36</v>
      </c>
      <c r="Z46">
        <v>381.37</v>
      </c>
    </row>
    <row r="47" spans="1:26" x14ac:dyDescent="0.25">
      <c r="A47">
        <v>100045</v>
      </c>
      <c r="B47" s="3">
        <v>45767</v>
      </c>
      <c r="C47" s="3">
        <v>45767</v>
      </c>
      <c r="D47" s="3">
        <v>45775</v>
      </c>
      <c r="E47" t="s">
        <v>251</v>
      </c>
      <c r="F47" t="s">
        <v>65</v>
      </c>
      <c r="G47" t="s">
        <v>70</v>
      </c>
      <c r="H47" t="s">
        <v>252</v>
      </c>
      <c r="I47" t="s">
        <v>72</v>
      </c>
      <c r="J47" t="s">
        <v>42</v>
      </c>
      <c r="K47" t="s">
        <v>253</v>
      </c>
      <c r="L47" t="s">
        <v>98</v>
      </c>
      <c r="M47" t="s">
        <v>25</v>
      </c>
      <c r="N47" t="s">
        <v>151</v>
      </c>
      <c r="O47" t="s">
        <v>152</v>
      </c>
      <c r="P47" t="s">
        <v>123</v>
      </c>
      <c r="Q47">
        <v>32</v>
      </c>
      <c r="R47">
        <v>359.91</v>
      </c>
      <c r="S47">
        <v>11517.12</v>
      </c>
      <c r="T47">
        <v>11.47</v>
      </c>
      <c r="U47">
        <v>8</v>
      </c>
      <c r="V47">
        <v>8</v>
      </c>
      <c r="W47">
        <v>726</v>
      </c>
      <c r="X47" t="s">
        <v>188</v>
      </c>
      <c r="Y47" t="s">
        <v>36</v>
      </c>
      <c r="Z47">
        <v>1298.6199999999999</v>
      </c>
    </row>
    <row r="48" spans="1:26" x14ac:dyDescent="0.25">
      <c r="A48">
        <v>100046</v>
      </c>
      <c r="B48" s="3">
        <v>45292</v>
      </c>
      <c r="C48" s="3">
        <v>45294</v>
      </c>
      <c r="D48" s="3">
        <v>45299</v>
      </c>
      <c r="E48" t="s">
        <v>254</v>
      </c>
      <c r="F48" t="s">
        <v>32</v>
      </c>
      <c r="G48" t="s">
        <v>255</v>
      </c>
      <c r="H48" t="s">
        <v>256</v>
      </c>
      <c r="I48" t="s">
        <v>28</v>
      </c>
      <c r="J48" t="s">
        <v>29</v>
      </c>
      <c r="K48" t="s">
        <v>257</v>
      </c>
      <c r="L48" t="s">
        <v>113</v>
      </c>
      <c r="M48" t="s">
        <v>38</v>
      </c>
      <c r="N48" t="s">
        <v>203</v>
      </c>
      <c r="O48" t="s">
        <v>204</v>
      </c>
      <c r="P48" t="s">
        <v>68</v>
      </c>
      <c r="Q48">
        <v>497</v>
      </c>
      <c r="R48">
        <v>77.989999999999995</v>
      </c>
      <c r="S48">
        <v>38761.03</v>
      </c>
      <c r="T48">
        <v>60.72</v>
      </c>
      <c r="U48">
        <v>5</v>
      </c>
      <c r="V48">
        <v>7</v>
      </c>
      <c r="W48">
        <v>2292</v>
      </c>
      <c r="X48" t="s">
        <v>3741</v>
      </c>
      <c r="Y48" t="s">
        <v>36</v>
      </c>
      <c r="Z48">
        <v>7848.92</v>
      </c>
    </row>
    <row r="49" spans="1:26" x14ac:dyDescent="0.25">
      <c r="A49">
        <v>100047</v>
      </c>
      <c r="B49" s="3">
        <v>45597</v>
      </c>
      <c r="C49" s="3">
        <v>45600</v>
      </c>
      <c r="D49" s="3">
        <v>45602</v>
      </c>
      <c r="E49" t="s">
        <v>258</v>
      </c>
      <c r="F49" t="s">
        <v>25</v>
      </c>
      <c r="G49" t="s">
        <v>172</v>
      </c>
      <c r="H49" t="s">
        <v>259</v>
      </c>
      <c r="I49" t="s">
        <v>116</v>
      </c>
      <c r="J49" t="s">
        <v>62</v>
      </c>
      <c r="K49" t="s">
        <v>260</v>
      </c>
      <c r="L49" t="s">
        <v>187</v>
      </c>
      <c r="M49" t="s">
        <v>65</v>
      </c>
      <c r="N49" t="s">
        <v>55</v>
      </c>
      <c r="O49" t="s">
        <v>56</v>
      </c>
      <c r="P49" t="s">
        <v>35</v>
      </c>
      <c r="Q49">
        <v>322</v>
      </c>
      <c r="R49">
        <v>31.55</v>
      </c>
      <c r="S49">
        <v>10159.1</v>
      </c>
      <c r="T49">
        <v>21.6</v>
      </c>
      <c r="U49">
        <v>2</v>
      </c>
      <c r="V49">
        <v>5</v>
      </c>
      <c r="W49">
        <v>3114</v>
      </c>
      <c r="X49" t="s">
        <v>3742</v>
      </c>
      <c r="Y49" t="s">
        <v>47</v>
      </c>
      <c r="Z49">
        <v>-178.98</v>
      </c>
    </row>
    <row r="50" spans="1:26" x14ac:dyDescent="0.25">
      <c r="A50">
        <v>100048</v>
      </c>
      <c r="B50" s="3">
        <v>45726</v>
      </c>
      <c r="C50" s="3">
        <v>45731</v>
      </c>
      <c r="D50" s="3">
        <v>45756</v>
      </c>
      <c r="E50" t="s">
        <v>261</v>
      </c>
      <c r="F50" t="s">
        <v>54</v>
      </c>
      <c r="G50" t="s">
        <v>193</v>
      </c>
      <c r="H50" t="s">
        <v>262</v>
      </c>
      <c r="I50" t="s">
        <v>139</v>
      </c>
      <c r="J50" t="s">
        <v>42</v>
      </c>
      <c r="K50" t="s">
        <v>247</v>
      </c>
      <c r="L50" t="s">
        <v>64</v>
      </c>
      <c r="M50" t="s">
        <v>25</v>
      </c>
      <c r="N50" t="s">
        <v>74</v>
      </c>
      <c r="O50" t="s">
        <v>75</v>
      </c>
      <c r="P50" t="s">
        <v>76</v>
      </c>
      <c r="Q50">
        <v>344</v>
      </c>
      <c r="R50">
        <v>230.62</v>
      </c>
      <c r="S50">
        <v>79333.279999999999</v>
      </c>
      <c r="T50">
        <v>14.29</v>
      </c>
      <c r="U50">
        <v>25</v>
      </c>
      <c r="V50">
        <v>30</v>
      </c>
      <c r="W50">
        <v>496</v>
      </c>
      <c r="X50" t="s">
        <v>3742</v>
      </c>
      <c r="Y50" t="s">
        <v>188</v>
      </c>
      <c r="Z50">
        <v>12412.67</v>
      </c>
    </row>
    <row r="51" spans="1:26" x14ac:dyDescent="0.25">
      <c r="A51">
        <v>100049</v>
      </c>
      <c r="B51" s="3">
        <v>45626</v>
      </c>
      <c r="C51" s="3">
        <v>45629</v>
      </c>
      <c r="D51" s="3">
        <v>45652</v>
      </c>
      <c r="E51" t="s">
        <v>263</v>
      </c>
      <c r="F51" t="s">
        <v>32</v>
      </c>
      <c r="G51" t="s">
        <v>255</v>
      </c>
      <c r="H51" t="s">
        <v>264</v>
      </c>
      <c r="I51" t="s">
        <v>139</v>
      </c>
      <c r="J51" t="s">
        <v>42</v>
      </c>
      <c r="K51" t="s">
        <v>265</v>
      </c>
      <c r="L51" t="s">
        <v>118</v>
      </c>
      <c r="M51" t="s">
        <v>54</v>
      </c>
      <c r="N51" t="s">
        <v>55</v>
      </c>
      <c r="O51" t="s">
        <v>56</v>
      </c>
      <c r="P51" t="s">
        <v>76</v>
      </c>
      <c r="Q51">
        <v>294</v>
      </c>
      <c r="R51">
        <v>117.36</v>
      </c>
      <c r="S51">
        <v>34503.839999999997</v>
      </c>
      <c r="T51">
        <v>13.38</v>
      </c>
      <c r="U51">
        <v>23</v>
      </c>
      <c r="V51">
        <v>26</v>
      </c>
      <c r="W51">
        <v>233</v>
      </c>
      <c r="X51" t="s">
        <v>188</v>
      </c>
      <c r="Y51" t="s">
        <v>36</v>
      </c>
      <c r="Z51">
        <v>1408.39</v>
      </c>
    </row>
    <row r="52" spans="1:26" x14ac:dyDescent="0.25">
      <c r="A52">
        <v>100050</v>
      </c>
      <c r="B52" s="3">
        <v>45741</v>
      </c>
      <c r="C52" s="3">
        <v>45745</v>
      </c>
      <c r="D52" s="3">
        <v>45768</v>
      </c>
      <c r="E52" t="s">
        <v>266</v>
      </c>
      <c r="F52" t="s">
        <v>32</v>
      </c>
      <c r="G52" t="s">
        <v>180</v>
      </c>
      <c r="H52" t="s">
        <v>267</v>
      </c>
      <c r="I52" t="s">
        <v>191</v>
      </c>
      <c r="J52" t="s">
        <v>62</v>
      </c>
      <c r="K52" t="s">
        <v>268</v>
      </c>
      <c r="L52" t="s">
        <v>91</v>
      </c>
      <c r="M52" t="s">
        <v>25</v>
      </c>
      <c r="N52" t="s">
        <v>66</v>
      </c>
      <c r="O52" t="s">
        <v>67</v>
      </c>
      <c r="P52" t="s">
        <v>76</v>
      </c>
      <c r="Q52">
        <v>160</v>
      </c>
      <c r="R52">
        <v>10.76</v>
      </c>
      <c r="S52">
        <v>1721.6</v>
      </c>
      <c r="T52">
        <v>10.94</v>
      </c>
      <c r="U52">
        <v>23</v>
      </c>
      <c r="V52">
        <v>27</v>
      </c>
      <c r="W52">
        <v>3745</v>
      </c>
      <c r="X52" t="s">
        <v>188</v>
      </c>
      <c r="Y52" t="s">
        <v>36</v>
      </c>
      <c r="Z52">
        <v>231.02</v>
      </c>
    </row>
    <row r="53" spans="1:26" x14ac:dyDescent="0.25">
      <c r="A53">
        <v>100051</v>
      </c>
      <c r="B53" s="3">
        <v>45486</v>
      </c>
      <c r="C53" s="3">
        <v>45488</v>
      </c>
      <c r="D53" s="3">
        <v>45493</v>
      </c>
      <c r="E53" t="s">
        <v>269</v>
      </c>
      <c r="F53" t="s">
        <v>54</v>
      </c>
      <c r="G53" t="s">
        <v>193</v>
      </c>
      <c r="H53" t="s">
        <v>270</v>
      </c>
      <c r="I53" t="s">
        <v>28</v>
      </c>
      <c r="J53" t="s">
        <v>29</v>
      </c>
      <c r="K53" t="s">
        <v>271</v>
      </c>
      <c r="L53" t="s">
        <v>44</v>
      </c>
      <c r="M53" t="s">
        <v>54</v>
      </c>
      <c r="N53" t="s">
        <v>151</v>
      </c>
      <c r="O53" t="s">
        <v>152</v>
      </c>
      <c r="P53" t="s">
        <v>68</v>
      </c>
      <c r="Q53">
        <v>286</v>
      </c>
      <c r="R53">
        <v>28.58</v>
      </c>
      <c r="S53">
        <v>8173.88</v>
      </c>
      <c r="T53">
        <v>34.85</v>
      </c>
      <c r="U53">
        <v>5</v>
      </c>
      <c r="V53">
        <v>7</v>
      </c>
      <c r="W53">
        <v>753</v>
      </c>
      <c r="X53" t="s">
        <v>3742</v>
      </c>
      <c r="Y53" t="s">
        <v>57</v>
      </c>
      <c r="Z53">
        <v>1679.56</v>
      </c>
    </row>
    <row r="54" spans="1:26" x14ac:dyDescent="0.25">
      <c r="A54">
        <v>100052</v>
      </c>
      <c r="B54" s="3">
        <v>45815</v>
      </c>
      <c r="C54" s="3">
        <v>45816</v>
      </c>
      <c r="D54" s="3">
        <v>45821</v>
      </c>
      <c r="E54" t="s">
        <v>272</v>
      </c>
      <c r="F54" t="s">
        <v>32</v>
      </c>
      <c r="G54" t="s">
        <v>273</v>
      </c>
      <c r="H54" t="s">
        <v>274</v>
      </c>
      <c r="I54" t="s">
        <v>207</v>
      </c>
      <c r="J54" t="s">
        <v>80</v>
      </c>
      <c r="K54" t="s">
        <v>275</v>
      </c>
      <c r="L54" t="s">
        <v>98</v>
      </c>
      <c r="M54" t="s">
        <v>32</v>
      </c>
      <c r="N54" t="s">
        <v>45</v>
      </c>
      <c r="O54" t="s">
        <v>46</v>
      </c>
      <c r="P54" t="s">
        <v>123</v>
      </c>
      <c r="Q54">
        <v>56</v>
      </c>
      <c r="R54">
        <v>234.65</v>
      </c>
      <c r="S54">
        <v>13140.4</v>
      </c>
      <c r="T54">
        <v>8.93</v>
      </c>
      <c r="U54">
        <v>5</v>
      </c>
      <c r="V54">
        <v>6</v>
      </c>
      <c r="W54">
        <v>1129</v>
      </c>
      <c r="X54" t="s">
        <v>3741</v>
      </c>
      <c r="Y54" t="s">
        <v>36</v>
      </c>
      <c r="Z54">
        <v>1696.33</v>
      </c>
    </row>
    <row r="55" spans="1:26" x14ac:dyDescent="0.25">
      <c r="A55">
        <v>100053</v>
      </c>
      <c r="B55" s="3">
        <v>45548</v>
      </c>
      <c r="C55" s="3">
        <v>45548</v>
      </c>
      <c r="D55" s="3">
        <v>45552</v>
      </c>
      <c r="E55" t="s">
        <v>276</v>
      </c>
      <c r="F55" t="s">
        <v>32</v>
      </c>
      <c r="G55" t="s">
        <v>137</v>
      </c>
      <c r="H55" t="s">
        <v>277</v>
      </c>
      <c r="I55" t="s">
        <v>278</v>
      </c>
      <c r="J55" t="s">
        <v>29</v>
      </c>
      <c r="K55" t="s">
        <v>279</v>
      </c>
      <c r="L55" t="s">
        <v>44</v>
      </c>
      <c r="M55" t="s">
        <v>65</v>
      </c>
      <c r="N55" t="s">
        <v>74</v>
      </c>
      <c r="O55" t="s">
        <v>75</v>
      </c>
      <c r="P55" t="s">
        <v>35</v>
      </c>
      <c r="Q55">
        <v>223</v>
      </c>
      <c r="R55">
        <v>35.97</v>
      </c>
      <c r="S55">
        <v>8021.31</v>
      </c>
      <c r="T55">
        <v>18.8</v>
      </c>
      <c r="U55">
        <v>4</v>
      </c>
      <c r="V55">
        <v>4</v>
      </c>
      <c r="W55">
        <v>177</v>
      </c>
      <c r="X55" t="s">
        <v>3741</v>
      </c>
      <c r="Y55" t="s">
        <v>36</v>
      </c>
      <c r="Z55">
        <v>1207.92</v>
      </c>
    </row>
    <row r="56" spans="1:26" x14ac:dyDescent="0.25">
      <c r="A56">
        <v>100054</v>
      </c>
      <c r="B56" s="3">
        <v>45298</v>
      </c>
      <c r="C56" s="3">
        <v>45300</v>
      </c>
      <c r="D56" s="3">
        <v>45310</v>
      </c>
      <c r="E56" t="s">
        <v>280</v>
      </c>
      <c r="F56" t="s">
        <v>38</v>
      </c>
      <c r="G56" t="s">
        <v>83</v>
      </c>
      <c r="H56" t="s">
        <v>281</v>
      </c>
      <c r="I56" t="s">
        <v>41</v>
      </c>
      <c r="J56" t="s">
        <v>42</v>
      </c>
      <c r="K56" t="s">
        <v>282</v>
      </c>
      <c r="L56" t="s">
        <v>98</v>
      </c>
      <c r="M56" t="s">
        <v>32</v>
      </c>
      <c r="N56" t="s">
        <v>55</v>
      </c>
      <c r="O56" t="s">
        <v>56</v>
      </c>
      <c r="P56" t="s">
        <v>123</v>
      </c>
      <c r="Q56">
        <v>303</v>
      </c>
      <c r="R56">
        <v>267.72000000000003</v>
      </c>
      <c r="S56">
        <v>81119.16</v>
      </c>
      <c r="T56">
        <v>18.05</v>
      </c>
      <c r="U56">
        <v>10</v>
      </c>
      <c r="V56">
        <v>12</v>
      </c>
      <c r="W56">
        <v>1088</v>
      </c>
      <c r="X56" t="s">
        <v>188</v>
      </c>
      <c r="Y56" t="s">
        <v>36</v>
      </c>
      <c r="Z56">
        <v>8541.6200000000008</v>
      </c>
    </row>
    <row r="57" spans="1:26" x14ac:dyDescent="0.25">
      <c r="A57">
        <v>100055</v>
      </c>
      <c r="B57" s="3">
        <v>45564</v>
      </c>
      <c r="C57" s="3">
        <v>45569</v>
      </c>
      <c r="D57" s="3">
        <v>45571</v>
      </c>
      <c r="E57" t="s">
        <v>283</v>
      </c>
      <c r="F57" t="s">
        <v>25</v>
      </c>
      <c r="G57" t="s">
        <v>172</v>
      </c>
      <c r="H57" t="s">
        <v>284</v>
      </c>
      <c r="I57" t="s">
        <v>51</v>
      </c>
      <c r="J57" t="s">
        <v>52</v>
      </c>
      <c r="K57" t="s">
        <v>285</v>
      </c>
      <c r="L57" t="s">
        <v>64</v>
      </c>
      <c r="M57" t="s">
        <v>65</v>
      </c>
      <c r="N57" t="s">
        <v>203</v>
      </c>
      <c r="O57" t="s">
        <v>204</v>
      </c>
      <c r="P57" t="s">
        <v>68</v>
      </c>
      <c r="Q57">
        <v>34</v>
      </c>
      <c r="R57">
        <v>63.69</v>
      </c>
      <c r="S57">
        <v>2165.46</v>
      </c>
      <c r="T57">
        <v>30.72</v>
      </c>
      <c r="U57">
        <v>2</v>
      </c>
      <c r="V57">
        <v>7</v>
      </c>
      <c r="W57">
        <v>266</v>
      </c>
      <c r="X57" t="s">
        <v>3741</v>
      </c>
      <c r="Y57" t="s">
        <v>36</v>
      </c>
      <c r="Z57">
        <v>255.87</v>
      </c>
    </row>
    <row r="58" spans="1:26" x14ac:dyDescent="0.25">
      <c r="A58">
        <v>100056</v>
      </c>
      <c r="B58" s="3">
        <v>45761</v>
      </c>
      <c r="C58" s="3">
        <v>45762</v>
      </c>
      <c r="D58" s="3">
        <v>45771</v>
      </c>
      <c r="E58" t="s">
        <v>286</v>
      </c>
      <c r="F58" t="s">
        <v>54</v>
      </c>
      <c r="G58" t="s">
        <v>225</v>
      </c>
      <c r="H58" t="s">
        <v>287</v>
      </c>
      <c r="I58" t="s">
        <v>238</v>
      </c>
      <c r="J58" t="s">
        <v>62</v>
      </c>
      <c r="K58" t="s">
        <v>288</v>
      </c>
      <c r="L58" t="s">
        <v>187</v>
      </c>
      <c r="M58" t="s">
        <v>54</v>
      </c>
      <c r="N58" t="s">
        <v>151</v>
      </c>
      <c r="O58" t="s">
        <v>152</v>
      </c>
      <c r="P58" t="s">
        <v>35</v>
      </c>
      <c r="Q58">
        <v>434</v>
      </c>
      <c r="R58">
        <v>20.190000000000001</v>
      </c>
      <c r="S58">
        <v>8762.4599999999991</v>
      </c>
      <c r="T58">
        <v>18.350000000000001</v>
      </c>
      <c r="U58">
        <v>9</v>
      </c>
      <c r="V58">
        <v>10</v>
      </c>
      <c r="W58">
        <v>3039</v>
      </c>
      <c r="X58" t="s">
        <v>188</v>
      </c>
      <c r="Y58" t="s">
        <v>36</v>
      </c>
      <c r="Z58">
        <v>825.41</v>
      </c>
    </row>
    <row r="59" spans="1:26" x14ac:dyDescent="0.25">
      <c r="A59">
        <v>100057</v>
      </c>
      <c r="B59" s="3">
        <v>45668</v>
      </c>
      <c r="C59" s="3">
        <v>45668</v>
      </c>
      <c r="D59" s="3">
        <v>45689</v>
      </c>
      <c r="E59" t="s">
        <v>289</v>
      </c>
      <c r="F59" t="s">
        <v>65</v>
      </c>
      <c r="G59" t="s">
        <v>154</v>
      </c>
      <c r="H59" t="s">
        <v>290</v>
      </c>
      <c r="I59" t="s">
        <v>139</v>
      </c>
      <c r="J59" t="s">
        <v>42</v>
      </c>
      <c r="K59" t="s">
        <v>291</v>
      </c>
      <c r="L59" t="s">
        <v>212</v>
      </c>
      <c r="M59" t="s">
        <v>65</v>
      </c>
      <c r="N59" t="s">
        <v>33</v>
      </c>
      <c r="O59" t="s">
        <v>34</v>
      </c>
      <c r="P59" t="s">
        <v>76</v>
      </c>
      <c r="Q59">
        <v>13</v>
      </c>
      <c r="R59">
        <v>391.82</v>
      </c>
      <c r="S59">
        <v>5093.66</v>
      </c>
      <c r="T59">
        <v>6.12</v>
      </c>
      <c r="U59">
        <v>21</v>
      </c>
      <c r="V59">
        <v>21</v>
      </c>
      <c r="W59">
        <v>1519</v>
      </c>
      <c r="X59" t="s">
        <v>3742</v>
      </c>
      <c r="Y59" t="s">
        <v>188</v>
      </c>
      <c r="Z59">
        <v>525.01</v>
      </c>
    </row>
    <row r="60" spans="1:26" x14ac:dyDescent="0.25">
      <c r="A60">
        <v>100058</v>
      </c>
      <c r="B60" s="3">
        <v>45534</v>
      </c>
      <c r="C60" s="3">
        <v>45538</v>
      </c>
      <c r="D60" s="3">
        <v>45542</v>
      </c>
      <c r="E60" t="s">
        <v>292</v>
      </c>
      <c r="F60" t="s">
        <v>38</v>
      </c>
      <c r="G60" t="s">
        <v>83</v>
      </c>
      <c r="H60" t="s">
        <v>293</v>
      </c>
      <c r="I60" t="s">
        <v>207</v>
      </c>
      <c r="J60" t="s">
        <v>80</v>
      </c>
      <c r="K60" t="s">
        <v>294</v>
      </c>
      <c r="L60" t="s">
        <v>91</v>
      </c>
      <c r="M60" t="s">
        <v>65</v>
      </c>
      <c r="N60" t="s">
        <v>102</v>
      </c>
      <c r="O60" t="s">
        <v>103</v>
      </c>
      <c r="P60" t="s">
        <v>68</v>
      </c>
      <c r="Q60">
        <v>84</v>
      </c>
      <c r="R60">
        <v>308.31</v>
      </c>
      <c r="S60">
        <v>25898.04</v>
      </c>
      <c r="T60">
        <v>33.96</v>
      </c>
      <c r="U60">
        <v>4</v>
      </c>
      <c r="V60">
        <v>8</v>
      </c>
      <c r="W60">
        <v>695</v>
      </c>
      <c r="X60" t="s">
        <v>188</v>
      </c>
      <c r="Y60" t="s">
        <v>36</v>
      </c>
      <c r="Z60">
        <v>6069.26</v>
      </c>
    </row>
    <row r="61" spans="1:26" x14ac:dyDescent="0.25">
      <c r="A61">
        <v>100059</v>
      </c>
      <c r="B61" s="3">
        <v>45485</v>
      </c>
      <c r="C61" s="3">
        <v>45487</v>
      </c>
      <c r="D61" s="3">
        <v>45504</v>
      </c>
      <c r="E61" t="s">
        <v>295</v>
      </c>
      <c r="F61" t="s">
        <v>32</v>
      </c>
      <c r="G61" t="s">
        <v>137</v>
      </c>
      <c r="H61" t="s">
        <v>296</v>
      </c>
      <c r="I61" t="s">
        <v>230</v>
      </c>
      <c r="J61" t="s">
        <v>80</v>
      </c>
      <c r="K61" t="s">
        <v>297</v>
      </c>
      <c r="L61" t="s">
        <v>212</v>
      </c>
      <c r="M61" t="s">
        <v>38</v>
      </c>
      <c r="N61" t="s">
        <v>107</v>
      </c>
      <c r="O61" t="s">
        <v>108</v>
      </c>
      <c r="P61" t="s">
        <v>76</v>
      </c>
      <c r="Q61">
        <v>127</v>
      </c>
      <c r="R61">
        <v>260.39999999999998</v>
      </c>
      <c r="S61">
        <v>33070.800000000003</v>
      </c>
      <c r="T61">
        <v>10.33</v>
      </c>
      <c r="U61">
        <v>17</v>
      </c>
      <c r="V61">
        <v>19</v>
      </c>
      <c r="W61">
        <v>773</v>
      </c>
      <c r="X61" t="s">
        <v>188</v>
      </c>
      <c r="Y61" t="s">
        <v>36</v>
      </c>
      <c r="Z61">
        <v>4565.8100000000004</v>
      </c>
    </row>
    <row r="62" spans="1:26" x14ac:dyDescent="0.25">
      <c r="A62">
        <v>100060</v>
      </c>
      <c r="B62" s="3">
        <v>45611</v>
      </c>
      <c r="C62" s="3">
        <v>45616</v>
      </c>
      <c r="D62" s="3">
        <v>45624</v>
      </c>
      <c r="E62" t="s">
        <v>298</v>
      </c>
      <c r="F62" t="s">
        <v>38</v>
      </c>
      <c r="G62" t="s">
        <v>217</v>
      </c>
      <c r="H62" t="s">
        <v>299</v>
      </c>
      <c r="I62" t="s">
        <v>278</v>
      </c>
      <c r="J62" t="s">
        <v>29</v>
      </c>
      <c r="K62" t="s">
        <v>300</v>
      </c>
      <c r="L62" t="s">
        <v>31</v>
      </c>
      <c r="M62" t="s">
        <v>54</v>
      </c>
      <c r="N62" t="s">
        <v>55</v>
      </c>
      <c r="O62" t="s">
        <v>56</v>
      </c>
      <c r="P62" t="s">
        <v>123</v>
      </c>
      <c r="Q62">
        <v>399</v>
      </c>
      <c r="R62">
        <v>47.03</v>
      </c>
      <c r="S62">
        <v>18764.97</v>
      </c>
      <c r="T62">
        <v>20.39</v>
      </c>
      <c r="U62">
        <v>8</v>
      </c>
      <c r="V62">
        <v>13</v>
      </c>
      <c r="W62">
        <v>159</v>
      </c>
      <c r="X62" t="s">
        <v>188</v>
      </c>
      <c r="Y62" t="s">
        <v>36</v>
      </c>
      <c r="Z62">
        <v>2613.1999999999998</v>
      </c>
    </row>
    <row r="63" spans="1:26" x14ac:dyDescent="0.25">
      <c r="A63">
        <v>100061</v>
      </c>
      <c r="B63" s="3">
        <v>45887</v>
      </c>
      <c r="C63" s="3">
        <v>45887</v>
      </c>
      <c r="D63" s="3">
        <v>45894</v>
      </c>
      <c r="E63" t="s">
        <v>301</v>
      </c>
      <c r="F63" t="s">
        <v>54</v>
      </c>
      <c r="G63" t="s">
        <v>129</v>
      </c>
      <c r="H63" t="s">
        <v>302</v>
      </c>
      <c r="I63" t="s">
        <v>230</v>
      </c>
      <c r="J63" t="s">
        <v>80</v>
      </c>
      <c r="K63" t="s">
        <v>303</v>
      </c>
      <c r="L63" t="s">
        <v>118</v>
      </c>
      <c r="M63" t="s">
        <v>54</v>
      </c>
      <c r="N63" t="s">
        <v>66</v>
      </c>
      <c r="O63" t="s">
        <v>67</v>
      </c>
      <c r="P63" t="s">
        <v>68</v>
      </c>
      <c r="Q63">
        <v>428</v>
      </c>
      <c r="R63">
        <v>148.15</v>
      </c>
      <c r="S63">
        <v>63408.2</v>
      </c>
      <c r="T63">
        <v>41.66</v>
      </c>
      <c r="U63">
        <v>7</v>
      </c>
      <c r="V63">
        <v>7</v>
      </c>
      <c r="W63">
        <v>1654</v>
      </c>
      <c r="X63" t="s">
        <v>3741</v>
      </c>
      <c r="Y63" t="s">
        <v>36</v>
      </c>
      <c r="Z63">
        <v>8828.36</v>
      </c>
    </row>
    <row r="64" spans="1:26" x14ac:dyDescent="0.25">
      <c r="A64">
        <v>100062</v>
      </c>
      <c r="B64" s="3">
        <v>45428</v>
      </c>
      <c r="C64" s="3">
        <v>45429</v>
      </c>
      <c r="D64" s="3">
        <v>45440</v>
      </c>
      <c r="E64" t="s">
        <v>304</v>
      </c>
      <c r="F64" t="s">
        <v>65</v>
      </c>
      <c r="G64" t="s">
        <v>142</v>
      </c>
      <c r="H64" t="s">
        <v>305</v>
      </c>
      <c r="I64" t="s">
        <v>134</v>
      </c>
      <c r="J64" t="s">
        <v>52</v>
      </c>
      <c r="K64" t="s">
        <v>306</v>
      </c>
      <c r="L64" t="s">
        <v>44</v>
      </c>
      <c r="M64" t="s">
        <v>32</v>
      </c>
      <c r="N64" t="s">
        <v>107</v>
      </c>
      <c r="O64" t="s">
        <v>108</v>
      </c>
      <c r="P64" t="s">
        <v>35</v>
      </c>
      <c r="Q64">
        <v>276</v>
      </c>
      <c r="R64">
        <v>73.209999999999994</v>
      </c>
      <c r="S64">
        <v>20205.96</v>
      </c>
      <c r="T64">
        <v>20.3</v>
      </c>
      <c r="U64">
        <v>11</v>
      </c>
      <c r="V64">
        <v>12</v>
      </c>
      <c r="W64">
        <v>1514</v>
      </c>
      <c r="X64" t="s">
        <v>188</v>
      </c>
      <c r="Y64" t="s">
        <v>36</v>
      </c>
      <c r="Z64">
        <v>3141.44</v>
      </c>
    </row>
    <row r="65" spans="1:26" x14ac:dyDescent="0.25">
      <c r="A65">
        <v>100063</v>
      </c>
      <c r="B65" s="3">
        <v>45423</v>
      </c>
      <c r="C65" s="3">
        <v>45423</v>
      </c>
      <c r="D65" s="3">
        <v>45445</v>
      </c>
      <c r="E65" t="s">
        <v>307</v>
      </c>
      <c r="F65" t="s">
        <v>32</v>
      </c>
      <c r="G65" t="s">
        <v>273</v>
      </c>
      <c r="H65" t="s">
        <v>308</v>
      </c>
      <c r="I65" t="s">
        <v>41</v>
      </c>
      <c r="J65" t="s">
        <v>42</v>
      </c>
      <c r="K65" t="s">
        <v>309</v>
      </c>
      <c r="L65" t="s">
        <v>31</v>
      </c>
      <c r="M65" t="s">
        <v>54</v>
      </c>
      <c r="N65" t="s">
        <v>55</v>
      </c>
      <c r="O65" t="s">
        <v>56</v>
      </c>
      <c r="P65" t="s">
        <v>76</v>
      </c>
      <c r="Q65">
        <v>431</v>
      </c>
      <c r="R65">
        <v>270.51</v>
      </c>
      <c r="S65">
        <v>116589.81</v>
      </c>
      <c r="T65">
        <v>15.87</v>
      </c>
      <c r="U65">
        <v>22</v>
      </c>
      <c r="V65">
        <v>22</v>
      </c>
      <c r="W65">
        <v>624</v>
      </c>
      <c r="X65" t="s">
        <v>188</v>
      </c>
      <c r="Y65" t="s">
        <v>36</v>
      </c>
      <c r="Z65">
        <v>23994.69</v>
      </c>
    </row>
    <row r="66" spans="1:26" x14ac:dyDescent="0.25">
      <c r="A66">
        <v>100064</v>
      </c>
      <c r="B66" s="3">
        <v>45907</v>
      </c>
      <c r="C66" s="3">
        <v>45909</v>
      </c>
      <c r="D66" s="3">
        <v>45924</v>
      </c>
      <c r="E66" t="s">
        <v>310</v>
      </c>
      <c r="F66" t="s">
        <v>54</v>
      </c>
      <c r="G66" t="s">
        <v>129</v>
      </c>
      <c r="H66" t="s">
        <v>311</v>
      </c>
      <c r="I66" t="s">
        <v>85</v>
      </c>
      <c r="J66" t="s">
        <v>52</v>
      </c>
      <c r="K66" t="s">
        <v>288</v>
      </c>
      <c r="L66" t="s">
        <v>91</v>
      </c>
      <c r="M66" t="s">
        <v>54</v>
      </c>
      <c r="N66" t="s">
        <v>203</v>
      </c>
      <c r="O66" t="s">
        <v>204</v>
      </c>
      <c r="P66" t="s">
        <v>35</v>
      </c>
      <c r="Q66">
        <v>457</v>
      </c>
      <c r="R66">
        <v>21.67</v>
      </c>
      <c r="S66">
        <v>9903.19</v>
      </c>
      <c r="T66">
        <v>18.84</v>
      </c>
      <c r="U66">
        <v>15</v>
      </c>
      <c r="V66">
        <v>17</v>
      </c>
      <c r="W66">
        <v>2235</v>
      </c>
      <c r="X66" t="s">
        <v>3742</v>
      </c>
      <c r="Y66" t="s">
        <v>188</v>
      </c>
      <c r="Z66">
        <v>1412.27</v>
      </c>
    </row>
    <row r="67" spans="1:26" x14ac:dyDescent="0.25">
      <c r="A67">
        <v>100065</v>
      </c>
      <c r="B67" s="3">
        <v>45732</v>
      </c>
      <c r="C67" s="3">
        <v>45732</v>
      </c>
      <c r="D67" s="3">
        <v>45754</v>
      </c>
      <c r="E67" t="s">
        <v>312</v>
      </c>
      <c r="F67" t="s">
        <v>32</v>
      </c>
      <c r="G67" t="s">
        <v>255</v>
      </c>
      <c r="H67" t="s">
        <v>313</v>
      </c>
      <c r="I67" t="s">
        <v>41</v>
      </c>
      <c r="J67" t="s">
        <v>42</v>
      </c>
      <c r="K67" t="s">
        <v>140</v>
      </c>
      <c r="L67" t="s">
        <v>91</v>
      </c>
      <c r="M67" t="s">
        <v>32</v>
      </c>
      <c r="N67" t="s">
        <v>66</v>
      </c>
      <c r="O67" t="s">
        <v>67</v>
      </c>
      <c r="P67" t="s">
        <v>76</v>
      </c>
      <c r="Q67">
        <v>205</v>
      </c>
      <c r="R67">
        <v>282.26</v>
      </c>
      <c r="S67">
        <v>57863.3</v>
      </c>
      <c r="T67">
        <v>8.7100000000000009</v>
      </c>
      <c r="U67">
        <v>22</v>
      </c>
      <c r="V67">
        <v>22</v>
      </c>
      <c r="W67">
        <v>1595</v>
      </c>
      <c r="X67" t="s">
        <v>188</v>
      </c>
      <c r="Y67" t="s">
        <v>36</v>
      </c>
      <c r="Z67">
        <v>5454.06</v>
      </c>
    </row>
    <row r="68" spans="1:26" x14ac:dyDescent="0.25">
      <c r="A68">
        <v>100066</v>
      </c>
      <c r="B68" s="3">
        <v>45519</v>
      </c>
      <c r="C68" s="3">
        <v>45523</v>
      </c>
      <c r="D68" s="3">
        <v>45534</v>
      </c>
      <c r="E68" t="s">
        <v>314</v>
      </c>
      <c r="F68" t="s">
        <v>25</v>
      </c>
      <c r="G68" t="s">
        <v>221</v>
      </c>
      <c r="H68" t="s">
        <v>315</v>
      </c>
      <c r="I68" t="s">
        <v>89</v>
      </c>
      <c r="J68" t="s">
        <v>62</v>
      </c>
      <c r="K68" t="s">
        <v>316</v>
      </c>
      <c r="L68" t="s">
        <v>113</v>
      </c>
      <c r="M68" t="s">
        <v>32</v>
      </c>
      <c r="N68" t="s">
        <v>92</v>
      </c>
      <c r="O68" t="s">
        <v>93</v>
      </c>
      <c r="P68" t="s">
        <v>123</v>
      </c>
      <c r="Q68">
        <v>166</v>
      </c>
      <c r="R68">
        <v>15.32</v>
      </c>
      <c r="S68">
        <v>2543.12</v>
      </c>
      <c r="T68">
        <v>14.73</v>
      </c>
      <c r="U68">
        <v>11</v>
      </c>
      <c r="V68">
        <v>15</v>
      </c>
      <c r="W68">
        <v>3191</v>
      </c>
      <c r="X68" t="s">
        <v>3742</v>
      </c>
      <c r="Y68" t="s">
        <v>57</v>
      </c>
      <c r="Z68">
        <v>310.27</v>
      </c>
    </row>
    <row r="69" spans="1:26" x14ac:dyDescent="0.25">
      <c r="A69">
        <v>100067</v>
      </c>
      <c r="B69" s="3">
        <v>45574</v>
      </c>
      <c r="C69" s="3">
        <v>45578</v>
      </c>
      <c r="D69" s="3">
        <v>45582</v>
      </c>
      <c r="E69" t="s">
        <v>317</v>
      </c>
      <c r="F69" t="s">
        <v>54</v>
      </c>
      <c r="G69" t="s">
        <v>225</v>
      </c>
      <c r="H69" t="s">
        <v>318</v>
      </c>
      <c r="I69" t="s">
        <v>51</v>
      </c>
      <c r="J69" t="s">
        <v>52</v>
      </c>
      <c r="K69" t="s">
        <v>319</v>
      </c>
      <c r="L69" t="s">
        <v>118</v>
      </c>
      <c r="M69" t="s">
        <v>54</v>
      </c>
      <c r="N69" t="s">
        <v>66</v>
      </c>
      <c r="O69" t="s">
        <v>67</v>
      </c>
      <c r="P69" t="s">
        <v>68</v>
      </c>
      <c r="Q69">
        <v>311</v>
      </c>
      <c r="R69">
        <v>58.43</v>
      </c>
      <c r="S69">
        <v>18171.73</v>
      </c>
      <c r="T69">
        <v>36.049999999999997</v>
      </c>
      <c r="U69">
        <v>4</v>
      </c>
      <c r="V69">
        <v>8</v>
      </c>
      <c r="W69">
        <v>2465</v>
      </c>
      <c r="X69" t="s">
        <v>188</v>
      </c>
      <c r="Y69" t="s">
        <v>36</v>
      </c>
      <c r="Z69">
        <v>2231.14</v>
      </c>
    </row>
    <row r="70" spans="1:26" x14ac:dyDescent="0.25">
      <c r="A70">
        <v>100068</v>
      </c>
      <c r="B70" s="3">
        <v>45751</v>
      </c>
      <c r="C70" s="3">
        <v>45754</v>
      </c>
      <c r="D70" s="3">
        <v>45761</v>
      </c>
      <c r="E70" t="s">
        <v>320</v>
      </c>
      <c r="F70" t="s">
        <v>54</v>
      </c>
      <c r="G70" t="s">
        <v>165</v>
      </c>
      <c r="H70" t="s">
        <v>321</v>
      </c>
      <c r="I70" t="s">
        <v>238</v>
      </c>
      <c r="J70" t="s">
        <v>62</v>
      </c>
      <c r="K70" t="s">
        <v>322</v>
      </c>
      <c r="L70" t="s">
        <v>118</v>
      </c>
      <c r="M70" t="s">
        <v>54</v>
      </c>
      <c r="N70" t="s">
        <v>45</v>
      </c>
      <c r="O70" t="s">
        <v>46</v>
      </c>
      <c r="P70" t="s">
        <v>123</v>
      </c>
      <c r="Q70">
        <v>101</v>
      </c>
      <c r="R70">
        <v>21.85</v>
      </c>
      <c r="S70">
        <v>2206.85</v>
      </c>
      <c r="T70">
        <v>9.74</v>
      </c>
      <c r="U70">
        <v>7</v>
      </c>
      <c r="V70">
        <v>10</v>
      </c>
      <c r="W70">
        <v>4446</v>
      </c>
      <c r="X70" t="s">
        <v>188</v>
      </c>
      <c r="Y70" t="s">
        <v>36</v>
      </c>
      <c r="Z70">
        <v>366.14</v>
      </c>
    </row>
    <row r="71" spans="1:26" x14ac:dyDescent="0.25">
      <c r="A71">
        <v>100069</v>
      </c>
      <c r="B71" s="3">
        <v>45904</v>
      </c>
      <c r="C71" s="3">
        <v>45908</v>
      </c>
      <c r="D71" s="3">
        <v>45910</v>
      </c>
      <c r="E71" t="s">
        <v>323</v>
      </c>
      <c r="F71" t="s">
        <v>54</v>
      </c>
      <c r="G71" t="s">
        <v>158</v>
      </c>
      <c r="H71" t="s">
        <v>324</v>
      </c>
      <c r="I71" t="s">
        <v>28</v>
      </c>
      <c r="J71" t="s">
        <v>29</v>
      </c>
      <c r="K71" t="s">
        <v>325</v>
      </c>
      <c r="L71" t="s">
        <v>98</v>
      </c>
      <c r="M71" t="s">
        <v>65</v>
      </c>
      <c r="N71" t="s">
        <v>74</v>
      </c>
      <c r="O71" t="s">
        <v>75</v>
      </c>
      <c r="P71" t="s">
        <v>68</v>
      </c>
      <c r="Q71">
        <v>328</v>
      </c>
      <c r="R71">
        <v>44.26</v>
      </c>
      <c r="S71">
        <v>14517.28</v>
      </c>
      <c r="T71">
        <v>49.77</v>
      </c>
      <c r="U71">
        <v>2</v>
      </c>
      <c r="V71">
        <v>6</v>
      </c>
      <c r="W71">
        <v>2568</v>
      </c>
      <c r="X71" t="s">
        <v>3741</v>
      </c>
      <c r="Y71" t="s">
        <v>36</v>
      </c>
      <c r="Z71">
        <v>1364.39</v>
      </c>
    </row>
    <row r="72" spans="1:26" x14ac:dyDescent="0.25">
      <c r="A72">
        <v>100070</v>
      </c>
      <c r="B72" s="3">
        <v>45727</v>
      </c>
      <c r="C72" s="3">
        <v>45727</v>
      </c>
      <c r="D72" s="3">
        <v>45733</v>
      </c>
      <c r="E72" t="s">
        <v>326</v>
      </c>
      <c r="F72" t="s">
        <v>32</v>
      </c>
      <c r="G72" t="s">
        <v>273</v>
      </c>
      <c r="H72" t="s">
        <v>327</v>
      </c>
      <c r="I72" t="s">
        <v>61</v>
      </c>
      <c r="J72" t="s">
        <v>62</v>
      </c>
      <c r="K72" t="s">
        <v>328</v>
      </c>
      <c r="L72" t="s">
        <v>122</v>
      </c>
      <c r="M72" t="s">
        <v>32</v>
      </c>
      <c r="N72" t="s">
        <v>33</v>
      </c>
      <c r="O72" t="s">
        <v>34</v>
      </c>
      <c r="P72" t="s">
        <v>35</v>
      </c>
      <c r="Q72">
        <v>34</v>
      </c>
      <c r="R72">
        <v>43.86</v>
      </c>
      <c r="S72">
        <v>1491.24</v>
      </c>
      <c r="T72">
        <v>9.9499999999999993</v>
      </c>
      <c r="U72">
        <v>6</v>
      </c>
      <c r="V72">
        <v>6</v>
      </c>
      <c r="W72">
        <v>685</v>
      </c>
      <c r="X72" t="s">
        <v>3741</v>
      </c>
      <c r="Y72" t="s">
        <v>36</v>
      </c>
      <c r="Z72">
        <v>242.66</v>
      </c>
    </row>
    <row r="73" spans="1:26" x14ac:dyDescent="0.25">
      <c r="A73">
        <v>100071</v>
      </c>
      <c r="B73" s="3">
        <v>45470</v>
      </c>
      <c r="C73" s="3">
        <v>45475</v>
      </c>
      <c r="D73" s="3">
        <v>45486</v>
      </c>
      <c r="E73" t="s">
        <v>329</v>
      </c>
      <c r="F73" t="s">
        <v>54</v>
      </c>
      <c r="G73" t="s">
        <v>165</v>
      </c>
      <c r="H73" t="s">
        <v>330</v>
      </c>
      <c r="I73" t="s">
        <v>51</v>
      </c>
      <c r="J73" t="s">
        <v>52</v>
      </c>
      <c r="K73" t="s">
        <v>331</v>
      </c>
      <c r="L73" t="s">
        <v>91</v>
      </c>
      <c r="M73" t="s">
        <v>25</v>
      </c>
      <c r="N73" t="s">
        <v>45</v>
      </c>
      <c r="O73" t="s">
        <v>46</v>
      </c>
      <c r="P73" t="s">
        <v>123</v>
      </c>
      <c r="Q73">
        <v>353</v>
      </c>
      <c r="R73">
        <v>33.54</v>
      </c>
      <c r="S73">
        <v>11839.62</v>
      </c>
      <c r="T73">
        <v>19.27</v>
      </c>
      <c r="U73">
        <v>11</v>
      </c>
      <c r="V73">
        <v>16</v>
      </c>
      <c r="W73">
        <v>4358</v>
      </c>
      <c r="X73" t="s">
        <v>188</v>
      </c>
      <c r="Y73" t="s">
        <v>36</v>
      </c>
      <c r="Z73">
        <v>1136.8499999999999</v>
      </c>
    </row>
    <row r="74" spans="1:26" x14ac:dyDescent="0.25">
      <c r="A74">
        <v>100072</v>
      </c>
      <c r="B74" s="3">
        <v>45375</v>
      </c>
      <c r="C74" s="3">
        <v>45375</v>
      </c>
      <c r="D74" s="3">
        <v>45379</v>
      </c>
      <c r="E74" t="s">
        <v>332</v>
      </c>
      <c r="F74" t="s">
        <v>54</v>
      </c>
      <c r="G74" t="s">
        <v>225</v>
      </c>
      <c r="H74" t="s">
        <v>333</v>
      </c>
      <c r="I74" t="s">
        <v>149</v>
      </c>
      <c r="J74" t="s">
        <v>42</v>
      </c>
      <c r="K74" t="s">
        <v>334</v>
      </c>
      <c r="L74" t="s">
        <v>91</v>
      </c>
      <c r="M74" t="s">
        <v>54</v>
      </c>
      <c r="N74" t="s">
        <v>151</v>
      </c>
      <c r="O74" t="s">
        <v>152</v>
      </c>
      <c r="P74" t="s">
        <v>123</v>
      </c>
      <c r="Q74">
        <v>369</v>
      </c>
      <c r="R74">
        <v>255.86</v>
      </c>
      <c r="S74">
        <v>94412.34</v>
      </c>
      <c r="T74">
        <v>14.56</v>
      </c>
      <c r="U74">
        <v>4</v>
      </c>
      <c r="V74">
        <v>4</v>
      </c>
      <c r="W74">
        <v>1214</v>
      </c>
      <c r="X74" t="s">
        <v>3741</v>
      </c>
      <c r="Y74" t="s">
        <v>36</v>
      </c>
      <c r="Z74">
        <v>18109.73</v>
      </c>
    </row>
    <row r="75" spans="1:26" x14ac:dyDescent="0.25">
      <c r="A75">
        <v>100073</v>
      </c>
      <c r="B75" s="3">
        <v>45961</v>
      </c>
      <c r="C75" s="3">
        <v>45965</v>
      </c>
      <c r="D75" s="3">
        <v>45973</v>
      </c>
      <c r="E75" t="s">
        <v>335</v>
      </c>
      <c r="F75" t="s">
        <v>65</v>
      </c>
      <c r="G75" t="s">
        <v>154</v>
      </c>
      <c r="H75" t="s">
        <v>336</v>
      </c>
      <c r="I75" t="s">
        <v>79</v>
      </c>
      <c r="J75" t="s">
        <v>80</v>
      </c>
      <c r="K75" t="s">
        <v>337</v>
      </c>
      <c r="L75" t="s">
        <v>118</v>
      </c>
      <c r="M75" t="s">
        <v>38</v>
      </c>
      <c r="N75" t="s">
        <v>45</v>
      </c>
      <c r="O75" t="s">
        <v>46</v>
      </c>
      <c r="P75" t="s">
        <v>68</v>
      </c>
      <c r="Q75">
        <v>266</v>
      </c>
      <c r="R75">
        <v>280.41000000000003</v>
      </c>
      <c r="S75">
        <v>74589.06</v>
      </c>
      <c r="T75">
        <v>45.75</v>
      </c>
      <c r="U75">
        <v>8</v>
      </c>
      <c r="V75">
        <v>12</v>
      </c>
      <c r="W75">
        <v>243</v>
      </c>
      <c r="X75" t="s">
        <v>188</v>
      </c>
      <c r="Y75" t="s">
        <v>36</v>
      </c>
      <c r="Z75">
        <v>14836.4</v>
      </c>
    </row>
    <row r="76" spans="1:26" x14ac:dyDescent="0.25">
      <c r="A76">
        <v>100074</v>
      </c>
      <c r="B76" s="3">
        <v>45935</v>
      </c>
      <c r="C76" s="3">
        <v>45935</v>
      </c>
      <c r="D76" s="3">
        <v>45946</v>
      </c>
      <c r="E76" t="s">
        <v>338</v>
      </c>
      <c r="F76" t="s">
        <v>32</v>
      </c>
      <c r="G76" t="s">
        <v>95</v>
      </c>
      <c r="H76" t="s">
        <v>339</v>
      </c>
      <c r="I76" t="s">
        <v>182</v>
      </c>
      <c r="J76" t="s">
        <v>80</v>
      </c>
      <c r="K76" t="s">
        <v>340</v>
      </c>
      <c r="L76" t="s">
        <v>187</v>
      </c>
      <c r="M76" t="s">
        <v>54</v>
      </c>
      <c r="N76" t="s">
        <v>74</v>
      </c>
      <c r="O76" t="s">
        <v>75</v>
      </c>
      <c r="P76" t="s">
        <v>123</v>
      </c>
      <c r="Q76">
        <v>275</v>
      </c>
      <c r="R76">
        <v>123.93</v>
      </c>
      <c r="S76">
        <v>34080.75</v>
      </c>
      <c r="T76">
        <v>17.37</v>
      </c>
      <c r="U76">
        <v>11</v>
      </c>
      <c r="V76">
        <v>11</v>
      </c>
      <c r="W76">
        <v>1951</v>
      </c>
      <c r="X76" t="s">
        <v>188</v>
      </c>
      <c r="Y76" t="s">
        <v>36</v>
      </c>
      <c r="Z76">
        <v>9410.35</v>
      </c>
    </row>
    <row r="77" spans="1:26" x14ac:dyDescent="0.25">
      <c r="A77">
        <v>100075</v>
      </c>
      <c r="B77" s="3">
        <v>45682</v>
      </c>
      <c r="C77" s="3">
        <v>45686</v>
      </c>
      <c r="D77" s="3">
        <v>45701</v>
      </c>
      <c r="E77" t="s">
        <v>341</v>
      </c>
      <c r="F77" t="s">
        <v>32</v>
      </c>
      <c r="G77" t="s">
        <v>180</v>
      </c>
      <c r="H77" t="s">
        <v>342</v>
      </c>
      <c r="I77" t="s">
        <v>230</v>
      </c>
      <c r="J77" t="s">
        <v>80</v>
      </c>
      <c r="K77" t="s">
        <v>268</v>
      </c>
      <c r="L77" t="s">
        <v>212</v>
      </c>
      <c r="M77" t="s">
        <v>38</v>
      </c>
      <c r="N77" t="s">
        <v>151</v>
      </c>
      <c r="O77" t="s">
        <v>152</v>
      </c>
      <c r="P77" t="s">
        <v>123</v>
      </c>
      <c r="Q77">
        <v>248</v>
      </c>
      <c r="R77">
        <v>216.53</v>
      </c>
      <c r="S77">
        <v>53699.44</v>
      </c>
      <c r="T77">
        <v>16.72</v>
      </c>
      <c r="U77">
        <v>15</v>
      </c>
      <c r="V77">
        <v>19</v>
      </c>
      <c r="W77">
        <v>1337</v>
      </c>
      <c r="X77" t="s">
        <v>3742</v>
      </c>
      <c r="Y77" t="s">
        <v>188</v>
      </c>
      <c r="Z77">
        <v>8516.5300000000007</v>
      </c>
    </row>
    <row r="78" spans="1:26" x14ac:dyDescent="0.25">
      <c r="A78">
        <v>100076</v>
      </c>
      <c r="B78" s="3">
        <v>45411</v>
      </c>
      <c r="C78" s="3">
        <v>45416</v>
      </c>
      <c r="D78" s="3">
        <v>45430</v>
      </c>
      <c r="E78" t="s">
        <v>343</v>
      </c>
      <c r="F78" t="s">
        <v>38</v>
      </c>
      <c r="G78" t="s">
        <v>147</v>
      </c>
      <c r="H78" t="s">
        <v>344</v>
      </c>
      <c r="I78" t="s">
        <v>41</v>
      </c>
      <c r="J78" t="s">
        <v>42</v>
      </c>
      <c r="K78" t="s">
        <v>345</v>
      </c>
      <c r="L78" t="s">
        <v>91</v>
      </c>
      <c r="M78" t="s">
        <v>32</v>
      </c>
      <c r="N78" t="s">
        <v>92</v>
      </c>
      <c r="O78" t="s">
        <v>93</v>
      </c>
      <c r="P78" t="s">
        <v>123</v>
      </c>
      <c r="Q78">
        <v>320</v>
      </c>
      <c r="R78">
        <v>409.57</v>
      </c>
      <c r="S78">
        <v>131062.39999999999</v>
      </c>
      <c r="T78">
        <v>18.47</v>
      </c>
      <c r="U78">
        <v>14</v>
      </c>
      <c r="V78">
        <v>19</v>
      </c>
      <c r="W78">
        <v>56</v>
      </c>
      <c r="X78" t="s">
        <v>188</v>
      </c>
      <c r="Y78" t="s">
        <v>36</v>
      </c>
      <c r="Z78">
        <v>26028.6</v>
      </c>
    </row>
    <row r="79" spans="1:26" x14ac:dyDescent="0.25">
      <c r="A79">
        <v>100077</v>
      </c>
      <c r="B79" s="3">
        <v>45839</v>
      </c>
      <c r="C79" s="3">
        <v>45843</v>
      </c>
      <c r="D79" s="3">
        <v>45864</v>
      </c>
      <c r="E79" t="s">
        <v>346</v>
      </c>
      <c r="F79" t="s">
        <v>25</v>
      </c>
      <c r="G79" t="s">
        <v>169</v>
      </c>
      <c r="H79" t="s">
        <v>347</v>
      </c>
      <c r="I79" t="s">
        <v>207</v>
      </c>
      <c r="J79" t="s">
        <v>80</v>
      </c>
      <c r="K79" t="s">
        <v>348</v>
      </c>
      <c r="L79" t="s">
        <v>31</v>
      </c>
      <c r="M79" t="s">
        <v>54</v>
      </c>
      <c r="N79" t="s">
        <v>74</v>
      </c>
      <c r="O79" t="s">
        <v>75</v>
      </c>
      <c r="P79" t="s">
        <v>76</v>
      </c>
      <c r="Q79">
        <v>243</v>
      </c>
      <c r="R79">
        <v>295.77999999999997</v>
      </c>
      <c r="S79">
        <v>71874.539999999994</v>
      </c>
      <c r="T79">
        <v>12.45</v>
      </c>
      <c r="U79">
        <v>21</v>
      </c>
      <c r="V79">
        <v>25</v>
      </c>
      <c r="W79">
        <v>756</v>
      </c>
      <c r="X79" t="s">
        <v>188</v>
      </c>
      <c r="Y79" t="s">
        <v>36</v>
      </c>
      <c r="Z79">
        <v>15790.16</v>
      </c>
    </row>
    <row r="80" spans="1:26" x14ac:dyDescent="0.25">
      <c r="A80">
        <v>100078</v>
      </c>
      <c r="B80" s="3">
        <v>45517</v>
      </c>
      <c r="C80" s="3">
        <v>45521</v>
      </c>
      <c r="D80" s="3">
        <v>45525</v>
      </c>
      <c r="E80" t="s">
        <v>349</v>
      </c>
      <c r="F80" t="s">
        <v>54</v>
      </c>
      <c r="G80" t="s">
        <v>165</v>
      </c>
      <c r="H80" t="s">
        <v>350</v>
      </c>
      <c r="I80" t="s">
        <v>207</v>
      </c>
      <c r="J80" t="s">
        <v>80</v>
      </c>
      <c r="K80" t="s">
        <v>86</v>
      </c>
      <c r="L80" t="s">
        <v>44</v>
      </c>
      <c r="M80" t="s">
        <v>54</v>
      </c>
      <c r="N80" t="s">
        <v>151</v>
      </c>
      <c r="O80" t="s">
        <v>152</v>
      </c>
      <c r="P80" t="s">
        <v>68</v>
      </c>
      <c r="Q80">
        <v>211</v>
      </c>
      <c r="R80">
        <v>215.39</v>
      </c>
      <c r="S80">
        <v>45447.29</v>
      </c>
      <c r="T80">
        <v>31.25</v>
      </c>
      <c r="U80">
        <v>4</v>
      </c>
      <c r="V80">
        <v>8</v>
      </c>
      <c r="W80">
        <v>2156</v>
      </c>
      <c r="X80" t="s">
        <v>188</v>
      </c>
      <c r="Y80" t="s">
        <v>36</v>
      </c>
      <c r="Z80">
        <v>4420.7</v>
      </c>
    </row>
    <row r="81" spans="1:26" x14ac:dyDescent="0.25">
      <c r="A81">
        <v>100079</v>
      </c>
      <c r="B81" s="3">
        <v>45843</v>
      </c>
      <c r="C81" s="3">
        <v>45844</v>
      </c>
      <c r="D81" s="3">
        <v>45854</v>
      </c>
      <c r="E81" t="s">
        <v>351</v>
      </c>
      <c r="F81" t="s">
        <v>65</v>
      </c>
      <c r="G81" t="s">
        <v>70</v>
      </c>
      <c r="H81" t="s">
        <v>352</v>
      </c>
      <c r="I81" t="s">
        <v>41</v>
      </c>
      <c r="J81" t="s">
        <v>42</v>
      </c>
      <c r="K81" t="s">
        <v>353</v>
      </c>
      <c r="L81" t="s">
        <v>187</v>
      </c>
      <c r="M81" t="s">
        <v>32</v>
      </c>
      <c r="N81" t="s">
        <v>45</v>
      </c>
      <c r="O81" t="s">
        <v>46</v>
      </c>
      <c r="P81" t="s">
        <v>35</v>
      </c>
      <c r="Q81">
        <v>13</v>
      </c>
      <c r="R81">
        <v>111.59</v>
      </c>
      <c r="S81">
        <v>1450.67</v>
      </c>
      <c r="T81">
        <v>12.84</v>
      </c>
      <c r="U81">
        <v>10</v>
      </c>
      <c r="V81">
        <v>11</v>
      </c>
      <c r="W81">
        <v>78</v>
      </c>
      <c r="X81" t="s">
        <v>188</v>
      </c>
      <c r="Y81" t="s">
        <v>36</v>
      </c>
      <c r="Z81">
        <v>106.95</v>
      </c>
    </row>
    <row r="82" spans="1:26" x14ac:dyDescent="0.25">
      <c r="A82">
        <v>100080</v>
      </c>
      <c r="B82" s="3">
        <v>45333</v>
      </c>
      <c r="C82" s="3">
        <v>45336</v>
      </c>
      <c r="D82" s="3">
        <v>45346</v>
      </c>
      <c r="E82" t="s">
        <v>354</v>
      </c>
      <c r="F82" t="s">
        <v>38</v>
      </c>
      <c r="G82" t="s">
        <v>49</v>
      </c>
      <c r="H82" t="s">
        <v>355</v>
      </c>
      <c r="I82" t="s">
        <v>191</v>
      </c>
      <c r="J82" t="s">
        <v>62</v>
      </c>
      <c r="K82" t="s">
        <v>356</v>
      </c>
      <c r="L82" t="s">
        <v>113</v>
      </c>
      <c r="M82" t="s">
        <v>25</v>
      </c>
      <c r="N82" t="s">
        <v>55</v>
      </c>
      <c r="O82" t="s">
        <v>56</v>
      </c>
      <c r="P82" t="s">
        <v>35</v>
      </c>
      <c r="Q82">
        <v>495</v>
      </c>
      <c r="R82">
        <v>42.34</v>
      </c>
      <c r="S82">
        <v>20958.3</v>
      </c>
      <c r="T82">
        <v>26.51</v>
      </c>
      <c r="U82">
        <v>10</v>
      </c>
      <c r="V82">
        <v>13</v>
      </c>
      <c r="W82">
        <v>1922</v>
      </c>
      <c r="X82" t="s">
        <v>188</v>
      </c>
      <c r="Y82" t="s">
        <v>36</v>
      </c>
      <c r="Z82">
        <v>1739.83</v>
      </c>
    </row>
    <row r="83" spans="1:26" x14ac:dyDescent="0.25">
      <c r="A83">
        <v>100081</v>
      </c>
      <c r="B83" s="3">
        <v>46022</v>
      </c>
      <c r="C83" s="3">
        <v>46023</v>
      </c>
      <c r="D83" s="3">
        <v>46044</v>
      </c>
      <c r="E83" t="s">
        <v>357</v>
      </c>
      <c r="F83" t="s">
        <v>54</v>
      </c>
      <c r="G83" t="s">
        <v>165</v>
      </c>
      <c r="H83" t="s">
        <v>358</v>
      </c>
      <c r="I83" t="s">
        <v>28</v>
      </c>
      <c r="J83" t="s">
        <v>29</v>
      </c>
      <c r="K83" t="s">
        <v>359</v>
      </c>
      <c r="L83" t="s">
        <v>212</v>
      </c>
      <c r="M83" t="s">
        <v>38</v>
      </c>
      <c r="N83" t="s">
        <v>33</v>
      </c>
      <c r="O83" t="s">
        <v>34</v>
      </c>
      <c r="P83" t="s">
        <v>76</v>
      </c>
      <c r="Q83">
        <v>419</v>
      </c>
      <c r="R83">
        <v>54.48</v>
      </c>
      <c r="S83">
        <v>22827.119999999999</v>
      </c>
      <c r="T83">
        <v>15.66</v>
      </c>
      <c r="U83">
        <v>21</v>
      </c>
      <c r="V83">
        <v>22</v>
      </c>
      <c r="W83">
        <v>851</v>
      </c>
      <c r="X83" t="s">
        <v>3742</v>
      </c>
      <c r="Y83" t="s">
        <v>57</v>
      </c>
      <c r="Z83">
        <v>3026.21</v>
      </c>
    </row>
    <row r="84" spans="1:26" x14ac:dyDescent="0.25">
      <c r="A84">
        <v>100082</v>
      </c>
      <c r="B84" s="3">
        <v>45984</v>
      </c>
      <c r="C84" s="3">
        <v>45987</v>
      </c>
      <c r="D84" s="3">
        <v>45999</v>
      </c>
      <c r="E84" t="s">
        <v>360</v>
      </c>
      <c r="F84" t="s">
        <v>65</v>
      </c>
      <c r="G84" t="s">
        <v>70</v>
      </c>
      <c r="H84" t="s">
        <v>361</v>
      </c>
      <c r="I84" t="s">
        <v>198</v>
      </c>
      <c r="J84" t="s">
        <v>52</v>
      </c>
      <c r="K84" t="s">
        <v>362</v>
      </c>
      <c r="L84" t="s">
        <v>98</v>
      </c>
      <c r="M84" t="s">
        <v>38</v>
      </c>
      <c r="N84" t="s">
        <v>203</v>
      </c>
      <c r="O84" t="s">
        <v>204</v>
      </c>
      <c r="P84" t="s">
        <v>76</v>
      </c>
      <c r="Q84">
        <v>20</v>
      </c>
      <c r="R84">
        <v>37.17</v>
      </c>
      <c r="S84">
        <v>743.4</v>
      </c>
      <c r="T84">
        <v>8.3800000000000008</v>
      </c>
      <c r="U84">
        <v>12</v>
      </c>
      <c r="V84">
        <v>15</v>
      </c>
      <c r="W84">
        <v>1336</v>
      </c>
      <c r="X84" t="s">
        <v>188</v>
      </c>
      <c r="Y84" t="s">
        <v>36</v>
      </c>
      <c r="Z84">
        <v>135.4</v>
      </c>
    </row>
    <row r="85" spans="1:26" x14ac:dyDescent="0.25">
      <c r="A85">
        <v>100083</v>
      </c>
      <c r="B85" s="3">
        <v>45955</v>
      </c>
      <c r="C85" s="3">
        <v>45960</v>
      </c>
      <c r="D85" s="3">
        <v>45969</v>
      </c>
      <c r="E85" t="s">
        <v>363</v>
      </c>
      <c r="F85" t="s">
        <v>32</v>
      </c>
      <c r="G85" t="s">
        <v>364</v>
      </c>
      <c r="H85" t="s">
        <v>365</v>
      </c>
      <c r="I85" t="s">
        <v>85</v>
      </c>
      <c r="J85" t="s">
        <v>52</v>
      </c>
      <c r="K85" t="s">
        <v>208</v>
      </c>
      <c r="L85" t="s">
        <v>44</v>
      </c>
      <c r="M85" t="s">
        <v>65</v>
      </c>
      <c r="N85" t="s">
        <v>55</v>
      </c>
      <c r="O85" t="s">
        <v>56</v>
      </c>
      <c r="P85" t="s">
        <v>123</v>
      </c>
      <c r="Q85">
        <v>248</v>
      </c>
      <c r="R85">
        <v>29.51</v>
      </c>
      <c r="S85">
        <v>7318.48</v>
      </c>
      <c r="T85">
        <v>16.72</v>
      </c>
      <c r="U85">
        <v>9</v>
      </c>
      <c r="V85">
        <v>14</v>
      </c>
      <c r="W85">
        <v>1962</v>
      </c>
      <c r="X85" t="s">
        <v>188</v>
      </c>
      <c r="Y85" t="s">
        <v>36</v>
      </c>
      <c r="Z85">
        <v>1404.39</v>
      </c>
    </row>
    <row r="86" spans="1:26" x14ac:dyDescent="0.25">
      <c r="A86">
        <v>100084</v>
      </c>
      <c r="B86" s="3">
        <v>45492</v>
      </c>
      <c r="C86" s="3">
        <v>45493</v>
      </c>
      <c r="D86" s="3">
        <v>45498</v>
      </c>
      <c r="E86" t="s">
        <v>366</v>
      </c>
      <c r="F86" t="s">
        <v>38</v>
      </c>
      <c r="G86" t="s">
        <v>217</v>
      </c>
      <c r="H86" t="s">
        <v>367</v>
      </c>
      <c r="I86" t="s">
        <v>368</v>
      </c>
      <c r="J86" t="s">
        <v>29</v>
      </c>
      <c r="K86" t="s">
        <v>131</v>
      </c>
      <c r="L86" t="s">
        <v>91</v>
      </c>
      <c r="M86" t="s">
        <v>65</v>
      </c>
      <c r="N86" t="s">
        <v>33</v>
      </c>
      <c r="O86" t="s">
        <v>34</v>
      </c>
      <c r="P86" t="s">
        <v>35</v>
      </c>
      <c r="Q86">
        <v>226</v>
      </c>
      <c r="R86">
        <v>87.54</v>
      </c>
      <c r="S86">
        <v>19784.04</v>
      </c>
      <c r="T86">
        <v>18.88</v>
      </c>
      <c r="U86">
        <v>5</v>
      </c>
      <c r="V86">
        <v>6</v>
      </c>
      <c r="W86">
        <v>1789</v>
      </c>
      <c r="X86" t="s">
        <v>3741</v>
      </c>
      <c r="Y86" t="s">
        <v>36</v>
      </c>
      <c r="Z86">
        <v>5200.55</v>
      </c>
    </row>
    <row r="87" spans="1:26" x14ac:dyDescent="0.25">
      <c r="A87">
        <v>100085</v>
      </c>
      <c r="B87" s="3">
        <v>45463</v>
      </c>
      <c r="C87" s="3">
        <v>45465</v>
      </c>
      <c r="D87" s="3">
        <v>45473</v>
      </c>
      <c r="E87" t="s">
        <v>369</v>
      </c>
      <c r="F87" t="s">
        <v>25</v>
      </c>
      <c r="G87" t="s">
        <v>59</v>
      </c>
      <c r="H87" t="s">
        <v>370</v>
      </c>
      <c r="I87" t="s">
        <v>182</v>
      </c>
      <c r="J87" t="s">
        <v>80</v>
      </c>
      <c r="K87" t="s">
        <v>371</v>
      </c>
      <c r="L87" t="s">
        <v>44</v>
      </c>
      <c r="M87" t="s">
        <v>54</v>
      </c>
      <c r="N87" t="s">
        <v>74</v>
      </c>
      <c r="O87" t="s">
        <v>75</v>
      </c>
      <c r="P87" t="s">
        <v>68</v>
      </c>
      <c r="Q87">
        <v>339</v>
      </c>
      <c r="R87">
        <v>254.07</v>
      </c>
      <c r="S87">
        <v>86129.73</v>
      </c>
      <c r="T87">
        <v>50.48</v>
      </c>
      <c r="U87">
        <v>8</v>
      </c>
      <c r="V87">
        <v>10</v>
      </c>
      <c r="W87">
        <v>1570</v>
      </c>
      <c r="X87" t="s">
        <v>188</v>
      </c>
      <c r="Y87" t="s">
        <v>36</v>
      </c>
      <c r="Z87">
        <v>22314.94</v>
      </c>
    </row>
    <row r="88" spans="1:26" x14ac:dyDescent="0.25">
      <c r="A88">
        <v>100086</v>
      </c>
      <c r="B88" s="3">
        <v>45952</v>
      </c>
      <c r="C88" s="3">
        <v>45952</v>
      </c>
      <c r="D88" s="3">
        <v>45962</v>
      </c>
      <c r="E88" t="s">
        <v>372</v>
      </c>
      <c r="F88" t="s">
        <v>32</v>
      </c>
      <c r="G88" t="s">
        <v>137</v>
      </c>
      <c r="H88" t="s">
        <v>373</v>
      </c>
      <c r="I88" t="s">
        <v>116</v>
      </c>
      <c r="J88" t="s">
        <v>62</v>
      </c>
      <c r="K88" t="s">
        <v>374</v>
      </c>
      <c r="L88" t="s">
        <v>98</v>
      </c>
      <c r="M88" t="s">
        <v>38</v>
      </c>
      <c r="N88" t="s">
        <v>102</v>
      </c>
      <c r="O88" t="s">
        <v>103</v>
      </c>
      <c r="P88" t="s">
        <v>123</v>
      </c>
      <c r="Q88">
        <v>34</v>
      </c>
      <c r="R88">
        <v>45.65</v>
      </c>
      <c r="S88">
        <v>1552.1</v>
      </c>
      <c r="T88">
        <v>11.52</v>
      </c>
      <c r="U88">
        <v>10</v>
      </c>
      <c r="V88">
        <v>10</v>
      </c>
      <c r="W88">
        <v>4026</v>
      </c>
      <c r="X88" t="s">
        <v>3742</v>
      </c>
      <c r="Y88" t="s">
        <v>57</v>
      </c>
      <c r="Z88">
        <v>118.21</v>
      </c>
    </row>
    <row r="89" spans="1:26" x14ac:dyDescent="0.25">
      <c r="A89">
        <v>100087</v>
      </c>
      <c r="B89" s="3">
        <v>45692</v>
      </c>
      <c r="C89" s="3">
        <v>45693</v>
      </c>
      <c r="D89" s="3">
        <v>45701</v>
      </c>
      <c r="E89" t="s">
        <v>375</v>
      </c>
      <c r="F89" t="s">
        <v>54</v>
      </c>
      <c r="G89" t="s">
        <v>129</v>
      </c>
      <c r="H89" t="s">
        <v>376</v>
      </c>
      <c r="I89" t="s">
        <v>134</v>
      </c>
      <c r="J89" t="s">
        <v>52</v>
      </c>
      <c r="K89" t="s">
        <v>377</v>
      </c>
      <c r="L89" t="s">
        <v>64</v>
      </c>
      <c r="M89" t="s">
        <v>32</v>
      </c>
      <c r="N89" t="s">
        <v>33</v>
      </c>
      <c r="O89" t="s">
        <v>34</v>
      </c>
      <c r="P89" t="s">
        <v>123</v>
      </c>
      <c r="Q89">
        <v>126</v>
      </c>
      <c r="R89">
        <v>67.94</v>
      </c>
      <c r="S89">
        <v>8560.44</v>
      </c>
      <c r="T89">
        <v>13.75</v>
      </c>
      <c r="U89">
        <v>8</v>
      </c>
      <c r="V89">
        <v>9</v>
      </c>
      <c r="W89">
        <v>3130</v>
      </c>
      <c r="X89" t="s">
        <v>188</v>
      </c>
      <c r="Y89" t="s">
        <v>36</v>
      </c>
      <c r="Z89">
        <v>1636.31</v>
      </c>
    </row>
    <row r="90" spans="1:26" x14ac:dyDescent="0.25">
      <c r="A90">
        <v>100088</v>
      </c>
      <c r="B90" s="3">
        <v>45663</v>
      </c>
      <c r="C90" s="3">
        <v>45665</v>
      </c>
      <c r="D90" s="3">
        <v>45667</v>
      </c>
      <c r="E90" t="s">
        <v>378</v>
      </c>
      <c r="F90" t="s">
        <v>54</v>
      </c>
      <c r="G90" t="s">
        <v>193</v>
      </c>
      <c r="H90" t="s">
        <v>379</v>
      </c>
      <c r="I90" t="s">
        <v>79</v>
      </c>
      <c r="J90" t="s">
        <v>80</v>
      </c>
      <c r="K90" t="s">
        <v>380</v>
      </c>
      <c r="L90" t="s">
        <v>212</v>
      </c>
      <c r="M90" t="s">
        <v>54</v>
      </c>
      <c r="N90" t="s">
        <v>74</v>
      </c>
      <c r="O90" t="s">
        <v>75</v>
      </c>
      <c r="P90" t="s">
        <v>68</v>
      </c>
      <c r="Q90">
        <v>168</v>
      </c>
      <c r="R90">
        <v>153.06</v>
      </c>
      <c r="S90">
        <v>25714.080000000002</v>
      </c>
      <c r="T90">
        <v>29.18</v>
      </c>
      <c r="U90">
        <v>2</v>
      </c>
      <c r="V90">
        <v>4</v>
      </c>
      <c r="W90">
        <v>1171</v>
      </c>
      <c r="X90" t="s">
        <v>3741</v>
      </c>
      <c r="Y90" t="s">
        <v>36</v>
      </c>
      <c r="Z90">
        <v>5238.1499999999996</v>
      </c>
    </row>
    <row r="91" spans="1:26" x14ac:dyDescent="0.25">
      <c r="A91">
        <v>100089</v>
      </c>
      <c r="B91" s="3">
        <v>45655</v>
      </c>
      <c r="C91" s="3">
        <v>45655</v>
      </c>
      <c r="D91" s="3">
        <v>45660</v>
      </c>
      <c r="E91" t="s">
        <v>381</v>
      </c>
      <c r="F91" t="s">
        <v>54</v>
      </c>
      <c r="G91" t="s">
        <v>165</v>
      </c>
      <c r="H91" t="s">
        <v>382</v>
      </c>
      <c r="I91" t="s">
        <v>61</v>
      </c>
      <c r="J91" t="s">
        <v>62</v>
      </c>
      <c r="K91" t="s">
        <v>383</v>
      </c>
      <c r="L91" t="s">
        <v>31</v>
      </c>
      <c r="M91" t="s">
        <v>65</v>
      </c>
      <c r="N91" t="s">
        <v>107</v>
      </c>
      <c r="O91" t="s">
        <v>108</v>
      </c>
      <c r="P91" t="s">
        <v>35</v>
      </c>
      <c r="Q91">
        <v>170</v>
      </c>
      <c r="R91">
        <v>44.87</v>
      </c>
      <c r="S91">
        <v>7627.9</v>
      </c>
      <c r="T91">
        <v>17.29</v>
      </c>
      <c r="U91">
        <v>5</v>
      </c>
      <c r="V91">
        <v>5</v>
      </c>
      <c r="W91">
        <v>1431</v>
      </c>
      <c r="X91" t="s">
        <v>3742</v>
      </c>
      <c r="Y91" t="s">
        <v>57</v>
      </c>
      <c r="Z91">
        <v>1038.1500000000001</v>
      </c>
    </row>
    <row r="92" spans="1:26" x14ac:dyDescent="0.25">
      <c r="A92">
        <v>100090</v>
      </c>
      <c r="B92" s="3">
        <v>45432</v>
      </c>
      <c r="C92" s="3">
        <v>45433</v>
      </c>
      <c r="D92" s="3">
        <v>45443</v>
      </c>
      <c r="E92" t="s">
        <v>384</v>
      </c>
      <c r="F92" t="s">
        <v>65</v>
      </c>
      <c r="G92" t="s">
        <v>142</v>
      </c>
      <c r="H92" t="s">
        <v>385</v>
      </c>
      <c r="I92" t="s">
        <v>368</v>
      </c>
      <c r="J92" t="s">
        <v>29</v>
      </c>
      <c r="K92" t="s">
        <v>386</v>
      </c>
      <c r="L92" t="s">
        <v>187</v>
      </c>
      <c r="M92" t="s">
        <v>38</v>
      </c>
      <c r="N92" t="s">
        <v>45</v>
      </c>
      <c r="O92" t="s">
        <v>46</v>
      </c>
      <c r="P92" t="s">
        <v>68</v>
      </c>
      <c r="Q92">
        <v>254</v>
      </c>
      <c r="R92">
        <v>62.78</v>
      </c>
      <c r="S92">
        <v>15946.12</v>
      </c>
      <c r="T92">
        <v>44.97</v>
      </c>
      <c r="U92">
        <v>10</v>
      </c>
      <c r="V92">
        <v>11</v>
      </c>
      <c r="W92">
        <v>421</v>
      </c>
      <c r="X92" t="s">
        <v>188</v>
      </c>
      <c r="Y92" t="s">
        <v>36</v>
      </c>
      <c r="Z92">
        <v>3999.84</v>
      </c>
    </row>
    <row r="93" spans="1:26" x14ac:dyDescent="0.25">
      <c r="A93">
        <v>100091</v>
      </c>
      <c r="B93" s="3">
        <v>45650</v>
      </c>
      <c r="C93" s="3">
        <v>45653</v>
      </c>
      <c r="D93" s="3">
        <v>45659</v>
      </c>
      <c r="E93" t="s">
        <v>387</v>
      </c>
      <c r="F93" t="s">
        <v>32</v>
      </c>
      <c r="G93" t="s">
        <v>255</v>
      </c>
      <c r="H93" t="s">
        <v>388</v>
      </c>
      <c r="I93" t="s">
        <v>182</v>
      </c>
      <c r="J93" t="s">
        <v>80</v>
      </c>
      <c r="K93" t="s">
        <v>389</v>
      </c>
      <c r="L93" t="s">
        <v>118</v>
      </c>
      <c r="M93" t="s">
        <v>32</v>
      </c>
      <c r="N93" t="s">
        <v>92</v>
      </c>
      <c r="O93" t="s">
        <v>93</v>
      </c>
      <c r="P93" t="s">
        <v>35</v>
      </c>
      <c r="Q93">
        <v>151</v>
      </c>
      <c r="R93">
        <v>132.07</v>
      </c>
      <c r="S93">
        <v>19942.57</v>
      </c>
      <c r="T93">
        <v>12.41</v>
      </c>
      <c r="U93">
        <v>6</v>
      </c>
      <c r="V93">
        <v>9</v>
      </c>
      <c r="W93">
        <v>2083</v>
      </c>
      <c r="X93" t="s">
        <v>188</v>
      </c>
      <c r="Y93" t="s">
        <v>36</v>
      </c>
      <c r="Z93">
        <v>2265.48</v>
      </c>
    </row>
    <row r="94" spans="1:26" x14ac:dyDescent="0.25">
      <c r="A94">
        <v>100092</v>
      </c>
      <c r="B94" s="3">
        <v>45876</v>
      </c>
      <c r="C94" s="3">
        <v>45876</v>
      </c>
      <c r="D94" s="3">
        <v>45888</v>
      </c>
      <c r="E94" t="s">
        <v>390</v>
      </c>
      <c r="F94" t="s">
        <v>54</v>
      </c>
      <c r="G94" t="s">
        <v>158</v>
      </c>
      <c r="H94" t="s">
        <v>391</v>
      </c>
      <c r="I94" t="s">
        <v>139</v>
      </c>
      <c r="J94" t="s">
        <v>42</v>
      </c>
      <c r="K94" t="s">
        <v>392</v>
      </c>
      <c r="L94" t="s">
        <v>31</v>
      </c>
      <c r="M94" t="s">
        <v>54</v>
      </c>
      <c r="N94" t="s">
        <v>45</v>
      </c>
      <c r="O94" t="s">
        <v>46</v>
      </c>
      <c r="P94" t="s">
        <v>123</v>
      </c>
      <c r="Q94">
        <v>207</v>
      </c>
      <c r="R94">
        <v>443.11</v>
      </c>
      <c r="S94">
        <v>91723.77</v>
      </c>
      <c r="T94">
        <v>11.65</v>
      </c>
      <c r="U94">
        <v>12</v>
      </c>
      <c r="V94">
        <v>12</v>
      </c>
      <c r="W94">
        <v>1392</v>
      </c>
      <c r="X94" t="s">
        <v>188</v>
      </c>
      <c r="Y94" t="s">
        <v>36</v>
      </c>
      <c r="Z94">
        <v>15203.27</v>
      </c>
    </row>
    <row r="95" spans="1:26" x14ac:dyDescent="0.25">
      <c r="A95">
        <v>100093</v>
      </c>
      <c r="B95" s="3">
        <v>45855</v>
      </c>
      <c r="C95" s="3">
        <v>45858</v>
      </c>
      <c r="D95" s="3">
        <v>45861</v>
      </c>
      <c r="E95" t="s">
        <v>393</v>
      </c>
      <c r="F95" t="s">
        <v>38</v>
      </c>
      <c r="G95" t="s">
        <v>83</v>
      </c>
      <c r="H95" t="s">
        <v>394</v>
      </c>
      <c r="I95" t="s">
        <v>79</v>
      </c>
      <c r="J95" t="s">
        <v>80</v>
      </c>
      <c r="K95" t="s">
        <v>395</v>
      </c>
      <c r="L95" t="s">
        <v>118</v>
      </c>
      <c r="M95" t="s">
        <v>65</v>
      </c>
      <c r="N95" t="s">
        <v>203</v>
      </c>
      <c r="O95" t="s">
        <v>204</v>
      </c>
      <c r="P95" t="s">
        <v>68</v>
      </c>
      <c r="Q95">
        <v>375</v>
      </c>
      <c r="R95">
        <v>111.51</v>
      </c>
      <c r="S95">
        <v>41816.25</v>
      </c>
      <c r="T95">
        <v>52.81</v>
      </c>
      <c r="U95">
        <v>3</v>
      </c>
      <c r="V95">
        <v>6</v>
      </c>
      <c r="W95">
        <v>275</v>
      </c>
      <c r="X95" t="s">
        <v>3742</v>
      </c>
      <c r="Y95" t="s">
        <v>57</v>
      </c>
      <c r="Z95">
        <v>11369.85</v>
      </c>
    </row>
    <row r="96" spans="1:26" x14ac:dyDescent="0.25">
      <c r="A96">
        <v>100094</v>
      </c>
      <c r="B96" s="3">
        <v>45808</v>
      </c>
      <c r="C96" s="3">
        <v>45812</v>
      </c>
      <c r="D96" s="3">
        <v>45813</v>
      </c>
      <c r="E96" t="s">
        <v>396</v>
      </c>
      <c r="F96" t="s">
        <v>65</v>
      </c>
      <c r="G96" t="s">
        <v>142</v>
      </c>
      <c r="H96" t="s">
        <v>397</v>
      </c>
      <c r="I96" t="s">
        <v>207</v>
      </c>
      <c r="J96" t="s">
        <v>80</v>
      </c>
      <c r="K96" t="s">
        <v>398</v>
      </c>
      <c r="L96" t="s">
        <v>98</v>
      </c>
      <c r="M96" t="s">
        <v>65</v>
      </c>
      <c r="N96" t="s">
        <v>45</v>
      </c>
      <c r="O96" t="s">
        <v>46</v>
      </c>
      <c r="P96" t="s">
        <v>68</v>
      </c>
      <c r="Q96">
        <v>388</v>
      </c>
      <c r="R96">
        <v>162.84</v>
      </c>
      <c r="S96">
        <v>63181.919999999998</v>
      </c>
      <c r="T96">
        <v>39.74</v>
      </c>
      <c r="U96">
        <v>1</v>
      </c>
      <c r="V96">
        <v>5</v>
      </c>
      <c r="W96">
        <v>899</v>
      </c>
      <c r="X96" t="s">
        <v>3741</v>
      </c>
      <c r="Y96" t="s">
        <v>36</v>
      </c>
      <c r="Z96">
        <v>9097.84</v>
      </c>
    </row>
    <row r="97" spans="1:26" x14ac:dyDescent="0.25">
      <c r="A97">
        <v>100095</v>
      </c>
      <c r="B97" s="3">
        <v>45411</v>
      </c>
      <c r="C97" s="3">
        <v>45415</v>
      </c>
      <c r="D97" s="3">
        <v>45425</v>
      </c>
      <c r="E97" t="s">
        <v>399</v>
      </c>
      <c r="F97" t="s">
        <v>32</v>
      </c>
      <c r="G97" t="s">
        <v>95</v>
      </c>
      <c r="H97" t="s">
        <v>400</v>
      </c>
      <c r="I97" t="s">
        <v>149</v>
      </c>
      <c r="J97" t="s">
        <v>42</v>
      </c>
      <c r="K97" t="s">
        <v>401</v>
      </c>
      <c r="L97" t="s">
        <v>122</v>
      </c>
      <c r="M97" t="s">
        <v>32</v>
      </c>
      <c r="N97" t="s">
        <v>45</v>
      </c>
      <c r="O97" t="s">
        <v>46</v>
      </c>
      <c r="P97" t="s">
        <v>35</v>
      </c>
      <c r="Q97">
        <v>276</v>
      </c>
      <c r="R97">
        <v>402.21</v>
      </c>
      <c r="S97">
        <v>111009.96</v>
      </c>
      <c r="T97">
        <v>15.04</v>
      </c>
      <c r="U97">
        <v>10</v>
      </c>
      <c r="V97">
        <v>14</v>
      </c>
      <c r="W97">
        <v>1396</v>
      </c>
      <c r="X97" t="s">
        <v>188</v>
      </c>
      <c r="Y97" t="s">
        <v>36</v>
      </c>
      <c r="Z97">
        <v>9555.43</v>
      </c>
    </row>
    <row r="98" spans="1:26" x14ac:dyDescent="0.25">
      <c r="A98">
        <v>100096</v>
      </c>
      <c r="B98" s="3">
        <v>45461</v>
      </c>
      <c r="C98" s="3">
        <v>45461</v>
      </c>
      <c r="D98" s="3">
        <v>45472</v>
      </c>
      <c r="E98" t="s">
        <v>402</v>
      </c>
      <c r="F98" t="s">
        <v>65</v>
      </c>
      <c r="G98" t="s">
        <v>142</v>
      </c>
      <c r="H98" t="s">
        <v>403</v>
      </c>
      <c r="I98" t="s">
        <v>144</v>
      </c>
      <c r="J98" t="s">
        <v>52</v>
      </c>
      <c r="K98" t="s">
        <v>404</v>
      </c>
      <c r="L98" t="s">
        <v>212</v>
      </c>
      <c r="M98" t="s">
        <v>65</v>
      </c>
      <c r="N98" t="s">
        <v>33</v>
      </c>
      <c r="O98" t="s">
        <v>34</v>
      </c>
      <c r="P98" t="s">
        <v>123</v>
      </c>
      <c r="Q98">
        <v>472</v>
      </c>
      <c r="R98">
        <v>8.42</v>
      </c>
      <c r="S98">
        <v>3974.24</v>
      </c>
      <c r="T98">
        <v>16.420000000000002</v>
      </c>
      <c r="U98">
        <v>11</v>
      </c>
      <c r="V98">
        <v>11</v>
      </c>
      <c r="W98">
        <v>4172</v>
      </c>
      <c r="X98" t="s">
        <v>188</v>
      </c>
      <c r="Y98" t="s">
        <v>36</v>
      </c>
      <c r="Z98">
        <v>758.86</v>
      </c>
    </row>
    <row r="99" spans="1:26" x14ac:dyDescent="0.25">
      <c r="A99">
        <v>100097</v>
      </c>
      <c r="B99" s="3">
        <v>45884</v>
      </c>
      <c r="C99" s="3">
        <v>45885</v>
      </c>
      <c r="D99" s="3">
        <v>45902</v>
      </c>
      <c r="E99" t="s">
        <v>405</v>
      </c>
      <c r="F99" t="s">
        <v>65</v>
      </c>
      <c r="G99" t="s">
        <v>70</v>
      </c>
      <c r="H99" t="s">
        <v>406</v>
      </c>
      <c r="I99" t="s">
        <v>28</v>
      </c>
      <c r="J99" t="s">
        <v>29</v>
      </c>
      <c r="K99" t="s">
        <v>407</v>
      </c>
      <c r="L99" t="s">
        <v>98</v>
      </c>
      <c r="M99" t="s">
        <v>25</v>
      </c>
      <c r="N99" t="s">
        <v>102</v>
      </c>
      <c r="O99" t="s">
        <v>103</v>
      </c>
      <c r="P99" t="s">
        <v>76</v>
      </c>
      <c r="Q99">
        <v>195</v>
      </c>
      <c r="R99">
        <v>72.849999999999994</v>
      </c>
      <c r="S99">
        <v>14205.75</v>
      </c>
      <c r="T99">
        <v>11.57</v>
      </c>
      <c r="U99">
        <v>17</v>
      </c>
      <c r="V99">
        <v>18</v>
      </c>
      <c r="W99">
        <v>3261</v>
      </c>
      <c r="X99" t="s">
        <v>188</v>
      </c>
      <c r="Y99" t="s">
        <v>36</v>
      </c>
      <c r="Z99">
        <v>2167.67</v>
      </c>
    </row>
    <row r="100" spans="1:26" x14ac:dyDescent="0.25">
      <c r="A100">
        <v>100098</v>
      </c>
      <c r="B100" s="3">
        <v>45438</v>
      </c>
      <c r="C100" s="3">
        <v>45441</v>
      </c>
      <c r="D100" s="3">
        <v>45451</v>
      </c>
      <c r="E100" t="s">
        <v>408</v>
      </c>
      <c r="F100" t="s">
        <v>65</v>
      </c>
      <c r="G100" t="s">
        <v>70</v>
      </c>
      <c r="H100" t="s">
        <v>409</v>
      </c>
      <c r="I100" t="s">
        <v>149</v>
      </c>
      <c r="J100" t="s">
        <v>42</v>
      </c>
      <c r="K100" t="s">
        <v>410</v>
      </c>
      <c r="L100" t="s">
        <v>98</v>
      </c>
      <c r="M100" t="s">
        <v>32</v>
      </c>
      <c r="N100" t="s">
        <v>92</v>
      </c>
      <c r="O100" t="s">
        <v>93</v>
      </c>
      <c r="P100" t="s">
        <v>76</v>
      </c>
      <c r="Q100">
        <v>354</v>
      </c>
      <c r="R100">
        <v>422.74</v>
      </c>
      <c r="S100">
        <v>149649.96</v>
      </c>
      <c r="T100">
        <v>14.47</v>
      </c>
      <c r="U100">
        <v>10</v>
      </c>
      <c r="V100">
        <v>13</v>
      </c>
      <c r="W100">
        <v>405</v>
      </c>
      <c r="X100" t="s">
        <v>188</v>
      </c>
      <c r="Y100" t="s">
        <v>36</v>
      </c>
      <c r="Z100">
        <v>15280.46</v>
      </c>
    </row>
    <row r="101" spans="1:26" x14ac:dyDescent="0.25">
      <c r="A101">
        <v>100099</v>
      </c>
      <c r="B101" s="3">
        <v>45322</v>
      </c>
      <c r="C101" s="3">
        <v>45323</v>
      </c>
      <c r="D101" s="3">
        <v>45329</v>
      </c>
      <c r="E101" t="s">
        <v>411</v>
      </c>
      <c r="F101" t="s">
        <v>25</v>
      </c>
      <c r="G101" t="s">
        <v>221</v>
      </c>
      <c r="H101" t="s">
        <v>412</v>
      </c>
      <c r="I101" t="s">
        <v>177</v>
      </c>
      <c r="J101" t="s">
        <v>29</v>
      </c>
      <c r="K101" t="s">
        <v>413</v>
      </c>
      <c r="L101" t="s">
        <v>113</v>
      </c>
      <c r="M101" t="s">
        <v>54</v>
      </c>
      <c r="N101" t="s">
        <v>74</v>
      </c>
      <c r="O101" t="s">
        <v>75</v>
      </c>
      <c r="P101" t="s">
        <v>35</v>
      </c>
      <c r="Q101">
        <v>215</v>
      </c>
      <c r="R101">
        <v>93.23</v>
      </c>
      <c r="S101">
        <v>20044.45</v>
      </c>
      <c r="T101">
        <v>18.57</v>
      </c>
      <c r="U101">
        <v>6</v>
      </c>
      <c r="V101">
        <v>7</v>
      </c>
      <c r="W101">
        <v>1697</v>
      </c>
      <c r="X101" t="s">
        <v>3742</v>
      </c>
      <c r="Y101" t="s">
        <v>47</v>
      </c>
      <c r="Z101">
        <v>-245.48</v>
      </c>
    </row>
    <row r="102" spans="1:26" x14ac:dyDescent="0.25">
      <c r="A102">
        <v>100100</v>
      </c>
      <c r="B102" s="3">
        <v>45308</v>
      </c>
      <c r="C102" s="3">
        <v>45309</v>
      </c>
      <c r="D102" s="3">
        <v>45334</v>
      </c>
      <c r="E102" t="s">
        <v>414</v>
      </c>
      <c r="F102" t="s">
        <v>25</v>
      </c>
      <c r="G102" t="s">
        <v>169</v>
      </c>
      <c r="H102" t="s">
        <v>415</v>
      </c>
      <c r="I102" t="s">
        <v>416</v>
      </c>
      <c r="J102" t="s">
        <v>80</v>
      </c>
      <c r="K102" t="s">
        <v>30</v>
      </c>
      <c r="L102" t="s">
        <v>44</v>
      </c>
      <c r="M102" t="s">
        <v>54</v>
      </c>
      <c r="N102" t="s">
        <v>92</v>
      </c>
      <c r="O102" t="s">
        <v>93</v>
      </c>
      <c r="P102" t="s">
        <v>76</v>
      </c>
      <c r="Q102">
        <v>423</v>
      </c>
      <c r="R102">
        <v>45.71</v>
      </c>
      <c r="S102">
        <v>19335.330000000002</v>
      </c>
      <c r="T102">
        <v>15.73</v>
      </c>
      <c r="U102">
        <v>25</v>
      </c>
      <c r="V102">
        <v>26</v>
      </c>
      <c r="W102">
        <v>1306</v>
      </c>
      <c r="X102" t="s">
        <v>3742</v>
      </c>
      <c r="Y102" t="s">
        <v>188</v>
      </c>
      <c r="Z102">
        <v>3362.14</v>
      </c>
    </row>
    <row r="103" spans="1:26" x14ac:dyDescent="0.25">
      <c r="A103">
        <v>100101</v>
      </c>
      <c r="B103" s="3">
        <v>45513</v>
      </c>
      <c r="C103" s="3">
        <v>45517</v>
      </c>
      <c r="D103" s="3">
        <v>45524</v>
      </c>
      <c r="E103" t="s">
        <v>417</v>
      </c>
      <c r="F103" t="s">
        <v>38</v>
      </c>
      <c r="G103" t="s">
        <v>217</v>
      </c>
      <c r="H103" t="s">
        <v>418</v>
      </c>
      <c r="I103" t="s">
        <v>191</v>
      </c>
      <c r="J103" t="s">
        <v>62</v>
      </c>
      <c r="K103" t="s">
        <v>419</v>
      </c>
      <c r="L103" t="s">
        <v>212</v>
      </c>
      <c r="M103" t="s">
        <v>65</v>
      </c>
      <c r="N103" t="s">
        <v>33</v>
      </c>
      <c r="O103" t="s">
        <v>34</v>
      </c>
      <c r="P103" t="s">
        <v>35</v>
      </c>
      <c r="Q103">
        <v>333</v>
      </c>
      <c r="R103">
        <v>18.54</v>
      </c>
      <c r="S103">
        <v>6173.82</v>
      </c>
      <c r="T103">
        <v>21.91</v>
      </c>
      <c r="U103">
        <v>7</v>
      </c>
      <c r="V103">
        <v>11</v>
      </c>
      <c r="W103">
        <v>1340</v>
      </c>
      <c r="X103" t="s">
        <v>188</v>
      </c>
      <c r="Y103" t="s">
        <v>36</v>
      </c>
      <c r="Z103">
        <v>26.74</v>
      </c>
    </row>
    <row r="104" spans="1:26" x14ac:dyDescent="0.25">
      <c r="A104">
        <v>100102</v>
      </c>
      <c r="B104" s="3">
        <v>45501</v>
      </c>
      <c r="C104" s="3">
        <v>45502</v>
      </c>
      <c r="D104" s="3">
        <v>45525</v>
      </c>
      <c r="E104" t="s">
        <v>420</v>
      </c>
      <c r="F104" t="s">
        <v>25</v>
      </c>
      <c r="G104" t="s">
        <v>221</v>
      </c>
      <c r="H104" t="s">
        <v>421</v>
      </c>
      <c r="I104" t="s">
        <v>79</v>
      </c>
      <c r="J104" t="s">
        <v>80</v>
      </c>
      <c r="K104" t="s">
        <v>422</v>
      </c>
      <c r="L104" t="s">
        <v>212</v>
      </c>
      <c r="M104" t="s">
        <v>38</v>
      </c>
      <c r="N104" t="s">
        <v>45</v>
      </c>
      <c r="O104" t="s">
        <v>46</v>
      </c>
      <c r="P104" t="s">
        <v>76</v>
      </c>
      <c r="Q104">
        <v>260</v>
      </c>
      <c r="R104">
        <v>80.33</v>
      </c>
      <c r="S104">
        <v>20885.8</v>
      </c>
      <c r="T104">
        <v>12.76</v>
      </c>
      <c r="U104">
        <v>23</v>
      </c>
      <c r="V104">
        <v>24</v>
      </c>
      <c r="W104">
        <v>1080</v>
      </c>
      <c r="X104" t="s">
        <v>188</v>
      </c>
      <c r="Y104" t="s">
        <v>36</v>
      </c>
      <c r="Z104">
        <v>3736.1</v>
      </c>
    </row>
    <row r="105" spans="1:26" x14ac:dyDescent="0.25">
      <c r="A105">
        <v>100103</v>
      </c>
      <c r="B105" s="3">
        <v>45750</v>
      </c>
      <c r="C105" s="3">
        <v>45751</v>
      </c>
      <c r="D105" s="3">
        <v>45761</v>
      </c>
      <c r="E105" t="s">
        <v>423</v>
      </c>
      <c r="F105" t="s">
        <v>54</v>
      </c>
      <c r="G105" t="s">
        <v>129</v>
      </c>
      <c r="H105" t="s">
        <v>424</v>
      </c>
      <c r="I105" t="s">
        <v>368</v>
      </c>
      <c r="J105" t="s">
        <v>29</v>
      </c>
      <c r="K105" t="s">
        <v>425</v>
      </c>
      <c r="L105" t="s">
        <v>91</v>
      </c>
      <c r="M105" t="s">
        <v>65</v>
      </c>
      <c r="N105" t="s">
        <v>55</v>
      </c>
      <c r="O105" t="s">
        <v>56</v>
      </c>
      <c r="P105" t="s">
        <v>123</v>
      </c>
      <c r="Q105">
        <v>406</v>
      </c>
      <c r="R105">
        <v>103.96</v>
      </c>
      <c r="S105">
        <v>42207.76</v>
      </c>
      <c r="T105">
        <v>20.56</v>
      </c>
      <c r="U105">
        <v>10</v>
      </c>
      <c r="V105">
        <v>11</v>
      </c>
      <c r="W105">
        <v>3492</v>
      </c>
      <c r="X105" t="s">
        <v>188</v>
      </c>
      <c r="Y105" t="s">
        <v>36</v>
      </c>
      <c r="Z105">
        <v>6063.85</v>
      </c>
    </row>
    <row r="106" spans="1:26" x14ac:dyDescent="0.25">
      <c r="A106">
        <v>100104</v>
      </c>
      <c r="B106" s="3">
        <v>45375</v>
      </c>
      <c r="C106" s="3">
        <v>45380</v>
      </c>
      <c r="D106" s="3">
        <v>45384</v>
      </c>
      <c r="E106" t="s">
        <v>426</v>
      </c>
      <c r="F106" t="s">
        <v>38</v>
      </c>
      <c r="G106" t="s">
        <v>217</v>
      </c>
      <c r="H106" t="s">
        <v>427</v>
      </c>
      <c r="I106" t="s">
        <v>191</v>
      </c>
      <c r="J106" t="s">
        <v>62</v>
      </c>
      <c r="K106" t="s">
        <v>428</v>
      </c>
      <c r="L106" t="s">
        <v>98</v>
      </c>
      <c r="M106" t="s">
        <v>25</v>
      </c>
      <c r="N106" t="s">
        <v>66</v>
      </c>
      <c r="O106" t="s">
        <v>67</v>
      </c>
      <c r="P106" t="s">
        <v>35</v>
      </c>
      <c r="Q106">
        <v>473</v>
      </c>
      <c r="R106">
        <v>43.58</v>
      </c>
      <c r="S106">
        <v>20613.34</v>
      </c>
      <c r="T106">
        <v>25.88</v>
      </c>
      <c r="U106">
        <v>4</v>
      </c>
      <c r="V106">
        <v>9</v>
      </c>
      <c r="W106">
        <v>4479</v>
      </c>
      <c r="X106" t="s">
        <v>188</v>
      </c>
      <c r="Y106" t="s">
        <v>36</v>
      </c>
      <c r="Z106">
        <v>3641.59</v>
      </c>
    </row>
    <row r="107" spans="1:26" x14ac:dyDescent="0.25">
      <c r="A107">
        <v>100105</v>
      </c>
      <c r="B107" s="3">
        <v>45818</v>
      </c>
      <c r="C107" s="3">
        <v>45819</v>
      </c>
      <c r="D107" s="3">
        <v>45841</v>
      </c>
      <c r="E107" t="s">
        <v>429</v>
      </c>
      <c r="F107" t="s">
        <v>32</v>
      </c>
      <c r="G107" t="s">
        <v>110</v>
      </c>
      <c r="H107" t="s">
        <v>430</v>
      </c>
      <c r="I107" t="s">
        <v>126</v>
      </c>
      <c r="J107" t="s">
        <v>42</v>
      </c>
      <c r="K107" t="s">
        <v>431</v>
      </c>
      <c r="L107" t="s">
        <v>187</v>
      </c>
      <c r="M107" t="s">
        <v>54</v>
      </c>
      <c r="N107" t="s">
        <v>92</v>
      </c>
      <c r="O107" t="s">
        <v>93</v>
      </c>
      <c r="P107" t="s">
        <v>76</v>
      </c>
      <c r="Q107">
        <v>283</v>
      </c>
      <c r="R107">
        <v>397.1</v>
      </c>
      <c r="S107">
        <v>112379.3</v>
      </c>
      <c r="T107">
        <v>13.18</v>
      </c>
      <c r="U107">
        <v>22</v>
      </c>
      <c r="V107">
        <v>23</v>
      </c>
      <c r="W107">
        <v>257</v>
      </c>
      <c r="X107" t="s">
        <v>188</v>
      </c>
      <c r="Y107" t="s">
        <v>36</v>
      </c>
      <c r="Z107">
        <v>12182.02</v>
      </c>
    </row>
    <row r="108" spans="1:26" x14ac:dyDescent="0.25">
      <c r="A108">
        <v>100106</v>
      </c>
      <c r="B108" s="3">
        <v>45811</v>
      </c>
      <c r="C108" s="3">
        <v>45813</v>
      </c>
      <c r="D108" s="3">
        <v>45818</v>
      </c>
      <c r="E108" t="s">
        <v>432</v>
      </c>
      <c r="F108" t="s">
        <v>65</v>
      </c>
      <c r="G108" t="s">
        <v>70</v>
      </c>
      <c r="H108" t="s">
        <v>433</v>
      </c>
      <c r="I108" t="s">
        <v>238</v>
      </c>
      <c r="J108" t="s">
        <v>62</v>
      </c>
      <c r="K108" t="s">
        <v>434</v>
      </c>
      <c r="L108" t="s">
        <v>98</v>
      </c>
      <c r="M108" t="s">
        <v>54</v>
      </c>
      <c r="N108" t="s">
        <v>33</v>
      </c>
      <c r="O108" t="s">
        <v>34</v>
      </c>
      <c r="P108" t="s">
        <v>123</v>
      </c>
      <c r="Q108">
        <v>33</v>
      </c>
      <c r="R108">
        <v>46.44</v>
      </c>
      <c r="S108">
        <v>1532.52</v>
      </c>
      <c r="T108">
        <v>11.49</v>
      </c>
      <c r="U108">
        <v>5</v>
      </c>
      <c r="V108">
        <v>7</v>
      </c>
      <c r="W108">
        <v>3246</v>
      </c>
      <c r="X108" t="s">
        <v>3741</v>
      </c>
      <c r="Y108" t="s">
        <v>36</v>
      </c>
      <c r="Z108">
        <v>65.38</v>
      </c>
    </row>
    <row r="109" spans="1:26" x14ac:dyDescent="0.25">
      <c r="A109">
        <v>100107</v>
      </c>
      <c r="B109" s="3">
        <v>45527</v>
      </c>
      <c r="C109" s="3">
        <v>45530</v>
      </c>
      <c r="D109" s="3">
        <v>45543</v>
      </c>
      <c r="E109" t="s">
        <v>435</v>
      </c>
      <c r="F109" t="s">
        <v>65</v>
      </c>
      <c r="G109" t="s">
        <v>142</v>
      </c>
      <c r="H109" t="s">
        <v>436</v>
      </c>
      <c r="I109" t="s">
        <v>85</v>
      </c>
      <c r="J109" t="s">
        <v>52</v>
      </c>
      <c r="K109" t="s">
        <v>331</v>
      </c>
      <c r="L109" t="s">
        <v>91</v>
      </c>
      <c r="M109" t="s">
        <v>25</v>
      </c>
      <c r="N109" t="s">
        <v>102</v>
      </c>
      <c r="O109" t="s">
        <v>103</v>
      </c>
      <c r="P109" t="s">
        <v>76</v>
      </c>
      <c r="Q109">
        <v>126</v>
      </c>
      <c r="R109">
        <v>56.4</v>
      </c>
      <c r="S109">
        <v>7106.4</v>
      </c>
      <c r="T109">
        <v>10.32</v>
      </c>
      <c r="U109">
        <v>13</v>
      </c>
      <c r="V109">
        <v>16</v>
      </c>
      <c r="W109">
        <v>783</v>
      </c>
      <c r="X109" t="s">
        <v>188</v>
      </c>
      <c r="Y109" t="s">
        <v>36</v>
      </c>
      <c r="Z109">
        <v>497.86</v>
      </c>
    </row>
    <row r="110" spans="1:26" x14ac:dyDescent="0.25">
      <c r="A110">
        <v>100108</v>
      </c>
      <c r="B110" s="3">
        <v>45611</v>
      </c>
      <c r="C110" s="3">
        <v>45612</v>
      </c>
      <c r="D110" s="3">
        <v>45635</v>
      </c>
      <c r="E110" t="s">
        <v>437</v>
      </c>
      <c r="F110" t="s">
        <v>32</v>
      </c>
      <c r="G110" t="s">
        <v>95</v>
      </c>
      <c r="H110" t="s">
        <v>438</v>
      </c>
      <c r="I110" t="s">
        <v>89</v>
      </c>
      <c r="J110" t="s">
        <v>62</v>
      </c>
      <c r="K110" t="s">
        <v>439</v>
      </c>
      <c r="L110" t="s">
        <v>187</v>
      </c>
      <c r="M110" t="s">
        <v>32</v>
      </c>
      <c r="N110" t="s">
        <v>107</v>
      </c>
      <c r="O110" t="s">
        <v>108</v>
      </c>
      <c r="P110" t="s">
        <v>76</v>
      </c>
      <c r="Q110">
        <v>310</v>
      </c>
      <c r="R110">
        <v>39.07</v>
      </c>
      <c r="S110">
        <v>12111.7</v>
      </c>
      <c r="T110">
        <v>10.119999999999999</v>
      </c>
      <c r="U110">
        <v>23</v>
      </c>
      <c r="V110">
        <v>24</v>
      </c>
      <c r="W110">
        <v>2343</v>
      </c>
      <c r="X110" t="s">
        <v>3742</v>
      </c>
      <c r="Y110" t="s">
        <v>57</v>
      </c>
      <c r="Z110">
        <v>1352.03</v>
      </c>
    </row>
    <row r="111" spans="1:26" x14ac:dyDescent="0.25">
      <c r="A111">
        <v>100109</v>
      </c>
      <c r="B111" s="3">
        <v>45692</v>
      </c>
      <c r="C111" s="3">
        <v>45695</v>
      </c>
      <c r="D111" s="3">
        <v>45696</v>
      </c>
      <c r="E111" t="s">
        <v>440</v>
      </c>
      <c r="F111" t="s">
        <v>54</v>
      </c>
      <c r="G111" t="s">
        <v>158</v>
      </c>
      <c r="H111" t="s">
        <v>441</v>
      </c>
      <c r="I111" t="s">
        <v>207</v>
      </c>
      <c r="J111" t="s">
        <v>80</v>
      </c>
      <c r="K111" t="s">
        <v>300</v>
      </c>
      <c r="L111" t="s">
        <v>91</v>
      </c>
      <c r="M111" t="s">
        <v>65</v>
      </c>
      <c r="N111" t="s">
        <v>102</v>
      </c>
      <c r="O111" t="s">
        <v>103</v>
      </c>
      <c r="P111" t="s">
        <v>68</v>
      </c>
      <c r="Q111">
        <v>211</v>
      </c>
      <c r="R111">
        <v>280.5</v>
      </c>
      <c r="S111">
        <v>59185.5</v>
      </c>
      <c r="T111">
        <v>42.18</v>
      </c>
      <c r="U111">
        <v>1</v>
      </c>
      <c r="V111">
        <v>4</v>
      </c>
      <c r="W111">
        <v>291</v>
      </c>
      <c r="X111" t="s">
        <v>3741</v>
      </c>
      <c r="Y111" t="s">
        <v>36</v>
      </c>
      <c r="Z111">
        <v>11962.64</v>
      </c>
    </row>
    <row r="112" spans="1:26" x14ac:dyDescent="0.25">
      <c r="A112">
        <v>100110</v>
      </c>
      <c r="B112" s="3">
        <v>45880</v>
      </c>
      <c r="C112" s="3">
        <v>45883</v>
      </c>
      <c r="D112" s="3">
        <v>45896</v>
      </c>
      <c r="E112" t="s">
        <v>442</v>
      </c>
      <c r="F112" t="s">
        <v>54</v>
      </c>
      <c r="G112" t="s">
        <v>158</v>
      </c>
      <c r="H112" t="s">
        <v>443</v>
      </c>
      <c r="I112" t="s">
        <v>198</v>
      </c>
      <c r="J112" t="s">
        <v>52</v>
      </c>
      <c r="K112" t="s">
        <v>444</v>
      </c>
      <c r="L112" t="s">
        <v>91</v>
      </c>
      <c r="M112" t="s">
        <v>65</v>
      </c>
      <c r="N112" t="s">
        <v>55</v>
      </c>
      <c r="O112" t="s">
        <v>56</v>
      </c>
      <c r="P112" t="s">
        <v>123</v>
      </c>
      <c r="Q112">
        <v>152</v>
      </c>
      <c r="R112">
        <v>24.41</v>
      </c>
      <c r="S112">
        <v>3710.32</v>
      </c>
      <c r="T112">
        <v>14.39</v>
      </c>
      <c r="U112">
        <v>13</v>
      </c>
      <c r="V112">
        <v>16</v>
      </c>
      <c r="W112">
        <v>1086</v>
      </c>
      <c r="X112" t="s">
        <v>188</v>
      </c>
      <c r="Y112" t="s">
        <v>36</v>
      </c>
      <c r="Z112">
        <v>305.25</v>
      </c>
    </row>
    <row r="113" spans="1:26" x14ac:dyDescent="0.25">
      <c r="A113">
        <v>100111</v>
      </c>
      <c r="B113" s="3">
        <v>45300</v>
      </c>
      <c r="C113" s="3">
        <v>45305</v>
      </c>
      <c r="D113" s="3">
        <v>45308</v>
      </c>
      <c r="E113" t="s">
        <v>445</v>
      </c>
      <c r="F113" t="s">
        <v>25</v>
      </c>
      <c r="G113" t="s">
        <v>172</v>
      </c>
      <c r="H113" t="s">
        <v>446</v>
      </c>
      <c r="I113" t="s">
        <v>116</v>
      </c>
      <c r="J113" t="s">
        <v>62</v>
      </c>
      <c r="K113" t="s">
        <v>447</v>
      </c>
      <c r="L113" t="s">
        <v>212</v>
      </c>
      <c r="M113" t="s">
        <v>25</v>
      </c>
      <c r="N113" t="s">
        <v>107</v>
      </c>
      <c r="O113" t="s">
        <v>108</v>
      </c>
      <c r="P113" t="s">
        <v>68</v>
      </c>
      <c r="Q113">
        <v>327</v>
      </c>
      <c r="R113">
        <v>40.25</v>
      </c>
      <c r="S113">
        <v>13161.75</v>
      </c>
      <c r="T113">
        <v>36.82</v>
      </c>
      <c r="U113">
        <v>3</v>
      </c>
      <c r="V113">
        <v>8</v>
      </c>
      <c r="W113">
        <v>4506</v>
      </c>
      <c r="X113" t="s">
        <v>3742</v>
      </c>
      <c r="Y113" t="s">
        <v>57</v>
      </c>
      <c r="Z113">
        <v>2152.3200000000002</v>
      </c>
    </row>
    <row r="114" spans="1:26" x14ac:dyDescent="0.25">
      <c r="A114">
        <v>100112</v>
      </c>
      <c r="B114" s="3">
        <v>45605</v>
      </c>
      <c r="C114" s="3">
        <v>45610</v>
      </c>
      <c r="D114" s="3">
        <v>45619</v>
      </c>
      <c r="E114" t="s">
        <v>448</v>
      </c>
      <c r="F114" t="s">
        <v>32</v>
      </c>
      <c r="G114" t="s">
        <v>137</v>
      </c>
      <c r="H114" t="s">
        <v>449</v>
      </c>
      <c r="I114" t="s">
        <v>51</v>
      </c>
      <c r="J114" t="s">
        <v>52</v>
      </c>
      <c r="K114" t="s">
        <v>239</v>
      </c>
      <c r="L114" t="s">
        <v>98</v>
      </c>
      <c r="M114" t="s">
        <v>32</v>
      </c>
      <c r="N114" t="s">
        <v>55</v>
      </c>
      <c r="O114" t="s">
        <v>56</v>
      </c>
      <c r="P114" t="s">
        <v>35</v>
      </c>
      <c r="Q114">
        <v>96</v>
      </c>
      <c r="R114">
        <v>61.32</v>
      </c>
      <c r="S114">
        <v>5886.72</v>
      </c>
      <c r="T114">
        <v>11.26</v>
      </c>
      <c r="U114">
        <v>9</v>
      </c>
      <c r="V114">
        <v>14</v>
      </c>
      <c r="W114">
        <v>1760</v>
      </c>
      <c r="X114" t="s">
        <v>188</v>
      </c>
      <c r="Y114" t="s">
        <v>36</v>
      </c>
      <c r="Z114">
        <v>1147.6099999999999</v>
      </c>
    </row>
    <row r="115" spans="1:26" x14ac:dyDescent="0.25">
      <c r="A115">
        <v>100113</v>
      </c>
      <c r="B115" s="3">
        <v>45922</v>
      </c>
      <c r="C115" s="3">
        <v>45926</v>
      </c>
      <c r="D115" s="3">
        <v>45941</v>
      </c>
      <c r="E115" t="s">
        <v>450</v>
      </c>
      <c r="F115" t="s">
        <v>54</v>
      </c>
      <c r="G115" t="s">
        <v>158</v>
      </c>
      <c r="H115" t="s">
        <v>451</v>
      </c>
      <c r="I115" t="s">
        <v>207</v>
      </c>
      <c r="J115" t="s">
        <v>80</v>
      </c>
      <c r="K115" t="s">
        <v>452</v>
      </c>
      <c r="L115" t="s">
        <v>91</v>
      </c>
      <c r="M115" t="s">
        <v>65</v>
      </c>
      <c r="N115" t="s">
        <v>74</v>
      </c>
      <c r="O115" t="s">
        <v>75</v>
      </c>
      <c r="P115" t="s">
        <v>123</v>
      </c>
      <c r="Q115">
        <v>159</v>
      </c>
      <c r="R115">
        <v>143.02000000000001</v>
      </c>
      <c r="S115">
        <v>22740.18</v>
      </c>
      <c r="T115">
        <v>14.56</v>
      </c>
      <c r="U115">
        <v>15</v>
      </c>
      <c r="V115">
        <v>19</v>
      </c>
      <c r="W115">
        <v>361</v>
      </c>
      <c r="X115" t="s">
        <v>3742</v>
      </c>
      <c r="Y115" t="s">
        <v>188</v>
      </c>
      <c r="Z115">
        <v>5080.43</v>
      </c>
    </row>
    <row r="116" spans="1:26" x14ac:dyDescent="0.25">
      <c r="A116">
        <v>100114</v>
      </c>
      <c r="B116" s="3">
        <v>45326</v>
      </c>
      <c r="C116" s="3">
        <v>45330</v>
      </c>
      <c r="D116" s="3">
        <v>45339</v>
      </c>
      <c r="E116" t="s">
        <v>453</v>
      </c>
      <c r="F116" t="s">
        <v>32</v>
      </c>
      <c r="G116" t="s">
        <v>95</v>
      </c>
      <c r="H116" t="s">
        <v>454</v>
      </c>
      <c r="I116" t="s">
        <v>182</v>
      </c>
      <c r="J116" t="s">
        <v>80</v>
      </c>
      <c r="K116" t="s">
        <v>455</v>
      </c>
      <c r="L116" t="s">
        <v>98</v>
      </c>
      <c r="M116" t="s">
        <v>54</v>
      </c>
      <c r="N116" t="s">
        <v>102</v>
      </c>
      <c r="O116" t="s">
        <v>103</v>
      </c>
      <c r="P116" t="s">
        <v>35</v>
      </c>
      <c r="Q116">
        <v>413</v>
      </c>
      <c r="R116">
        <v>234.92</v>
      </c>
      <c r="S116">
        <v>97021.96</v>
      </c>
      <c r="T116">
        <v>24.18</v>
      </c>
      <c r="U116">
        <v>9</v>
      </c>
      <c r="V116">
        <v>13</v>
      </c>
      <c r="W116">
        <v>1437</v>
      </c>
      <c r="X116" t="s">
        <v>188</v>
      </c>
      <c r="Y116" t="s">
        <v>36</v>
      </c>
      <c r="Z116">
        <v>20052.39</v>
      </c>
    </row>
    <row r="117" spans="1:26" x14ac:dyDescent="0.25">
      <c r="A117">
        <v>100115</v>
      </c>
      <c r="B117" s="3">
        <v>45908</v>
      </c>
      <c r="C117" s="3">
        <v>45911</v>
      </c>
      <c r="D117" s="3">
        <v>45917</v>
      </c>
      <c r="E117" t="s">
        <v>456</v>
      </c>
      <c r="F117" t="s">
        <v>54</v>
      </c>
      <c r="G117" t="s">
        <v>158</v>
      </c>
      <c r="H117" t="s">
        <v>457</v>
      </c>
      <c r="I117" t="s">
        <v>278</v>
      </c>
      <c r="J117" t="s">
        <v>29</v>
      </c>
      <c r="K117" t="s">
        <v>458</v>
      </c>
      <c r="L117" t="s">
        <v>64</v>
      </c>
      <c r="M117" t="s">
        <v>25</v>
      </c>
      <c r="N117" t="s">
        <v>203</v>
      </c>
      <c r="O117" t="s">
        <v>204</v>
      </c>
      <c r="P117" t="s">
        <v>35</v>
      </c>
      <c r="Q117">
        <v>134</v>
      </c>
      <c r="R117">
        <v>33.17</v>
      </c>
      <c r="S117">
        <v>4444.78</v>
      </c>
      <c r="T117">
        <v>16.27</v>
      </c>
      <c r="U117">
        <v>6</v>
      </c>
      <c r="V117">
        <v>9</v>
      </c>
      <c r="W117">
        <v>3458</v>
      </c>
      <c r="X117" t="s">
        <v>188</v>
      </c>
      <c r="Y117" t="s">
        <v>36</v>
      </c>
      <c r="Z117">
        <v>637.82000000000005</v>
      </c>
    </row>
    <row r="118" spans="1:26" x14ac:dyDescent="0.25">
      <c r="A118">
        <v>100116</v>
      </c>
      <c r="B118" s="3">
        <v>45391</v>
      </c>
      <c r="C118" s="3">
        <v>45396</v>
      </c>
      <c r="D118" s="3">
        <v>45404</v>
      </c>
      <c r="E118" t="s">
        <v>459</v>
      </c>
      <c r="F118" t="s">
        <v>38</v>
      </c>
      <c r="G118" t="s">
        <v>39</v>
      </c>
      <c r="H118" t="s">
        <v>460</v>
      </c>
      <c r="I118" t="s">
        <v>416</v>
      </c>
      <c r="J118" t="s">
        <v>80</v>
      </c>
      <c r="K118" t="s">
        <v>117</v>
      </c>
      <c r="L118" t="s">
        <v>31</v>
      </c>
      <c r="M118" t="s">
        <v>38</v>
      </c>
      <c r="N118" t="s">
        <v>74</v>
      </c>
      <c r="O118" t="s">
        <v>75</v>
      </c>
      <c r="P118" t="s">
        <v>35</v>
      </c>
      <c r="Q118">
        <v>384</v>
      </c>
      <c r="R118">
        <v>168.04</v>
      </c>
      <c r="S118">
        <v>64527.360000000001</v>
      </c>
      <c r="T118">
        <v>17.3</v>
      </c>
      <c r="U118">
        <v>8</v>
      </c>
      <c r="V118">
        <v>13</v>
      </c>
      <c r="W118">
        <v>602</v>
      </c>
      <c r="X118" t="s">
        <v>188</v>
      </c>
      <c r="Y118" t="s">
        <v>36</v>
      </c>
      <c r="Z118">
        <v>12323.48</v>
      </c>
    </row>
    <row r="119" spans="1:26" x14ac:dyDescent="0.25">
      <c r="A119">
        <v>100117</v>
      </c>
      <c r="B119" s="3">
        <v>45375</v>
      </c>
      <c r="C119" s="3">
        <v>45376</v>
      </c>
      <c r="D119" s="3">
        <v>45386</v>
      </c>
      <c r="E119" t="s">
        <v>461</v>
      </c>
      <c r="F119" t="s">
        <v>54</v>
      </c>
      <c r="G119" t="s">
        <v>158</v>
      </c>
      <c r="H119" t="s">
        <v>462</v>
      </c>
      <c r="I119" t="s">
        <v>238</v>
      </c>
      <c r="J119" t="s">
        <v>62</v>
      </c>
      <c r="K119" t="s">
        <v>219</v>
      </c>
      <c r="L119" t="s">
        <v>118</v>
      </c>
      <c r="M119" t="s">
        <v>32</v>
      </c>
      <c r="N119" t="s">
        <v>107</v>
      </c>
      <c r="O119" t="s">
        <v>108</v>
      </c>
      <c r="P119" t="s">
        <v>123</v>
      </c>
      <c r="Q119">
        <v>238</v>
      </c>
      <c r="R119">
        <v>5.41</v>
      </c>
      <c r="S119">
        <v>1287.58</v>
      </c>
      <c r="T119">
        <v>16.48</v>
      </c>
      <c r="U119">
        <v>10</v>
      </c>
      <c r="V119">
        <v>11</v>
      </c>
      <c r="W119">
        <v>4855</v>
      </c>
      <c r="X119" t="s">
        <v>188</v>
      </c>
      <c r="Y119" t="s">
        <v>36</v>
      </c>
      <c r="Z119">
        <v>123.86</v>
      </c>
    </row>
    <row r="120" spans="1:26" x14ac:dyDescent="0.25">
      <c r="A120">
        <v>100118</v>
      </c>
      <c r="B120" s="3">
        <v>45998</v>
      </c>
      <c r="C120" s="3">
        <v>46003</v>
      </c>
      <c r="D120" s="3">
        <v>46016</v>
      </c>
      <c r="E120" t="s">
        <v>463</v>
      </c>
      <c r="F120" t="s">
        <v>54</v>
      </c>
      <c r="G120" t="s">
        <v>158</v>
      </c>
      <c r="H120" t="s">
        <v>464</v>
      </c>
      <c r="I120" t="s">
        <v>149</v>
      </c>
      <c r="J120" t="s">
        <v>42</v>
      </c>
      <c r="K120" t="s">
        <v>265</v>
      </c>
      <c r="L120" t="s">
        <v>31</v>
      </c>
      <c r="M120" t="s">
        <v>32</v>
      </c>
      <c r="N120" t="s">
        <v>107</v>
      </c>
      <c r="O120" t="s">
        <v>108</v>
      </c>
      <c r="P120" t="s">
        <v>123</v>
      </c>
      <c r="Q120">
        <v>285</v>
      </c>
      <c r="R120">
        <v>289.27</v>
      </c>
      <c r="S120">
        <v>82441.95</v>
      </c>
      <c r="T120">
        <v>17.62</v>
      </c>
      <c r="U120">
        <v>13</v>
      </c>
      <c r="V120">
        <v>18</v>
      </c>
      <c r="W120">
        <v>1021</v>
      </c>
      <c r="X120" t="s">
        <v>188</v>
      </c>
      <c r="Y120" t="s">
        <v>36</v>
      </c>
      <c r="Z120">
        <v>5444.45</v>
      </c>
    </row>
    <row r="121" spans="1:26" x14ac:dyDescent="0.25">
      <c r="A121">
        <v>100119</v>
      </c>
      <c r="B121" s="3">
        <v>45495</v>
      </c>
      <c r="C121" s="3">
        <v>45499</v>
      </c>
      <c r="D121" s="3">
        <v>45501</v>
      </c>
      <c r="E121" t="s">
        <v>465</v>
      </c>
      <c r="F121" t="s">
        <v>38</v>
      </c>
      <c r="G121" t="s">
        <v>39</v>
      </c>
      <c r="H121" t="s">
        <v>466</v>
      </c>
      <c r="I121" t="s">
        <v>126</v>
      </c>
      <c r="J121" t="s">
        <v>42</v>
      </c>
      <c r="K121" t="s">
        <v>467</v>
      </c>
      <c r="L121" t="s">
        <v>44</v>
      </c>
      <c r="M121" t="s">
        <v>54</v>
      </c>
      <c r="N121" t="s">
        <v>33</v>
      </c>
      <c r="O121" t="s">
        <v>34</v>
      </c>
      <c r="P121" t="s">
        <v>35</v>
      </c>
      <c r="Q121">
        <v>399</v>
      </c>
      <c r="R121">
        <v>140.28</v>
      </c>
      <c r="S121">
        <v>55971.72</v>
      </c>
      <c r="T121">
        <v>23.79</v>
      </c>
      <c r="U121">
        <v>2</v>
      </c>
      <c r="V121">
        <v>6</v>
      </c>
      <c r="W121">
        <v>1006</v>
      </c>
      <c r="X121" t="s">
        <v>3741</v>
      </c>
      <c r="Y121" t="s">
        <v>36</v>
      </c>
      <c r="Z121">
        <v>5417.55</v>
      </c>
    </row>
    <row r="122" spans="1:26" x14ac:dyDescent="0.25">
      <c r="A122">
        <v>100120</v>
      </c>
      <c r="B122" s="3">
        <v>45573</v>
      </c>
      <c r="C122" s="3">
        <v>45577</v>
      </c>
      <c r="D122" s="3">
        <v>45587</v>
      </c>
      <c r="E122" t="s">
        <v>468</v>
      </c>
      <c r="F122" t="s">
        <v>54</v>
      </c>
      <c r="G122" t="s">
        <v>165</v>
      </c>
      <c r="H122" t="s">
        <v>469</v>
      </c>
      <c r="I122" t="s">
        <v>134</v>
      </c>
      <c r="J122" t="s">
        <v>52</v>
      </c>
      <c r="K122" t="s">
        <v>470</v>
      </c>
      <c r="L122" t="s">
        <v>91</v>
      </c>
      <c r="M122" t="s">
        <v>54</v>
      </c>
      <c r="N122" t="s">
        <v>92</v>
      </c>
      <c r="O122" t="s">
        <v>93</v>
      </c>
      <c r="P122" t="s">
        <v>76</v>
      </c>
      <c r="Q122">
        <v>68</v>
      </c>
      <c r="R122">
        <v>33.92</v>
      </c>
      <c r="S122">
        <v>2306.56</v>
      </c>
      <c r="T122">
        <v>6.86</v>
      </c>
      <c r="U122">
        <v>10</v>
      </c>
      <c r="V122">
        <v>14</v>
      </c>
      <c r="W122">
        <v>1208</v>
      </c>
      <c r="X122" t="s">
        <v>188</v>
      </c>
      <c r="Y122" t="s">
        <v>36</v>
      </c>
      <c r="Z122">
        <v>273.75</v>
      </c>
    </row>
    <row r="123" spans="1:26" x14ac:dyDescent="0.25">
      <c r="A123">
        <v>100121</v>
      </c>
      <c r="B123" s="3">
        <v>45542</v>
      </c>
      <c r="C123" s="3">
        <v>45544</v>
      </c>
      <c r="D123" s="3">
        <v>45567</v>
      </c>
      <c r="E123" t="s">
        <v>471</v>
      </c>
      <c r="F123" t="s">
        <v>54</v>
      </c>
      <c r="G123" t="s">
        <v>225</v>
      </c>
      <c r="H123" t="s">
        <v>472</v>
      </c>
      <c r="I123" t="s">
        <v>61</v>
      </c>
      <c r="J123" t="s">
        <v>62</v>
      </c>
      <c r="K123" t="s">
        <v>473</v>
      </c>
      <c r="L123" t="s">
        <v>31</v>
      </c>
      <c r="M123" t="s">
        <v>38</v>
      </c>
      <c r="N123" t="s">
        <v>102</v>
      </c>
      <c r="O123" t="s">
        <v>103</v>
      </c>
      <c r="P123" t="s">
        <v>76</v>
      </c>
      <c r="Q123">
        <v>48</v>
      </c>
      <c r="R123">
        <v>25.46</v>
      </c>
      <c r="S123">
        <v>1222.08</v>
      </c>
      <c r="T123">
        <v>8.89</v>
      </c>
      <c r="U123">
        <v>23</v>
      </c>
      <c r="V123">
        <v>25</v>
      </c>
      <c r="W123">
        <v>3549</v>
      </c>
      <c r="X123" t="s">
        <v>188</v>
      </c>
      <c r="Y123" t="s">
        <v>36</v>
      </c>
      <c r="Z123">
        <v>72.19</v>
      </c>
    </row>
    <row r="124" spans="1:26" x14ac:dyDescent="0.25">
      <c r="A124">
        <v>100122</v>
      </c>
      <c r="B124" s="3">
        <v>45599</v>
      </c>
      <c r="C124" s="3">
        <v>45600</v>
      </c>
      <c r="D124" s="3">
        <v>45619</v>
      </c>
      <c r="E124" t="s">
        <v>474</v>
      </c>
      <c r="F124" t="s">
        <v>25</v>
      </c>
      <c r="G124" t="s">
        <v>169</v>
      </c>
      <c r="H124" t="s">
        <v>475</v>
      </c>
      <c r="I124" t="s">
        <v>207</v>
      </c>
      <c r="J124" t="s">
        <v>80</v>
      </c>
      <c r="K124" t="s">
        <v>476</v>
      </c>
      <c r="L124" t="s">
        <v>118</v>
      </c>
      <c r="M124" t="s">
        <v>65</v>
      </c>
      <c r="N124" t="s">
        <v>151</v>
      </c>
      <c r="O124" t="s">
        <v>152</v>
      </c>
      <c r="P124" t="s">
        <v>76</v>
      </c>
      <c r="Q124">
        <v>138</v>
      </c>
      <c r="R124">
        <v>266.56</v>
      </c>
      <c r="S124">
        <v>36785.279999999999</v>
      </c>
      <c r="T124">
        <v>10.53</v>
      </c>
      <c r="U124">
        <v>19</v>
      </c>
      <c r="V124">
        <v>20</v>
      </c>
      <c r="W124">
        <v>1431</v>
      </c>
      <c r="X124" t="s">
        <v>188</v>
      </c>
      <c r="Y124" t="s">
        <v>36</v>
      </c>
      <c r="Z124">
        <v>8480.25</v>
      </c>
    </row>
    <row r="125" spans="1:26" x14ac:dyDescent="0.25">
      <c r="A125">
        <v>100123</v>
      </c>
      <c r="B125" s="3">
        <v>45509</v>
      </c>
      <c r="C125" s="3">
        <v>45511</v>
      </c>
      <c r="D125" s="3">
        <v>45516</v>
      </c>
      <c r="E125" t="s">
        <v>477</v>
      </c>
      <c r="F125" t="s">
        <v>65</v>
      </c>
      <c r="G125" t="s">
        <v>142</v>
      </c>
      <c r="H125" t="s">
        <v>478</v>
      </c>
      <c r="I125" t="s">
        <v>51</v>
      </c>
      <c r="J125" t="s">
        <v>52</v>
      </c>
      <c r="K125" t="s">
        <v>428</v>
      </c>
      <c r="L125" t="s">
        <v>122</v>
      </c>
      <c r="M125" t="s">
        <v>54</v>
      </c>
      <c r="N125" t="s">
        <v>102</v>
      </c>
      <c r="O125" t="s">
        <v>103</v>
      </c>
      <c r="P125" t="s">
        <v>68</v>
      </c>
      <c r="Q125">
        <v>241</v>
      </c>
      <c r="R125">
        <v>71.02</v>
      </c>
      <c r="S125">
        <v>17115.82</v>
      </c>
      <c r="T125">
        <v>44.13</v>
      </c>
      <c r="U125">
        <v>5</v>
      </c>
      <c r="V125">
        <v>7</v>
      </c>
      <c r="W125">
        <v>1186</v>
      </c>
      <c r="X125" t="s">
        <v>3741</v>
      </c>
      <c r="Y125" t="s">
        <v>36</v>
      </c>
      <c r="Z125">
        <v>2659.26</v>
      </c>
    </row>
    <row r="126" spans="1:26" x14ac:dyDescent="0.25">
      <c r="A126">
        <v>100124</v>
      </c>
      <c r="B126" s="3">
        <v>45945</v>
      </c>
      <c r="C126" s="3">
        <v>45949</v>
      </c>
      <c r="D126" s="3">
        <v>45957</v>
      </c>
      <c r="E126" t="s">
        <v>479</v>
      </c>
      <c r="F126" t="s">
        <v>65</v>
      </c>
      <c r="G126" t="s">
        <v>154</v>
      </c>
      <c r="H126" t="s">
        <v>480</v>
      </c>
      <c r="I126" t="s">
        <v>144</v>
      </c>
      <c r="J126" t="s">
        <v>52</v>
      </c>
      <c r="K126" t="s">
        <v>242</v>
      </c>
      <c r="L126" t="s">
        <v>91</v>
      </c>
      <c r="M126" t="s">
        <v>54</v>
      </c>
      <c r="N126" t="s">
        <v>74</v>
      </c>
      <c r="O126" t="s">
        <v>75</v>
      </c>
      <c r="P126" t="s">
        <v>123</v>
      </c>
      <c r="Q126">
        <v>463</v>
      </c>
      <c r="R126">
        <v>34.090000000000003</v>
      </c>
      <c r="S126">
        <v>15783.67</v>
      </c>
      <c r="T126">
        <v>21.94</v>
      </c>
      <c r="U126">
        <v>8</v>
      </c>
      <c r="V126">
        <v>12</v>
      </c>
      <c r="W126">
        <v>3432</v>
      </c>
      <c r="X126" t="s">
        <v>188</v>
      </c>
      <c r="Y126" t="s">
        <v>36</v>
      </c>
      <c r="Z126">
        <v>2688.28</v>
      </c>
    </row>
    <row r="127" spans="1:26" x14ac:dyDescent="0.25">
      <c r="A127">
        <v>100125</v>
      </c>
      <c r="B127" s="3">
        <v>45780</v>
      </c>
      <c r="C127" s="3">
        <v>45782</v>
      </c>
      <c r="D127" s="3">
        <v>45795</v>
      </c>
      <c r="E127" t="s">
        <v>481</v>
      </c>
      <c r="F127" t="s">
        <v>32</v>
      </c>
      <c r="G127" t="s">
        <v>110</v>
      </c>
      <c r="H127" t="s">
        <v>482</v>
      </c>
      <c r="I127" t="s">
        <v>230</v>
      </c>
      <c r="J127" t="s">
        <v>80</v>
      </c>
      <c r="K127" t="s">
        <v>483</v>
      </c>
      <c r="L127" t="s">
        <v>91</v>
      </c>
      <c r="M127" t="s">
        <v>25</v>
      </c>
      <c r="N127" t="s">
        <v>74</v>
      </c>
      <c r="O127" t="s">
        <v>75</v>
      </c>
      <c r="P127" t="s">
        <v>76</v>
      </c>
      <c r="Q127">
        <v>111</v>
      </c>
      <c r="R127">
        <v>175.83</v>
      </c>
      <c r="S127">
        <v>19517.13</v>
      </c>
      <c r="T127">
        <v>10.039999999999999</v>
      </c>
      <c r="U127">
        <v>13</v>
      </c>
      <c r="V127">
        <v>15</v>
      </c>
      <c r="W127">
        <v>1050</v>
      </c>
      <c r="X127" t="s">
        <v>188</v>
      </c>
      <c r="Y127" t="s">
        <v>36</v>
      </c>
      <c r="Z127">
        <v>3505.14</v>
      </c>
    </row>
    <row r="128" spans="1:26" x14ac:dyDescent="0.25">
      <c r="A128">
        <v>100126</v>
      </c>
      <c r="B128" s="3">
        <v>45746</v>
      </c>
      <c r="C128" s="3">
        <v>45746</v>
      </c>
      <c r="D128" s="3">
        <v>45754</v>
      </c>
      <c r="E128" t="s">
        <v>484</v>
      </c>
      <c r="F128" t="s">
        <v>54</v>
      </c>
      <c r="G128" t="s">
        <v>129</v>
      </c>
      <c r="H128" t="s">
        <v>485</v>
      </c>
      <c r="I128" t="s">
        <v>61</v>
      </c>
      <c r="J128" t="s">
        <v>62</v>
      </c>
      <c r="K128" t="s">
        <v>486</v>
      </c>
      <c r="L128" t="s">
        <v>187</v>
      </c>
      <c r="M128" t="s">
        <v>32</v>
      </c>
      <c r="N128" t="s">
        <v>102</v>
      </c>
      <c r="O128" t="s">
        <v>103</v>
      </c>
      <c r="P128" t="s">
        <v>123</v>
      </c>
      <c r="Q128">
        <v>102</v>
      </c>
      <c r="R128">
        <v>25.19</v>
      </c>
      <c r="S128">
        <v>2569.38</v>
      </c>
      <c r="T128">
        <v>13.17</v>
      </c>
      <c r="U128">
        <v>8</v>
      </c>
      <c r="V128">
        <v>8</v>
      </c>
      <c r="W128">
        <v>4700</v>
      </c>
      <c r="X128" t="s">
        <v>188</v>
      </c>
      <c r="Y128" t="s">
        <v>36</v>
      </c>
      <c r="Z128">
        <v>120.2</v>
      </c>
    </row>
    <row r="129" spans="1:26" x14ac:dyDescent="0.25">
      <c r="A129">
        <v>100127</v>
      </c>
      <c r="B129" s="3">
        <v>45913</v>
      </c>
      <c r="C129" s="3">
        <v>45918</v>
      </c>
      <c r="D129" s="3">
        <v>45920</v>
      </c>
      <c r="E129" t="s">
        <v>487</v>
      </c>
      <c r="F129" t="s">
        <v>25</v>
      </c>
      <c r="G129" t="s">
        <v>59</v>
      </c>
      <c r="H129" t="s">
        <v>488</v>
      </c>
      <c r="I129" t="s">
        <v>416</v>
      </c>
      <c r="J129" t="s">
        <v>80</v>
      </c>
      <c r="K129" t="s">
        <v>489</v>
      </c>
      <c r="L129" t="s">
        <v>118</v>
      </c>
      <c r="M129" t="s">
        <v>54</v>
      </c>
      <c r="N129" t="s">
        <v>151</v>
      </c>
      <c r="O129" t="s">
        <v>152</v>
      </c>
      <c r="P129" t="s">
        <v>68</v>
      </c>
      <c r="Q129">
        <v>459</v>
      </c>
      <c r="R129">
        <v>188.55</v>
      </c>
      <c r="S129">
        <v>86544.45</v>
      </c>
      <c r="T129">
        <v>58.26</v>
      </c>
      <c r="U129">
        <v>2</v>
      </c>
      <c r="V129">
        <v>7</v>
      </c>
      <c r="W129">
        <v>1227</v>
      </c>
      <c r="X129" t="s">
        <v>3741</v>
      </c>
      <c r="Y129" t="s">
        <v>36</v>
      </c>
      <c r="Z129">
        <v>12390.18</v>
      </c>
    </row>
    <row r="130" spans="1:26" x14ac:dyDescent="0.25">
      <c r="A130">
        <v>100128</v>
      </c>
      <c r="B130" s="3">
        <v>45591</v>
      </c>
      <c r="C130" s="3">
        <v>45594</v>
      </c>
      <c r="D130" s="3">
        <v>45618</v>
      </c>
      <c r="E130" t="s">
        <v>490</v>
      </c>
      <c r="F130" t="s">
        <v>54</v>
      </c>
      <c r="G130" t="s">
        <v>193</v>
      </c>
      <c r="H130" t="s">
        <v>491</v>
      </c>
      <c r="I130" t="s">
        <v>72</v>
      </c>
      <c r="J130" t="s">
        <v>42</v>
      </c>
      <c r="K130" t="s">
        <v>492</v>
      </c>
      <c r="L130" t="s">
        <v>98</v>
      </c>
      <c r="M130" t="s">
        <v>65</v>
      </c>
      <c r="N130" t="s">
        <v>55</v>
      </c>
      <c r="O130" t="s">
        <v>56</v>
      </c>
      <c r="P130" t="s">
        <v>76</v>
      </c>
      <c r="Q130">
        <v>373</v>
      </c>
      <c r="R130">
        <v>432.65</v>
      </c>
      <c r="S130">
        <v>161378.45000000001</v>
      </c>
      <c r="T130">
        <v>14.82</v>
      </c>
      <c r="U130">
        <v>24</v>
      </c>
      <c r="V130">
        <v>27</v>
      </c>
      <c r="W130">
        <v>1054</v>
      </c>
      <c r="X130" t="s">
        <v>188</v>
      </c>
      <c r="Y130" t="s">
        <v>36</v>
      </c>
      <c r="Z130">
        <v>33154.910000000003</v>
      </c>
    </row>
    <row r="131" spans="1:26" x14ac:dyDescent="0.25">
      <c r="A131">
        <v>100129</v>
      </c>
      <c r="B131" s="3">
        <v>45690</v>
      </c>
      <c r="C131" s="3">
        <v>45690</v>
      </c>
      <c r="D131" s="3">
        <v>45697</v>
      </c>
      <c r="E131" t="s">
        <v>493</v>
      </c>
      <c r="F131" t="s">
        <v>25</v>
      </c>
      <c r="G131" t="s">
        <v>59</v>
      </c>
      <c r="H131" t="s">
        <v>494</v>
      </c>
      <c r="I131" t="s">
        <v>368</v>
      </c>
      <c r="J131" t="s">
        <v>29</v>
      </c>
      <c r="K131" t="s">
        <v>495</v>
      </c>
      <c r="L131" t="s">
        <v>91</v>
      </c>
      <c r="M131" t="s">
        <v>65</v>
      </c>
      <c r="N131" t="s">
        <v>92</v>
      </c>
      <c r="O131" t="s">
        <v>93</v>
      </c>
      <c r="P131" t="s">
        <v>123</v>
      </c>
      <c r="Q131">
        <v>343</v>
      </c>
      <c r="R131">
        <v>63.45</v>
      </c>
      <c r="S131">
        <v>21763.35</v>
      </c>
      <c r="T131">
        <v>19.03</v>
      </c>
      <c r="U131">
        <v>7</v>
      </c>
      <c r="V131">
        <v>7</v>
      </c>
      <c r="W131">
        <v>3205</v>
      </c>
      <c r="X131" t="s">
        <v>3741</v>
      </c>
      <c r="Y131" t="s">
        <v>36</v>
      </c>
      <c r="Z131">
        <v>6203.57</v>
      </c>
    </row>
    <row r="132" spans="1:26" x14ac:dyDescent="0.25">
      <c r="A132">
        <v>100130</v>
      </c>
      <c r="B132" s="3">
        <v>45939</v>
      </c>
      <c r="C132" s="3">
        <v>45940</v>
      </c>
      <c r="D132" s="3">
        <v>45945</v>
      </c>
      <c r="E132" t="s">
        <v>496</v>
      </c>
      <c r="F132" t="s">
        <v>38</v>
      </c>
      <c r="G132" t="s">
        <v>217</v>
      </c>
      <c r="H132" t="s">
        <v>497</v>
      </c>
      <c r="I132" t="s">
        <v>238</v>
      </c>
      <c r="J132" t="s">
        <v>62</v>
      </c>
      <c r="K132" t="s">
        <v>498</v>
      </c>
      <c r="L132" t="s">
        <v>31</v>
      </c>
      <c r="M132" t="s">
        <v>25</v>
      </c>
      <c r="N132" t="s">
        <v>203</v>
      </c>
      <c r="O132" t="s">
        <v>204</v>
      </c>
      <c r="P132" t="s">
        <v>35</v>
      </c>
      <c r="Q132">
        <v>272</v>
      </c>
      <c r="R132">
        <v>35.65</v>
      </c>
      <c r="S132">
        <v>9696.7999999999993</v>
      </c>
      <c r="T132">
        <v>20.190000000000001</v>
      </c>
      <c r="U132">
        <v>5</v>
      </c>
      <c r="V132">
        <v>6</v>
      </c>
      <c r="W132">
        <v>3954</v>
      </c>
      <c r="X132" t="s">
        <v>3741</v>
      </c>
      <c r="Y132" t="s">
        <v>36</v>
      </c>
      <c r="Z132">
        <v>698.15</v>
      </c>
    </row>
    <row r="133" spans="1:26" x14ac:dyDescent="0.25">
      <c r="A133">
        <v>100131</v>
      </c>
      <c r="B133" s="3">
        <v>45375</v>
      </c>
      <c r="C133" s="3">
        <v>45378</v>
      </c>
      <c r="D133" s="3">
        <v>45385</v>
      </c>
      <c r="E133" t="s">
        <v>499</v>
      </c>
      <c r="F133" t="s">
        <v>25</v>
      </c>
      <c r="G133" t="s">
        <v>233</v>
      </c>
      <c r="H133" t="s">
        <v>500</v>
      </c>
      <c r="I133" t="s">
        <v>238</v>
      </c>
      <c r="J133" t="s">
        <v>62</v>
      </c>
      <c r="K133" t="s">
        <v>501</v>
      </c>
      <c r="L133" t="s">
        <v>187</v>
      </c>
      <c r="M133" t="s">
        <v>25</v>
      </c>
      <c r="N133" t="s">
        <v>74</v>
      </c>
      <c r="O133" t="s">
        <v>75</v>
      </c>
      <c r="P133" t="s">
        <v>35</v>
      </c>
      <c r="Q133">
        <v>371</v>
      </c>
      <c r="R133">
        <v>10.050000000000001</v>
      </c>
      <c r="S133">
        <v>3728.55</v>
      </c>
      <c r="T133">
        <v>17.03</v>
      </c>
      <c r="U133">
        <v>7</v>
      </c>
      <c r="V133">
        <v>10</v>
      </c>
      <c r="W133">
        <v>1600</v>
      </c>
      <c r="X133" t="s">
        <v>188</v>
      </c>
      <c r="Y133" t="s">
        <v>36</v>
      </c>
      <c r="Z133">
        <v>272.18</v>
      </c>
    </row>
    <row r="134" spans="1:26" x14ac:dyDescent="0.25">
      <c r="A134">
        <v>100132</v>
      </c>
      <c r="B134" s="3">
        <v>45669</v>
      </c>
      <c r="C134" s="3">
        <v>45669</v>
      </c>
      <c r="D134" s="3">
        <v>45678</v>
      </c>
      <c r="E134" t="s">
        <v>502</v>
      </c>
      <c r="F134" t="s">
        <v>65</v>
      </c>
      <c r="G134" t="s">
        <v>154</v>
      </c>
      <c r="H134" t="s">
        <v>503</v>
      </c>
      <c r="I134" t="s">
        <v>177</v>
      </c>
      <c r="J134" t="s">
        <v>29</v>
      </c>
      <c r="K134" t="s">
        <v>504</v>
      </c>
      <c r="L134" t="s">
        <v>122</v>
      </c>
      <c r="M134" t="s">
        <v>32</v>
      </c>
      <c r="N134" t="s">
        <v>102</v>
      </c>
      <c r="O134" t="s">
        <v>103</v>
      </c>
      <c r="P134" t="s">
        <v>35</v>
      </c>
      <c r="Q134">
        <v>59</v>
      </c>
      <c r="R134">
        <v>90.52</v>
      </c>
      <c r="S134">
        <v>5340.68</v>
      </c>
      <c r="T134">
        <v>14.15</v>
      </c>
      <c r="U134">
        <v>9</v>
      </c>
      <c r="V134">
        <v>9</v>
      </c>
      <c r="W134">
        <v>3281</v>
      </c>
      <c r="X134" t="s">
        <v>188</v>
      </c>
      <c r="Y134" t="s">
        <v>36</v>
      </c>
      <c r="Z134">
        <v>1338.81</v>
      </c>
    </row>
    <row r="135" spans="1:26" x14ac:dyDescent="0.25">
      <c r="A135">
        <v>100133</v>
      </c>
      <c r="B135" s="3">
        <v>45730</v>
      </c>
      <c r="C135" s="3">
        <v>45731</v>
      </c>
      <c r="D135" s="3">
        <v>45739</v>
      </c>
      <c r="E135" t="s">
        <v>505</v>
      </c>
      <c r="F135" t="s">
        <v>38</v>
      </c>
      <c r="G135" t="s">
        <v>49</v>
      </c>
      <c r="H135" t="s">
        <v>506</v>
      </c>
      <c r="I135" t="s">
        <v>191</v>
      </c>
      <c r="J135" t="s">
        <v>62</v>
      </c>
      <c r="K135" t="s">
        <v>300</v>
      </c>
      <c r="L135" t="s">
        <v>44</v>
      </c>
      <c r="M135" t="s">
        <v>38</v>
      </c>
      <c r="N135" t="s">
        <v>203</v>
      </c>
      <c r="O135" t="s">
        <v>204</v>
      </c>
      <c r="P135" t="s">
        <v>123</v>
      </c>
      <c r="Q135">
        <v>128</v>
      </c>
      <c r="R135">
        <v>29.09</v>
      </c>
      <c r="S135">
        <v>3723.52</v>
      </c>
      <c r="T135">
        <v>10.220000000000001</v>
      </c>
      <c r="U135">
        <v>8</v>
      </c>
      <c r="V135">
        <v>9</v>
      </c>
      <c r="W135">
        <v>961</v>
      </c>
      <c r="X135" t="s">
        <v>3742</v>
      </c>
      <c r="Y135" t="s">
        <v>47</v>
      </c>
      <c r="Z135">
        <v>-141.21</v>
      </c>
    </row>
    <row r="136" spans="1:26" x14ac:dyDescent="0.25">
      <c r="A136">
        <v>100134</v>
      </c>
      <c r="B136" s="3">
        <v>45941</v>
      </c>
      <c r="C136" s="3">
        <v>45941</v>
      </c>
      <c r="D136" s="3">
        <v>45964</v>
      </c>
      <c r="E136" t="s">
        <v>507</v>
      </c>
      <c r="F136" t="s">
        <v>54</v>
      </c>
      <c r="G136" t="s">
        <v>225</v>
      </c>
      <c r="H136" t="s">
        <v>508</v>
      </c>
      <c r="I136" t="s">
        <v>191</v>
      </c>
      <c r="J136" t="s">
        <v>62</v>
      </c>
      <c r="K136" t="s">
        <v>509</v>
      </c>
      <c r="L136" t="s">
        <v>113</v>
      </c>
      <c r="M136" t="s">
        <v>65</v>
      </c>
      <c r="N136" t="s">
        <v>92</v>
      </c>
      <c r="O136" t="s">
        <v>93</v>
      </c>
      <c r="P136" t="s">
        <v>76</v>
      </c>
      <c r="Q136">
        <v>329</v>
      </c>
      <c r="R136">
        <v>11.14</v>
      </c>
      <c r="S136">
        <v>3665.06</v>
      </c>
      <c r="T136">
        <v>14.02</v>
      </c>
      <c r="U136">
        <v>23</v>
      </c>
      <c r="V136">
        <v>23</v>
      </c>
      <c r="W136">
        <v>4029</v>
      </c>
      <c r="X136" t="s">
        <v>188</v>
      </c>
      <c r="Y136" t="s">
        <v>36</v>
      </c>
      <c r="Z136">
        <v>511.14</v>
      </c>
    </row>
    <row r="137" spans="1:26" x14ac:dyDescent="0.25">
      <c r="A137">
        <v>100135</v>
      </c>
      <c r="B137" s="3">
        <v>45571</v>
      </c>
      <c r="C137" s="3">
        <v>45574</v>
      </c>
      <c r="D137" s="3">
        <v>45577</v>
      </c>
      <c r="E137" t="s">
        <v>510</v>
      </c>
      <c r="F137" t="s">
        <v>25</v>
      </c>
      <c r="G137" t="s">
        <v>59</v>
      </c>
      <c r="H137" t="s">
        <v>511</v>
      </c>
      <c r="I137" t="s">
        <v>207</v>
      </c>
      <c r="J137" t="s">
        <v>80</v>
      </c>
      <c r="K137" t="s">
        <v>512</v>
      </c>
      <c r="L137" t="s">
        <v>118</v>
      </c>
      <c r="M137" t="s">
        <v>32</v>
      </c>
      <c r="N137" t="s">
        <v>33</v>
      </c>
      <c r="O137" t="s">
        <v>34</v>
      </c>
      <c r="P137" t="s">
        <v>68</v>
      </c>
      <c r="Q137">
        <v>176</v>
      </c>
      <c r="R137">
        <v>279.51</v>
      </c>
      <c r="S137">
        <v>49193.760000000002</v>
      </c>
      <c r="T137">
        <v>39.92</v>
      </c>
      <c r="U137">
        <v>3</v>
      </c>
      <c r="V137">
        <v>6</v>
      </c>
      <c r="W137">
        <v>85</v>
      </c>
      <c r="X137" t="s">
        <v>3741</v>
      </c>
      <c r="Y137" t="s">
        <v>36</v>
      </c>
      <c r="Z137">
        <v>7373.52</v>
      </c>
    </row>
    <row r="138" spans="1:26" x14ac:dyDescent="0.25">
      <c r="A138">
        <v>100136</v>
      </c>
      <c r="B138" s="3">
        <v>45361</v>
      </c>
      <c r="C138" s="3">
        <v>45361</v>
      </c>
      <c r="D138" s="3">
        <v>45373</v>
      </c>
      <c r="E138" t="s">
        <v>513</v>
      </c>
      <c r="F138" t="s">
        <v>65</v>
      </c>
      <c r="G138" t="s">
        <v>142</v>
      </c>
      <c r="H138" t="s">
        <v>514</v>
      </c>
      <c r="I138" t="s">
        <v>177</v>
      </c>
      <c r="J138" t="s">
        <v>29</v>
      </c>
      <c r="K138" t="s">
        <v>515</v>
      </c>
      <c r="L138" t="s">
        <v>98</v>
      </c>
      <c r="M138" t="s">
        <v>54</v>
      </c>
      <c r="N138" t="s">
        <v>107</v>
      </c>
      <c r="O138" t="s">
        <v>108</v>
      </c>
      <c r="P138" t="s">
        <v>123</v>
      </c>
      <c r="Q138">
        <v>437</v>
      </c>
      <c r="R138">
        <v>35.71</v>
      </c>
      <c r="S138">
        <v>15605.27</v>
      </c>
      <c r="T138">
        <v>21.31</v>
      </c>
      <c r="U138">
        <v>12</v>
      </c>
      <c r="V138">
        <v>12</v>
      </c>
      <c r="W138">
        <v>2346</v>
      </c>
      <c r="X138" t="s">
        <v>3742</v>
      </c>
      <c r="Y138" t="s">
        <v>188</v>
      </c>
      <c r="Z138">
        <v>3389.42</v>
      </c>
    </row>
    <row r="139" spans="1:26" x14ac:dyDescent="0.25">
      <c r="A139">
        <v>100137</v>
      </c>
      <c r="B139" s="3">
        <v>45672</v>
      </c>
      <c r="C139" s="3">
        <v>45673</v>
      </c>
      <c r="D139" s="3">
        <v>45685</v>
      </c>
      <c r="E139" t="s">
        <v>516</v>
      </c>
      <c r="F139" t="s">
        <v>54</v>
      </c>
      <c r="G139" t="s">
        <v>129</v>
      </c>
      <c r="H139" t="s">
        <v>517</v>
      </c>
      <c r="I139" t="s">
        <v>126</v>
      </c>
      <c r="J139" t="s">
        <v>42</v>
      </c>
      <c r="K139" t="s">
        <v>518</v>
      </c>
      <c r="L139" t="s">
        <v>91</v>
      </c>
      <c r="M139" t="s">
        <v>38</v>
      </c>
      <c r="N139" t="s">
        <v>74</v>
      </c>
      <c r="O139" t="s">
        <v>75</v>
      </c>
      <c r="P139" t="s">
        <v>76</v>
      </c>
      <c r="Q139">
        <v>218</v>
      </c>
      <c r="R139">
        <v>448.24</v>
      </c>
      <c r="S139">
        <v>97716.32</v>
      </c>
      <c r="T139">
        <v>11.99</v>
      </c>
      <c r="U139">
        <v>12</v>
      </c>
      <c r="V139">
        <v>13</v>
      </c>
      <c r="W139">
        <v>1544</v>
      </c>
      <c r="X139" t="s">
        <v>3742</v>
      </c>
      <c r="Y139" t="s">
        <v>57</v>
      </c>
      <c r="Z139">
        <v>15497.7</v>
      </c>
    </row>
    <row r="140" spans="1:26" x14ac:dyDescent="0.25">
      <c r="A140">
        <v>100138</v>
      </c>
      <c r="B140" s="3">
        <v>45768</v>
      </c>
      <c r="C140" s="3">
        <v>45768</v>
      </c>
      <c r="D140" s="3">
        <v>45772</v>
      </c>
      <c r="E140" t="s">
        <v>519</v>
      </c>
      <c r="F140" t="s">
        <v>65</v>
      </c>
      <c r="G140" t="s">
        <v>70</v>
      </c>
      <c r="H140" t="s">
        <v>520</v>
      </c>
      <c r="I140" t="s">
        <v>207</v>
      </c>
      <c r="J140" t="s">
        <v>80</v>
      </c>
      <c r="K140" t="s">
        <v>521</v>
      </c>
      <c r="L140" t="s">
        <v>187</v>
      </c>
      <c r="M140" t="s">
        <v>38</v>
      </c>
      <c r="N140" t="s">
        <v>151</v>
      </c>
      <c r="O140" t="s">
        <v>152</v>
      </c>
      <c r="P140" t="s">
        <v>68</v>
      </c>
      <c r="Q140">
        <v>405</v>
      </c>
      <c r="R140">
        <v>344.18</v>
      </c>
      <c r="S140">
        <v>139392.9</v>
      </c>
      <c r="T140">
        <v>54.76</v>
      </c>
      <c r="U140">
        <v>4</v>
      </c>
      <c r="V140">
        <v>4</v>
      </c>
      <c r="W140">
        <v>1729</v>
      </c>
      <c r="X140" t="s">
        <v>3741</v>
      </c>
      <c r="Y140" t="s">
        <v>36</v>
      </c>
      <c r="Z140">
        <v>32413.84</v>
      </c>
    </row>
    <row r="141" spans="1:26" x14ac:dyDescent="0.25">
      <c r="A141">
        <v>100139</v>
      </c>
      <c r="B141" s="3">
        <v>45539</v>
      </c>
      <c r="C141" s="3">
        <v>45542</v>
      </c>
      <c r="D141" s="3">
        <v>45546</v>
      </c>
      <c r="E141" t="s">
        <v>522</v>
      </c>
      <c r="F141" t="s">
        <v>65</v>
      </c>
      <c r="G141" t="s">
        <v>70</v>
      </c>
      <c r="H141" t="s">
        <v>523</v>
      </c>
      <c r="I141" t="s">
        <v>134</v>
      </c>
      <c r="J141" t="s">
        <v>52</v>
      </c>
      <c r="K141" t="s">
        <v>524</v>
      </c>
      <c r="L141" t="s">
        <v>31</v>
      </c>
      <c r="M141" t="s">
        <v>32</v>
      </c>
      <c r="N141" t="s">
        <v>55</v>
      </c>
      <c r="O141" t="s">
        <v>56</v>
      </c>
      <c r="P141" t="s">
        <v>123</v>
      </c>
      <c r="Q141">
        <v>475</v>
      </c>
      <c r="R141">
        <v>72.61</v>
      </c>
      <c r="S141">
        <v>34489.75</v>
      </c>
      <c r="T141">
        <v>22.23</v>
      </c>
      <c r="U141">
        <v>4</v>
      </c>
      <c r="V141">
        <v>7</v>
      </c>
      <c r="W141">
        <v>1212</v>
      </c>
      <c r="X141" t="s">
        <v>3741</v>
      </c>
      <c r="Y141" t="s">
        <v>36</v>
      </c>
      <c r="Z141">
        <v>2655.14</v>
      </c>
    </row>
    <row r="142" spans="1:26" x14ac:dyDescent="0.25">
      <c r="A142">
        <v>100140</v>
      </c>
      <c r="B142" s="3">
        <v>45405</v>
      </c>
      <c r="C142" s="3">
        <v>45409</v>
      </c>
      <c r="D142" s="3">
        <v>45411</v>
      </c>
      <c r="E142" t="s">
        <v>525</v>
      </c>
      <c r="F142" t="s">
        <v>32</v>
      </c>
      <c r="G142" t="s">
        <v>255</v>
      </c>
      <c r="H142" t="s">
        <v>526</v>
      </c>
      <c r="I142" t="s">
        <v>41</v>
      </c>
      <c r="J142" t="s">
        <v>42</v>
      </c>
      <c r="K142" t="s">
        <v>268</v>
      </c>
      <c r="L142" t="s">
        <v>98</v>
      </c>
      <c r="M142" t="s">
        <v>54</v>
      </c>
      <c r="N142" t="s">
        <v>151</v>
      </c>
      <c r="O142" t="s">
        <v>152</v>
      </c>
      <c r="P142" t="s">
        <v>68</v>
      </c>
      <c r="Q142">
        <v>466</v>
      </c>
      <c r="R142">
        <v>258.79000000000002</v>
      </c>
      <c r="S142">
        <v>120596.14</v>
      </c>
      <c r="T142">
        <v>58.71</v>
      </c>
      <c r="U142">
        <v>2</v>
      </c>
      <c r="V142">
        <v>6</v>
      </c>
      <c r="W142">
        <v>884</v>
      </c>
      <c r="X142" t="s">
        <v>3741</v>
      </c>
      <c r="Y142" t="s">
        <v>36</v>
      </c>
      <c r="Z142">
        <v>17139.310000000001</v>
      </c>
    </row>
    <row r="143" spans="1:26" x14ac:dyDescent="0.25">
      <c r="A143">
        <v>100141</v>
      </c>
      <c r="B143" s="3">
        <v>45602</v>
      </c>
      <c r="C143" s="3">
        <v>45607</v>
      </c>
      <c r="D143" s="3">
        <v>45610</v>
      </c>
      <c r="E143" t="s">
        <v>527</v>
      </c>
      <c r="F143" t="s">
        <v>32</v>
      </c>
      <c r="G143" t="s">
        <v>364</v>
      </c>
      <c r="H143" t="s">
        <v>528</v>
      </c>
      <c r="I143" t="s">
        <v>278</v>
      </c>
      <c r="J143" t="s">
        <v>29</v>
      </c>
      <c r="K143" t="s">
        <v>529</v>
      </c>
      <c r="L143" t="s">
        <v>91</v>
      </c>
      <c r="M143" t="s">
        <v>32</v>
      </c>
      <c r="N143" t="s">
        <v>45</v>
      </c>
      <c r="O143" t="s">
        <v>46</v>
      </c>
      <c r="P143" t="s">
        <v>68</v>
      </c>
      <c r="Q143">
        <v>253</v>
      </c>
      <c r="R143">
        <v>32.94</v>
      </c>
      <c r="S143">
        <v>8333.82</v>
      </c>
      <c r="T143">
        <v>33.26</v>
      </c>
      <c r="U143">
        <v>3</v>
      </c>
      <c r="V143">
        <v>8</v>
      </c>
      <c r="W143">
        <v>3460</v>
      </c>
      <c r="X143" t="s">
        <v>188</v>
      </c>
      <c r="Y143" t="s">
        <v>36</v>
      </c>
      <c r="Z143">
        <v>1846.77</v>
      </c>
    </row>
    <row r="144" spans="1:26" x14ac:dyDescent="0.25">
      <c r="A144">
        <v>100142</v>
      </c>
      <c r="B144" s="3">
        <v>45961</v>
      </c>
      <c r="C144" s="3">
        <v>45966</v>
      </c>
      <c r="D144" s="3">
        <v>45981</v>
      </c>
      <c r="E144" t="s">
        <v>530</v>
      </c>
      <c r="F144" t="s">
        <v>38</v>
      </c>
      <c r="G144" t="s">
        <v>83</v>
      </c>
      <c r="H144" t="s">
        <v>531</v>
      </c>
      <c r="I144" t="s">
        <v>144</v>
      </c>
      <c r="J144" t="s">
        <v>52</v>
      </c>
      <c r="K144" t="s">
        <v>532</v>
      </c>
      <c r="L144" t="s">
        <v>98</v>
      </c>
      <c r="M144" t="s">
        <v>32</v>
      </c>
      <c r="N144" t="s">
        <v>107</v>
      </c>
      <c r="O144" t="s">
        <v>108</v>
      </c>
      <c r="P144" t="s">
        <v>76</v>
      </c>
      <c r="Q144">
        <v>414</v>
      </c>
      <c r="R144">
        <v>9.8800000000000008</v>
      </c>
      <c r="S144">
        <v>4090.32</v>
      </c>
      <c r="T144">
        <v>15.56</v>
      </c>
      <c r="U144">
        <v>15</v>
      </c>
      <c r="V144">
        <v>20</v>
      </c>
      <c r="W144">
        <v>4425</v>
      </c>
      <c r="X144" t="s">
        <v>188</v>
      </c>
      <c r="Y144" t="s">
        <v>36</v>
      </c>
      <c r="Z144">
        <v>575.47</v>
      </c>
    </row>
    <row r="145" spans="1:26" x14ac:dyDescent="0.25">
      <c r="A145">
        <v>100143</v>
      </c>
      <c r="B145" s="3">
        <v>45544</v>
      </c>
      <c r="C145" s="3">
        <v>45549</v>
      </c>
      <c r="D145" s="3">
        <v>45553</v>
      </c>
      <c r="E145" t="s">
        <v>533</v>
      </c>
      <c r="F145" t="s">
        <v>65</v>
      </c>
      <c r="G145" t="s">
        <v>142</v>
      </c>
      <c r="H145" t="s">
        <v>534</v>
      </c>
      <c r="I145" t="s">
        <v>246</v>
      </c>
      <c r="J145" t="s">
        <v>29</v>
      </c>
      <c r="K145" t="s">
        <v>535</v>
      </c>
      <c r="L145" t="s">
        <v>113</v>
      </c>
      <c r="M145" t="s">
        <v>25</v>
      </c>
      <c r="N145" t="s">
        <v>66</v>
      </c>
      <c r="O145" t="s">
        <v>67</v>
      </c>
      <c r="P145" t="s">
        <v>123</v>
      </c>
      <c r="Q145">
        <v>345</v>
      </c>
      <c r="R145">
        <v>94.13</v>
      </c>
      <c r="S145">
        <v>32474.85</v>
      </c>
      <c r="T145">
        <v>19.079999999999998</v>
      </c>
      <c r="U145">
        <v>4</v>
      </c>
      <c r="V145">
        <v>9</v>
      </c>
      <c r="W145">
        <v>2578</v>
      </c>
      <c r="X145" t="s">
        <v>188</v>
      </c>
      <c r="Y145" t="s">
        <v>36</v>
      </c>
      <c r="Z145">
        <v>8588.06</v>
      </c>
    </row>
    <row r="146" spans="1:26" x14ac:dyDescent="0.25">
      <c r="A146">
        <v>100144</v>
      </c>
      <c r="B146" s="3">
        <v>45773</v>
      </c>
      <c r="C146" s="3">
        <v>45777</v>
      </c>
      <c r="D146" s="3">
        <v>45788</v>
      </c>
      <c r="E146" t="s">
        <v>536</v>
      </c>
      <c r="F146" t="s">
        <v>54</v>
      </c>
      <c r="G146" t="s">
        <v>225</v>
      </c>
      <c r="H146" t="s">
        <v>537</v>
      </c>
      <c r="I146" t="s">
        <v>246</v>
      </c>
      <c r="J146" t="s">
        <v>29</v>
      </c>
      <c r="K146" t="s">
        <v>340</v>
      </c>
      <c r="L146" t="s">
        <v>91</v>
      </c>
      <c r="M146" t="s">
        <v>25</v>
      </c>
      <c r="N146" t="s">
        <v>107</v>
      </c>
      <c r="O146" t="s">
        <v>108</v>
      </c>
      <c r="P146" t="s">
        <v>76</v>
      </c>
      <c r="Q146">
        <v>137</v>
      </c>
      <c r="R146">
        <v>57.57</v>
      </c>
      <c r="S146">
        <v>7887.09</v>
      </c>
      <c r="T146">
        <v>10.52</v>
      </c>
      <c r="U146">
        <v>11</v>
      </c>
      <c r="V146">
        <v>15</v>
      </c>
      <c r="W146">
        <v>692</v>
      </c>
      <c r="X146" t="s">
        <v>188</v>
      </c>
      <c r="Y146" t="s">
        <v>36</v>
      </c>
      <c r="Z146">
        <v>944.87</v>
      </c>
    </row>
    <row r="147" spans="1:26" x14ac:dyDescent="0.25">
      <c r="A147">
        <v>100145</v>
      </c>
      <c r="B147" s="3">
        <v>45334</v>
      </c>
      <c r="C147" s="3">
        <v>45339</v>
      </c>
      <c r="D147" s="3">
        <v>45342</v>
      </c>
      <c r="E147" t="s">
        <v>538</v>
      </c>
      <c r="F147" t="s">
        <v>54</v>
      </c>
      <c r="G147" t="s">
        <v>165</v>
      </c>
      <c r="H147" t="s">
        <v>539</v>
      </c>
      <c r="I147" t="s">
        <v>368</v>
      </c>
      <c r="J147" t="s">
        <v>29</v>
      </c>
      <c r="K147" t="s">
        <v>515</v>
      </c>
      <c r="L147" t="s">
        <v>91</v>
      </c>
      <c r="M147" t="s">
        <v>65</v>
      </c>
      <c r="N147" t="s">
        <v>33</v>
      </c>
      <c r="O147" t="s">
        <v>34</v>
      </c>
      <c r="P147" t="s">
        <v>35</v>
      </c>
      <c r="Q147">
        <v>476</v>
      </c>
      <c r="R147">
        <v>31.1</v>
      </c>
      <c r="S147">
        <v>14803.6</v>
      </c>
      <c r="T147">
        <v>25.97</v>
      </c>
      <c r="U147">
        <v>3</v>
      </c>
      <c r="V147">
        <v>8</v>
      </c>
      <c r="W147">
        <v>2542</v>
      </c>
      <c r="X147" t="s">
        <v>188</v>
      </c>
      <c r="Y147" t="s">
        <v>36</v>
      </c>
      <c r="Z147">
        <v>1625.46</v>
      </c>
    </row>
    <row r="148" spans="1:26" x14ac:dyDescent="0.25">
      <c r="A148">
        <v>100146</v>
      </c>
      <c r="B148" s="3">
        <v>45748</v>
      </c>
      <c r="C148" s="3">
        <v>45750</v>
      </c>
      <c r="D148" s="3">
        <v>45768</v>
      </c>
      <c r="E148" t="s">
        <v>540</v>
      </c>
      <c r="F148" t="s">
        <v>54</v>
      </c>
      <c r="G148" t="s">
        <v>158</v>
      </c>
      <c r="H148" t="s">
        <v>541</v>
      </c>
      <c r="I148" t="s">
        <v>144</v>
      </c>
      <c r="J148" t="s">
        <v>52</v>
      </c>
      <c r="K148" t="s">
        <v>542</v>
      </c>
      <c r="L148" t="s">
        <v>64</v>
      </c>
      <c r="M148" t="s">
        <v>38</v>
      </c>
      <c r="N148" t="s">
        <v>45</v>
      </c>
      <c r="O148" t="s">
        <v>46</v>
      </c>
      <c r="P148" t="s">
        <v>76</v>
      </c>
      <c r="Q148">
        <v>380</v>
      </c>
      <c r="R148">
        <v>22.58</v>
      </c>
      <c r="S148">
        <v>8580.4</v>
      </c>
      <c r="T148">
        <v>14.94</v>
      </c>
      <c r="U148">
        <v>18</v>
      </c>
      <c r="V148">
        <v>20</v>
      </c>
      <c r="W148">
        <v>599</v>
      </c>
      <c r="X148" t="s">
        <v>188</v>
      </c>
      <c r="Y148" t="s">
        <v>36</v>
      </c>
      <c r="Z148">
        <v>1697.46</v>
      </c>
    </row>
    <row r="149" spans="1:26" x14ac:dyDescent="0.25">
      <c r="A149">
        <v>100147</v>
      </c>
      <c r="B149" s="3">
        <v>45650</v>
      </c>
      <c r="C149" s="3">
        <v>45653</v>
      </c>
      <c r="D149" s="3">
        <v>45658</v>
      </c>
      <c r="E149" t="s">
        <v>543</v>
      </c>
      <c r="F149" t="s">
        <v>54</v>
      </c>
      <c r="G149" t="s">
        <v>165</v>
      </c>
      <c r="H149" t="s">
        <v>544</v>
      </c>
      <c r="I149" t="s">
        <v>416</v>
      </c>
      <c r="J149" t="s">
        <v>80</v>
      </c>
      <c r="K149" t="s">
        <v>545</v>
      </c>
      <c r="L149" t="s">
        <v>122</v>
      </c>
      <c r="M149" t="s">
        <v>25</v>
      </c>
      <c r="N149" t="s">
        <v>151</v>
      </c>
      <c r="O149" t="s">
        <v>152</v>
      </c>
      <c r="P149" t="s">
        <v>35</v>
      </c>
      <c r="Q149">
        <v>240</v>
      </c>
      <c r="R149">
        <v>264.54000000000002</v>
      </c>
      <c r="S149">
        <v>63489.599999999999</v>
      </c>
      <c r="T149">
        <v>19.28</v>
      </c>
      <c r="U149">
        <v>5</v>
      </c>
      <c r="V149">
        <v>8</v>
      </c>
      <c r="W149">
        <v>1558</v>
      </c>
      <c r="X149" t="s">
        <v>188</v>
      </c>
      <c r="Y149" t="s">
        <v>36</v>
      </c>
      <c r="Z149">
        <v>9576.51</v>
      </c>
    </row>
    <row r="150" spans="1:26" x14ac:dyDescent="0.25">
      <c r="A150">
        <v>100148</v>
      </c>
      <c r="B150" s="3">
        <v>45383</v>
      </c>
      <c r="C150" s="3">
        <v>45388</v>
      </c>
      <c r="D150" s="3">
        <v>45393</v>
      </c>
      <c r="E150" t="s">
        <v>546</v>
      </c>
      <c r="F150" t="s">
        <v>54</v>
      </c>
      <c r="G150" t="s">
        <v>158</v>
      </c>
      <c r="H150" t="s">
        <v>547</v>
      </c>
      <c r="I150" t="s">
        <v>126</v>
      </c>
      <c r="J150" t="s">
        <v>42</v>
      </c>
      <c r="K150" t="s">
        <v>548</v>
      </c>
      <c r="L150" t="s">
        <v>118</v>
      </c>
      <c r="M150" t="s">
        <v>32</v>
      </c>
      <c r="N150" t="s">
        <v>203</v>
      </c>
      <c r="O150" t="s">
        <v>204</v>
      </c>
      <c r="P150" t="s">
        <v>68</v>
      </c>
      <c r="Q150">
        <v>395</v>
      </c>
      <c r="R150">
        <v>112.18</v>
      </c>
      <c r="S150">
        <v>44311.1</v>
      </c>
      <c r="T150">
        <v>54.11</v>
      </c>
      <c r="U150">
        <v>5</v>
      </c>
      <c r="V150">
        <v>10</v>
      </c>
      <c r="W150">
        <v>454</v>
      </c>
      <c r="X150" t="s">
        <v>3742</v>
      </c>
      <c r="Y150" t="s">
        <v>47</v>
      </c>
      <c r="Z150">
        <v>-42.91</v>
      </c>
    </row>
    <row r="151" spans="1:26" x14ac:dyDescent="0.25">
      <c r="A151">
        <v>100149</v>
      </c>
      <c r="B151" s="3">
        <v>45714</v>
      </c>
      <c r="C151" s="3">
        <v>45718</v>
      </c>
      <c r="D151" s="3">
        <v>45722</v>
      </c>
      <c r="E151" t="s">
        <v>549</v>
      </c>
      <c r="F151" t="s">
        <v>65</v>
      </c>
      <c r="G151" t="s">
        <v>142</v>
      </c>
      <c r="H151" t="s">
        <v>550</v>
      </c>
      <c r="I151" t="s">
        <v>51</v>
      </c>
      <c r="J151" t="s">
        <v>52</v>
      </c>
      <c r="K151" t="s">
        <v>434</v>
      </c>
      <c r="L151" t="s">
        <v>212</v>
      </c>
      <c r="M151" t="s">
        <v>32</v>
      </c>
      <c r="N151" t="s">
        <v>203</v>
      </c>
      <c r="O151" t="s">
        <v>204</v>
      </c>
      <c r="P151" t="s">
        <v>123</v>
      </c>
      <c r="Q151">
        <v>347</v>
      </c>
      <c r="R151">
        <v>13.3</v>
      </c>
      <c r="S151">
        <v>4615.1000000000004</v>
      </c>
      <c r="T151">
        <v>19.12</v>
      </c>
      <c r="U151">
        <v>4</v>
      </c>
      <c r="V151">
        <v>8</v>
      </c>
      <c r="W151">
        <v>871</v>
      </c>
      <c r="X151" t="s">
        <v>188</v>
      </c>
      <c r="Y151" t="s">
        <v>36</v>
      </c>
      <c r="Z151">
        <v>632.69000000000005</v>
      </c>
    </row>
    <row r="152" spans="1:26" x14ac:dyDescent="0.25">
      <c r="A152">
        <v>100150</v>
      </c>
      <c r="B152" s="3">
        <v>45599</v>
      </c>
      <c r="C152" s="3">
        <v>45603</v>
      </c>
      <c r="D152" s="3">
        <v>45608</v>
      </c>
      <c r="E152" t="s">
        <v>551</v>
      </c>
      <c r="F152" t="s">
        <v>54</v>
      </c>
      <c r="G152" t="s">
        <v>225</v>
      </c>
      <c r="H152" t="s">
        <v>552</v>
      </c>
      <c r="I152" t="s">
        <v>207</v>
      </c>
      <c r="J152" t="s">
        <v>80</v>
      </c>
      <c r="K152" t="s">
        <v>553</v>
      </c>
      <c r="L152" t="s">
        <v>187</v>
      </c>
      <c r="M152" t="s">
        <v>65</v>
      </c>
      <c r="N152" t="s">
        <v>45</v>
      </c>
      <c r="O152" t="s">
        <v>46</v>
      </c>
      <c r="P152" t="s">
        <v>35</v>
      </c>
      <c r="Q152">
        <v>236</v>
      </c>
      <c r="R152">
        <v>156.53</v>
      </c>
      <c r="S152">
        <v>36941.08</v>
      </c>
      <c r="T152">
        <v>19.16</v>
      </c>
      <c r="U152">
        <v>5</v>
      </c>
      <c r="V152">
        <v>9</v>
      </c>
      <c r="W152">
        <v>1509</v>
      </c>
      <c r="X152" t="s">
        <v>188</v>
      </c>
      <c r="Y152" t="s">
        <v>36</v>
      </c>
      <c r="Z152">
        <v>10065.59</v>
      </c>
    </row>
    <row r="153" spans="1:26" x14ac:dyDescent="0.25">
      <c r="A153">
        <v>100151</v>
      </c>
      <c r="B153" s="3">
        <v>45483</v>
      </c>
      <c r="C153" s="3">
        <v>45483</v>
      </c>
      <c r="D153" s="3">
        <v>45494</v>
      </c>
      <c r="E153" t="s">
        <v>554</v>
      </c>
      <c r="F153" t="s">
        <v>54</v>
      </c>
      <c r="G153" t="s">
        <v>193</v>
      </c>
      <c r="H153" t="s">
        <v>555</v>
      </c>
      <c r="I153" t="s">
        <v>246</v>
      </c>
      <c r="J153" t="s">
        <v>29</v>
      </c>
      <c r="K153" t="s">
        <v>556</v>
      </c>
      <c r="L153" t="s">
        <v>64</v>
      </c>
      <c r="M153" t="s">
        <v>38</v>
      </c>
      <c r="N153" t="s">
        <v>74</v>
      </c>
      <c r="O153" t="s">
        <v>75</v>
      </c>
      <c r="P153" t="s">
        <v>123</v>
      </c>
      <c r="Q153">
        <v>57</v>
      </c>
      <c r="R153">
        <v>38.01</v>
      </c>
      <c r="S153">
        <v>2166.5700000000002</v>
      </c>
      <c r="T153">
        <v>12.08</v>
      </c>
      <c r="U153">
        <v>11</v>
      </c>
      <c r="V153">
        <v>11</v>
      </c>
      <c r="W153">
        <v>3231</v>
      </c>
      <c r="X153" t="s">
        <v>188</v>
      </c>
      <c r="Y153" t="s">
        <v>36</v>
      </c>
      <c r="Z153">
        <v>543.07000000000005</v>
      </c>
    </row>
    <row r="154" spans="1:26" x14ac:dyDescent="0.25">
      <c r="A154">
        <v>100152</v>
      </c>
      <c r="B154" s="3">
        <v>46017</v>
      </c>
      <c r="C154" s="3">
        <v>46017</v>
      </c>
      <c r="D154" s="3">
        <v>46025</v>
      </c>
      <c r="E154" t="s">
        <v>557</v>
      </c>
      <c r="F154" t="s">
        <v>54</v>
      </c>
      <c r="G154" t="s">
        <v>165</v>
      </c>
      <c r="H154" t="s">
        <v>558</v>
      </c>
      <c r="I154" t="s">
        <v>89</v>
      </c>
      <c r="J154" t="s">
        <v>62</v>
      </c>
      <c r="K154" t="s">
        <v>559</v>
      </c>
      <c r="L154" t="s">
        <v>113</v>
      </c>
      <c r="M154" t="s">
        <v>25</v>
      </c>
      <c r="N154" t="s">
        <v>45</v>
      </c>
      <c r="O154" t="s">
        <v>46</v>
      </c>
      <c r="P154" t="s">
        <v>35</v>
      </c>
      <c r="Q154">
        <v>110</v>
      </c>
      <c r="R154">
        <v>7.15</v>
      </c>
      <c r="S154">
        <v>786.5</v>
      </c>
      <c r="T154">
        <v>15.59</v>
      </c>
      <c r="U154">
        <v>8</v>
      </c>
      <c r="V154">
        <v>8</v>
      </c>
      <c r="W154">
        <v>3571</v>
      </c>
      <c r="X154" t="s">
        <v>188</v>
      </c>
      <c r="Y154" t="s">
        <v>36</v>
      </c>
      <c r="Z154">
        <v>31.11</v>
      </c>
    </row>
    <row r="155" spans="1:26" x14ac:dyDescent="0.25">
      <c r="A155">
        <v>100153</v>
      </c>
      <c r="B155" s="3">
        <v>45955</v>
      </c>
      <c r="C155" s="3">
        <v>45955</v>
      </c>
      <c r="D155" s="3">
        <v>45961</v>
      </c>
      <c r="E155" t="s">
        <v>560</v>
      </c>
      <c r="F155" t="s">
        <v>25</v>
      </c>
      <c r="G155" t="s">
        <v>59</v>
      </c>
      <c r="H155" t="s">
        <v>561</v>
      </c>
      <c r="I155" t="s">
        <v>28</v>
      </c>
      <c r="J155" t="s">
        <v>29</v>
      </c>
      <c r="K155" t="s">
        <v>562</v>
      </c>
      <c r="L155" t="s">
        <v>122</v>
      </c>
      <c r="M155" t="s">
        <v>38</v>
      </c>
      <c r="N155" t="s">
        <v>45</v>
      </c>
      <c r="O155" t="s">
        <v>46</v>
      </c>
      <c r="P155" t="s">
        <v>35</v>
      </c>
      <c r="Q155">
        <v>445</v>
      </c>
      <c r="R155">
        <v>95.21</v>
      </c>
      <c r="S155">
        <v>42368.45</v>
      </c>
      <c r="T155">
        <v>25.09</v>
      </c>
      <c r="U155">
        <v>6</v>
      </c>
      <c r="V155">
        <v>6</v>
      </c>
      <c r="W155">
        <v>1564</v>
      </c>
      <c r="X155" t="s">
        <v>3741</v>
      </c>
      <c r="Y155" t="s">
        <v>36</v>
      </c>
      <c r="Z155">
        <v>7704.02</v>
      </c>
    </row>
    <row r="156" spans="1:26" x14ac:dyDescent="0.25">
      <c r="A156">
        <v>100154</v>
      </c>
      <c r="B156" s="3">
        <v>45643</v>
      </c>
      <c r="C156" s="3">
        <v>45644</v>
      </c>
      <c r="D156" s="3">
        <v>45656</v>
      </c>
      <c r="E156" t="s">
        <v>563</v>
      </c>
      <c r="F156" t="s">
        <v>38</v>
      </c>
      <c r="G156" t="s">
        <v>49</v>
      </c>
      <c r="H156" t="s">
        <v>564</v>
      </c>
      <c r="I156" t="s">
        <v>85</v>
      </c>
      <c r="J156" t="s">
        <v>52</v>
      </c>
      <c r="K156" t="s">
        <v>565</v>
      </c>
      <c r="L156" t="s">
        <v>31</v>
      </c>
      <c r="M156" t="s">
        <v>65</v>
      </c>
      <c r="N156" t="s">
        <v>66</v>
      </c>
      <c r="O156" t="s">
        <v>67</v>
      </c>
      <c r="P156" t="s">
        <v>35</v>
      </c>
      <c r="Q156">
        <v>265</v>
      </c>
      <c r="R156">
        <v>26.68</v>
      </c>
      <c r="S156">
        <v>7070.2</v>
      </c>
      <c r="T156">
        <v>19.989999999999998</v>
      </c>
      <c r="U156">
        <v>12</v>
      </c>
      <c r="V156">
        <v>13</v>
      </c>
      <c r="W156">
        <v>2576</v>
      </c>
      <c r="X156" t="s">
        <v>3742</v>
      </c>
      <c r="Y156" t="s">
        <v>188</v>
      </c>
      <c r="Z156">
        <v>663.98</v>
      </c>
    </row>
    <row r="157" spans="1:26" x14ac:dyDescent="0.25">
      <c r="A157">
        <v>100155</v>
      </c>
      <c r="B157" s="3">
        <v>45673</v>
      </c>
      <c r="C157" s="3">
        <v>45676</v>
      </c>
      <c r="D157" s="3">
        <v>45686</v>
      </c>
      <c r="E157" t="s">
        <v>566</v>
      </c>
      <c r="F157" t="s">
        <v>65</v>
      </c>
      <c r="G157" t="s">
        <v>70</v>
      </c>
      <c r="H157" t="s">
        <v>567</v>
      </c>
      <c r="I157" t="s">
        <v>116</v>
      </c>
      <c r="J157" t="s">
        <v>62</v>
      </c>
      <c r="K157" t="s">
        <v>542</v>
      </c>
      <c r="L157" t="s">
        <v>98</v>
      </c>
      <c r="M157" t="s">
        <v>32</v>
      </c>
      <c r="N157" t="s">
        <v>33</v>
      </c>
      <c r="O157" t="s">
        <v>34</v>
      </c>
      <c r="P157" t="s">
        <v>35</v>
      </c>
      <c r="Q157">
        <v>264</v>
      </c>
      <c r="R157">
        <v>48.58</v>
      </c>
      <c r="S157">
        <v>12825.12</v>
      </c>
      <c r="T157">
        <v>19.96</v>
      </c>
      <c r="U157">
        <v>10</v>
      </c>
      <c r="V157">
        <v>13</v>
      </c>
      <c r="W157">
        <v>2496</v>
      </c>
      <c r="X157" t="s">
        <v>188</v>
      </c>
      <c r="Y157" t="s">
        <v>36</v>
      </c>
      <c r="Z157">
        <v>811.29</v>
      </c>
    </row>
    <row r="158" spans="1:26" x14ac:dyDescent="0.25">
      <c r="A158">
        <v>100156</v>
      </c>
      <c r="B158" s="3">
        <v>45451</v>
      </c>
      <c r="C158" s="3">
        <v>45454</v>
      </c>
      <c r="D158" s="3">
        <v>45457</v>
      </c>
      <c r="E158" t="s">
        <v>568</v>
      </c>
      <c r="F158" t="s">
        <v>32</v>
      </c>
      <c r="G158" t="s">
        <v>364</v>
      </c>
      <c r="H158" t="s">
        <v>569</v>
      </c>
      <c r="I158" t="s">
        <v>28</v>
      </c>
      <c r="J158" t="s">
        <v>29</v>
      </c>
      <c r="K158" t="s">
        <v>570</v>
      </c>
      <c r="L158" t="s">
        <v>212</v>
      </c>
      <c r="M158" t="s">
        <v>65</v>
      </c>
      <c r="N158" t="s">
        <v>151</v>
      </c>
      <c r="O158" t="s">
        <v>152</v>
      </c>
      <c r="P158" t="s">
        <v>35</v>
      </c>
      <c r="Q158">
        <v>497</v>
      </c>
      <c r="R158">
        <v>57.53</v>
      </c>
      <c r="S158">
        <v>28592.41</v>
      </c>
      <c r="T158">
        <v>26.56</v>
      </c>
      <c r="U158">
        <v>3</v>
      </c>
      <c r="V158">
        <v>6</v>
      </c>
      <c r="W158">
        <v>2321</v>
      </c>
      <c r="X158" t="s">
        <v>3741</v>
      </c>
      <c r="Y158" t="s">
        <v>36</v>
      </c>
      <c r="Z158">
        <v>4398.3500000000004</v>
      </c>
    </row>
    <row r="159" spans="1:26" x14ac:dyDescent="0.25">
      <c r="A159">
        <v>100157</v>
      </c>
      <c r="B159" s="3">
        <v>45463</v>
      </c>
      <c r="C159" s="3">
        <v>45465</v>
      </c>
      <c r="D159" s="3">
        <v>45490</v>
      </c>
      <c r="E159" t="s">
        <v>571</v>
      </c>
      <c r="F159" t="s">
        <v>65</v>
      </c>
      <c r="G159" t="s">
        <v>70</v>
      </c>
      <c r="H159" t="s">
        <v>572</v>
      </c>
      <c r="I159" t="s">
        <v>61</v>
      </c>
      <c r="J159" t="s">
        <v>62</v>
      </c>
      <c r="K159" t="s">
        <v>573</v>
      </c>
      <c r="L159" t="s">
        <v>118</v>
      </c>
      <c r="M159" t="s">
        <v>25</v>
      </c>
      <c r="N159" t="s">
        <v>33</v>
      </c>
      <c r="O159" t="s">
        <v>34</v>
      </c>
      <c r="P159" t="s">
        <v>76</v>
      </c>
      <c r="Q159">
        <v>277</v>
      </c>
      <c r="R159">
        <v>46.35</v>
      </c>
      <c r="S159">
        <v>12838.95</v>
      </c>
      <c r="T159">
        <v>13.07</v>
      </c>
      <c r="U159">
        <v>25</v>
      </c>
      <c r="V159">
        <v>27</v>
      </c>
      <c r="W159">
        <v>2496</v>
      </c>
      <c r="X159" t="s">
        <v>3742</v>
      </c>
      <c r="Y159" t="s">
        <v>188</v>
      </c>
      <c r="Z159">
        <v>1397.55</v>
      </c>
    </row>
    <row r="160" spans="1:26" x14ac:dyDescent="0.25">
      <c r="A160">
        <v>100158</v>
      </c>
      <c r="B160" s="3">
        <v>45651</v>
      </c>
      <c r="C160" s="3">
        <v>45656</v>
      </c>
      <c r="D160" s="3">
        <v>45666</v>
      </c>
      <c r="E160" t="s">
        <v>574</v>
      </c>
      <c r="F160" t="s">
        <v>54</v>
      </c>
      <c r="G160" t="s">
        <v>165</v>
      </c>
      <c r="H160" t="s">
        <v>575</v>
      </c>
      <c r="I160" t="s">
        <v>144</v>
      </c>
      <c r="J160" t="s">
        <v>52</v>
      </c>
      <c r="K160" t="s">
        <v>353</v>
      </c>
      <c r="L160" t="s">
        <v>44</v>
      </c>
      <c r="M160" t="s">
        <v>54</v>
      </c>
      <c r="N160" t="s">
        <v>102</v>
      </c>
      <c r="O160" t="s">
        <v>103</v>
      </c>
      <c r="P160" t="s">
        <v>123</v>
      </c>
      <c r="Q160">
        <v>354</v>
      </c>
      <c r="R160">
        <v>84.87</v>
      </c>
      <c r="S160">
        <v>30043.98</v>
      </c>
      <c r="T160">
        <v>14.29</v>
      </c>
      <c r="U160">
        <v>10</v>
      </c>
      <c r="V160">
        <v>15</v>
      </c>
      <c r="W160">
        <v>4068</v>
      </c>
      <c r="X160" t="s">
        <v>188</v>
      </c>
      <c r="Y160" t="s">
        <v>36</v>
      </c>
      <c r="Z160">
        <v>4765.37</v>
      </c>
    </row>
    <row r="161" spans="1:26" x14ac:dyDescent="0.25">
      <c r="A161">
        <v>100159</v>
      </c>
      <c r="B161" s="3">
        <v>45853</v>
      </c>
      <c r="C161" s="3">
        <v>45855</v>
      </c>
      <c r="D161" s="3">
        <v>45871</v>
      </c>
      <c r="E161" t="s">
        <v>576</v>
      </c>
      <c r="F161" t="s">
        <v>38</v>
      </c>
      <c r="G161" t="s">
        <v>217</v>
      </c>
      <c r="H161" t="s">
        <v>577</v>
      </c>
      <c r="I161" t="s">
        <v>134</v>
      </c>
      <c r="J161" t="s">
        <v>52</v>
      </c>
      <c r="K161" t="s">
        <v>578</v>
      </c>
      <c r="L161" t="s">
        <v>113</v>
      </c>
      <c r="M161" t="s">
        <v>25</v>
      </c>
      <c r="N161" t="s">
        <v>151</v>
      </c>
      <c r="O161" t="s">
        <v>152</v>
      </c>
      <c r="P161" t="s">
        <v>76</v>
      </c>
      <c r="Q161">
        <v>198</v>
      </c>
      <c r="R161">
        <v>68.959999999999994</v>
      </c>
      <c r="S161">
        <v>13654.08</v>
      </c>
      <c r="T161">
        <v>11.63</v>
      </c>
      <c r="U161">
        <v>16</v>
      </c>
      <c r="V161">
        <v>18</v>
      </c>
      <c r="W161">
        <v>714</v>
      </c>
      <c r="X161" t="s">
        <v>188</v>
      </c>
      <c r="Y161" t="s">
        <v>36</v>
      </c>
      <c r="Z161">
        <v>2166.9499999999998</v>
      </c>
    </row>
    <row r="162" spans="1:26" x14ac:dyDescent="0.25">
      <c r="A162">
        <v>100160</v>
      </c>
      <c r="B162" s="3">
        <v>45658</v>
      </c>
      <c r="C162" s="3">
        <v>45658</v>
      </c>
      <c r="D162" s="3">
        <v>45666</v>
      </c>
      <c r="E162" t="s">
        <v>579</v>
      </c>
      <c r="F162" t="s">
        <v>54</v>
      </c>
      <c r="G162" t="s">
        <v>129</v>
      </c>
      <c r="H162" t="s">
        <v>580</v>
      </c>
      <c r="I162" t="s">
        <v>72</v>
      </c>
      <c r="J162" t="s">
        <v>42</v>
      </c>
      <c r="K162" t="s">
        <v>581</v>
      </c>
      <c r="L162" t="s">
        <v>113</v>
      </c>
      <c r="M162" t="s">
        <v>25</v>
      </c>
      <c r="N162" t="s">
        <v>33</v>
      </c>
      <c r="O162" t="s">
        <v>34</v>
      </c>
      <c r="P162" t="s">
        <v>123</v>
      </c>
      <c r="Q162">
        <v>373</v>
      </c>
      <c r="R162">
        <v>343.32</v>
      </c>
      <c r="S162">
        <v>128058.36</v>
      </c>
      <c r="T162">
        <v>19.760000000000002</v>
      </c>
      <c r="U162">
        <v>8</v>
      </c>
      <c r="V162">
        <v>8</v>
      </c>
      <c r="W162">
        <v>498</v>
      </c>
      <c r="X162" t="s">
        <v>188</v>
      </c>
      <c r="Y162" t="s">
        <v>36</v>
      </c>
      <c r="Z162">
        <v>25998.41</v>
      </c>
    </row>
    <row r="163" spans="1:26" x14ac:dyDescent="0.25">
      <c r="A163">
        <v>100161</v>
      </c>
      <c r="B163" s="3">
        <v>45764</v>
      </c>
      <c r="C163" s="3">
        <v>45765</v>
      </c>
      <c r="D163" s="3">
        <v>45770</v>
      </c>
      <c r="E163" t="s">
        <v>582</v>
      </c>
      <c r="F163" t="s">
        <v>38</v>
      </c>
      <c r="G163" t="s">
        <v>49</v>
      </c>
      <c r="H163" t="s">
        <v>583</v>
      </c>
      <c r="I163" t="s">
        <v>126</v>
      </c>
      <c r="J163" t="s">
        <v>42</v>
      </c>
      <c r="K163" t="s">
        <v>584</v>
      </c>
      <c r="L163" t="s">
        <v>98</v>
      </c>
      <c r="M163" t="s">
        <v>38</v>
      </c>
      <c r="N163" t="s">
        <v>55</v>
      </c>
      <c r="O163" t="s">
        <v>56</v>
      </c>
      <c r="P163" t="s">
        <v>68</v>
      </c>
      <c r="Q163">
        <v>429</v>
      </c>
      <c r="R163">
        <v>62.04</v>
      </c>
      <c r="S163">
        <v>26615.16</v>
      </c>
      <c r="T163">
        <v>41.71</v>
      </c>
      <c r="U163">
        <v>5</v>
      </c>
      <c r="V163">
        <v>6</v>
      </c>
      <c r="W163">
        <v>651</v>
      </c>
      <c r="X163" t="s">
        <v>3741</v>
      </c>
      <c r="Y163" t="s">
        <v>36</v>
      </c>
      <c r="Z163">
        <v>2128.61</v>
      </c>
    </row>
    <row r="164" spans="1:26" x14ac:dyDescent="0.25">
      <c r="A164">
        <v>100162</v>
      </c>
      <c r="B164" s="3">
        <v>45728</v>
      </c>
      <c r="C164" s="3">
        <v>45728</v>
      </c>
      <c r="D164" s="3">
        <v>45732</v>
      </c>
      <c r="E164" t="s">
        <v>585</v>
      </c>
      <c r="F164" t="s">
        <v>54</v>
      </c>
      <c r="G164" t="s">
        <v>225</v>
      </c>
      <c r="H164" t="s">
        <v>586</v>
      </c>
      <c r="I164" t="s">
        <v>134</v>
      </c>
      <c r="J164" t="s">
        <v>52</v>
      </c>
      <c r="K164" t="s">
        <v>587</v>
      </c>
      <c r="L164" t="s">
        <v>113</v>
      </c>
      <c r="M164" t="s">
        <v>38</v>
      </c>
      <c r="N164" t="s">
        <v>55</v>
      </c>
      <c r="O164" t="s">
        <v>56</v>
      </c>
      <c r="P164" t="s">
        <v>68</v>
      </c>
      <c r="Q164">
        <v>321</v>
      </c>
      <c r="R164">
        <v>49.17</v>
      </c>
      <c r="S164">
        <v>15783.57</v>
      </c>
      <c r="T164">
        <v>49.31</v>
      </c>
      <c r="U164">
        <v>4</v>
      </c>
      <c r="V164">
        <v>4</v>
      </c>
      <c r="W164">
        <v>897</v>
      </c>
      <c r="X164" t="s">
        <v>3741</v>
      </c>
      <c r="Y164" t="s">
        <v>36</v>
      </c>
      <c r="Z164">
        <v>2537.13</v>
      </c>
    </row>
    <row r="165" spans="1:26" x14ac:dyDescent="0.25">
      <c r="A165">
        <v>100163</v>
      </c>
      <c r="B165" s="3">
        <v>45518</v>
      </c>
      <c r="C165" s="3">
        <v>45519</v>
      </c>
      <c r="D165" s="3">
        <v>45527</v>
      </c>
      <c r="E165" t="s">
        <v>588</v>
      </c>
      <c r="F165" t="s">
        <v>25</v>
      </c>
      <c r="G165" t="s">
        <v>59</v>
      </c>
      <c r="H165" t="s">
        <v>589</v>
      </c>
      <c r="I165" t="s">
        <v>149</v>
      </c>
      <c r="J165" t="s">
        <v>42</v>
      </c>
      <c r="K165" t="s">
        <v>590</v>
      </c>
      <c r="L165" t="s">
        <v>31</v>
      </c>
      <c r="M165" t="s">
        <v>54</v>
      </c>
      <c r="N165" t="s">
        <v>92</v>
      </c>
      <c r="O165" t="s">
        <v>93</v>
      </c>
      <c r="P165" t="s">
        <v>123</v>
      </c>
      <c r="Q165">
        <v>47</v>
      </c>
      <c r="R165">
        <v>125.09</v>
      </c>
      <c r="S165">
        <v>5879.23</v>
      </c>
      <c r="T165">
        <v>11.83</v>
      </c>
      <c r="U165">
        <v>8</v>
      </c>
      <c r="V165">
        <v>9</v>
      </c>
      <c r="W165">
        <v>237</v>
      </c>
      <c r="X165" t="s">
        <v>3742</v>
      </c>
      <c r="Y165" t="s">
        <v>57</v>
      </c>
      <c r="Z165">
        <v>942.65</v>
      </c>
    </row>
    <row r="166" spans="1:26" x14ac:dyDescent="0.25">
      <c r="A166">
        <v>100164</v>
      </c>
      <c r="B166" s="3">
        <v>45817</v>
      </c>
      <c r="C166" s="3">
        <v>45819</v>
      </c>
      <c r="D166" s="3">
        <v>45839</v>
      </c>
      <c r="E166" t="s">
        <v>591</v>
      </c>
      <c r="F166" t="s">
        <v>54</v>
      </c>
      <c r="G166" t="s">
        <v>165</v>
      </c>
      <c r="H166" t="s">
        <v>592</v>
      </c>
      <c r="I166" t="s">
        <v>182</v>
      </c>
      <c r="J166" t="s">
        <v>80</v>
      </c>
      <c r="K166" t="s">
        <v>593</v>
      </c>
      <c r="L166" t="s">
        <v>91</v>
      </c>
      <c r="M166" t="s">
        <v>25</v>
      </c>
      <c r="N166" t="s">
        <v>74</v>
      </c>
      <c r="O166" t="s">
        <v>75</v>
      </c>
      <c r="P166" t="s">
        <v>76</v>
      </c>
      <c r="Q166">
        <v>33</v>
      </c>
      <c r="R166">
        <v>249.71</v>
      </c>
      <c r="S166">
        <v>8240.43</v>
      </c>
      <c r="T166">
        <v>8.6199999999999992</v>
      </c>
      <c r="U166">
        <v>20</v>
      </c>
      <c r="V166">
        <v>22</v>
      </c>
      <c r="W166">
        <v>643</v>
      </c>
      <c r="X166" t="s">
        <v>3742</v>
      </c>
      <c r="Y166" t="s">
        <v>188</v>
      </c>
      <c r="Z166">
        <v>1010.47</v>
      </c>
    </row>
    <row r="167" spans="1:26" x14ac:dyDescent="0.25">
      <c r="A167">
        <v>100165</v>
      </c>
      <c r="B167" s="3">
        <v>45610</v>
      </c>
      <c r="C167" s="3">
        <v>45615</v>
      </c>
      <c r="D167" s="3">
        <v>45627</v>
      </c>
      <c r="E167" t="s">
        <v>594</v>
      </c>
      <c r="F167" t="s">
        <v>65</v>
      </c>
      <c r="G167" t="s">
        <v>142</v>
      </c>
      <c r="H167" t="s">
        <v>595</v>
      </c>
      <c r="I167" t="s">
        <v>278</v>
      </c>
      <c r="J167" t="s">
        <v>29</v>
      </c>
      <c r="K167" t="s">
        <v>596</v>
      </c>
      <c r="L167" t="s">
        <v>122</v>
      </c>
      <c r="M167" t="s">
        <v>54</v>
      </c>
      <c r="N167" t="s">
        <v>33</v>
      </c>
      <c r="O167" t="s">
        <v>34</v>
      </c>
      <c r="P167" t="s">
        <v>123</v>
      </c>
      <c r="Q167">
        <v>424</v>
      </c>
      <c r="R167">
        <v>100.76</v>
      </c>
      <c r="S167">
        <v>42722.239999999998</v>
      </c>
      <c r="T167">
        <v>21</v>
      </c>
      <c r="U167">
        <v>12</v>
      </c>
      <c r="V167">
        <v>17</v>
      </c>
      <c r="W167">
        <v>2216</v>
      </c>
      <c r="X167" t="s">
        <v>3742</v>
      </c>
      <c r="Y167" t="s">
        <v>188</v>
      </c>
      <c r="Z167">
        <v>5511.12</v>
      </c>
    </row>
    <row r="168" spans="1:26" x14ac:dyDescent="0.25">
      <c r="A168">
        <v>100166</v>
      </c>
      <c r="B168" s="3">
        <v>45474</v>
      </c>
      <c r="C168" s="3">
        <v>45474</v>
      </c>
      <c r="D168" s="3">
        <v>45477</v>
      </c>
      <c r="E168" t="s">
        <v>597</v>
      </c>
      <c r="F168" t="s">
        <v>25</v>
      </c>
      <c r="G168" t="s">
        <v>172</v>
      </c>
      <c r="H168" t="s">
        <v>598</v>
      </c>
      <c r="I168" t="s">
        <v>416</v>
      </c>
      <c r="J168" t="s">
        <v>80</v>
      </c>
      <c r="K168" t="s">
        <v>599</v>
      </c>
      <c r="L168" t="s">
        <v>64</v>
      </c>
      <c r="M168" t="s">
        <v>32</v>
      </c>
      <c r="N168" t="s">
        <v>102</v>
      </c>
      <c r="O168" t="s">
        <v>103</v>
      </c>
      <c r="P168" t="s">
        <v>35</v>
      </c>
      <c r="Q168">
        <v>260</v>
      </c>
      <c r="R168">
        <v>277.64</v>
      </c>
      <c r="S168">
        <v>72186.399999999994</v>
      </c>
      <c r="T168">
        <v>19.84</v>
      </c>
      <c r="U168">
        <v>3</v>
      </c>
      <c r="V168">
        <v>3</v>
      </c>
      <c r="W168">
        <v>1069</v>
      </c>
      <c r="X168" t="s">
        <v>3741</v>
      </c>
      <c r="Y168" t="s">
        <v>36</v>
      </c>
      <c r="Z168">
        <v>16006.16</v>
      </c>
    </row>
    <row r="169" spans="1:26" x14ac:dyDescent="0.25">
      <c r="A169">
        <v>100167</v>
      </c>
      <c r="B169" s="3">
        <v>45338</v>
      </c>
      <c r="C169" s="3">
        <v>45340</v>
      </c>
      <c r="D169" s="3">
        <v>45347</v>
      </c>
      <c r="E169" t="s">
        <v>600</v>
      </c>
      <c r="F169" t="s">
        <v>38</v>
      </c>
      <c r="G169" t="s">
        <v>147</v>
      </c>
      <c r="H169" t="s">
        <v>601</v>
      </c>
      <c r="I169" t="s">
        <v>134</v>
      </c>
      <c r="J169" t="s">
        <v>52</v>
      </c>
      <c r="K169" t="s">
        <v>602</v>
      </c>
      <c r="L169" t="s">
        <v>44</v>
      </c>
      <c r="M169" t="s">
        <v>54</v>
      </c>
      <c r="N169" t="s">
        <v>74</v>
      </c>
      <c r="O169" t="s">
        <v>75</v>
      </c>
      <c r="P169" t="s">
        <v>35</v>
      </c>
      <c r="Q169">
        <v>146</v>
      </c>
      <c r="R169">
        <v>85.93</v>
      </c>
      <c r="S169">
        <v>12545.78</v>
      </c>
      <c r="T169">
        <v>16.61</v>
      </c>
      <c r="U169">
        <v>7</v>
      </c>
      <c r="V169">
        <v>9</v>
      </c>
      <c r="W169">
        <v>1036</v>
      </c>
      <c r="X169" t="s">
        <v>188</v>
      </c>
      <c r="Y169" t="s">
        <v>36</v>
      </c>
      <c r="Z169">
        <v>40.630000000000003</v>
      </c>
    </row>
    <row r="170" spans="1:26" x14ac:dyDescent="0.25">
      <c r="A170">
        <v>100168</v>
      </c>
      <c r="B170" s="3">
        <v>45545</v>
      </c>
      <c r="C170" s="3">
        <v>45550</v>
      </c>
      <c r="D170" s="3">
        <v>45559</v>
      </c>
      <c r="E170" t="s">
        <v>603</v>
      </c>
      <c r="F170" t="s">
        <v>25</v>
      </c>
      <c r="G170" t="s">
        <v>169</v>
      </c>
      <c r="H170" t="s">
        <v>604</v>
      </c>
      <c r="I170" t="s">
        <v>134</v>
      </c>
      <c r="J170" t="s">
        <v>52</v>
      </c>
      <c r="K170" t="s">
        <v>470</v>
      </c>
      <c r="L170" t="s">
        <v>64</v>
      </c>
      <c r="M170" t="s">
        <v>25</v>
      </c>
      <c r="N170" t="s">
        <v>55</v>
      </c>
      <c r="O170" t="s">
        <v>56</v>
      </c>
      <c r="P170" t="s">
        <v>123</v>
      </c>
      <c r="Q170">
        <v>412</v>
      </c>
      <c r="R170">
        <v>29.26</v>
      </c>
      <c r="S170">
        <v>12055.12</v>
      </c>
      <c r="T170">
        <v>15.34</v>
      </c>
      <c r="U170">
        <v>9</v>
      </c>
      <c r="V170">
        <v>14</v>
      </c>
      <c r="W170">
        <v>2203</v>
      </c>
      <c r="X170" t="s">
        <v>188</v>
      </c>
      <c r="Y170" t="s">
        <v>36</v>
      </c>
      <c r="Z170">
        <v>1585.41</v>
      </c>
    </row>
    <row r="171" spans="1:26" x14ac:dyDescent="0.25">
      <c r="A171">
        <v>100169</v>
      </c>
      <c r="B171" s="3">
        <v>45551</v>
      </c>
      <c r="C171" s="3">
        <v>45556</v>
      </c>
      <c r="D171" s="3">
        <v>45572</v>
      </c>
      <c r="E171" t="s">
        <v>605</v>
      </c>
      <c r="F171" t="s">
        <v>32</v>
      </c>
      <c r="G171" t="s">
        <v>255</v>
      </c>
      <c r="H171" t="s">
        <v>606</v>
      </c>
      <c r="I171" t="s">
        <v>230</v>
      </c>
      <c r="J171" t="s">
        <v>80</v>
      </c>
      <c r="K171" t="s">
        <v>607</v>
      </c>
      <c r="L171" t="s">
        <v>44</v>
      </c>
      <c r="M171" t="s">
        <v>65</v>
      </c>
      <c r="N171" t="s">
        <v>102</v>
      </c>
      <c r="O171" t="s">
        <v>103</v>
      </c>
      <c r="P171" t="s">
        <v>76</v>
      </c>
      <c r="Q171">
        <v>109</v>
      </c>
      <c r="R171">
        <v>277.31</v>
      </c>
      <c r="S171">
        <v>30226.79</v>
      </c>
      <c r="T171">
        <v>10.01</v>
      </c>
      <c r="U171">
        <v>16</v>
      </c>
      <c r="V171">
        <v>21</v>
      </c>
      <c r="W171">
        <v>1255</v>
      </c>
      <c r="X171" t="s">
        <v>188</v>
      </c>
      <c r="Y171" t="s">
        <v>36</v>
      </c>
      <c r="Z171">
        <v>5546.09</v>
      </c>
    </row>
    <row r="172" spans="1:26" x14ac:dyDescent="0.25">
      <c r="A172">
        <v>100170</v>
      </c>
      <c r="B172" s="3">
        <v>45839</v>
      </c>
      <c r="C172" s="3">
        <v>45843</v>
      </c>
      <c r="D172" s="3">
        <v>45854</v>
      </c>
      <c r="E172" t="s">
        <v>608</v>
      </c>
      <c r="F172" t="s">
        <v>25</v>
      </c>
      <c r="G172" t="s">
        <v>59</v>
      </c>
      <c r="H172" t="s">
        <v>609</v>
      </c>
      <c r="I172" t="s">
        <v>368</v>
      </c>
      <c r="J172" t="s">
        <v>29</v>
      </c>
      <c r="K172" t="s">
        <v>610</v>
      </c>
      <c r="L172" t="s">
        <v>31</v>
      </c>
      <c r="M172" t="s">
        <v>54</v>
      </c>
      <c r="N172" t="s">
        <v>102</v>
      </c>
      <c r="O172" t="s">
        <v>103</v>
      </c>
      <c r="P172" t="s">
        <v>68</v>
      </c>
      <c r="Q172">
        <v>279</v>
      </c>
      <c r="R172">
        <v>37.450000000000003</v>
      </c>
      <c r="S172">
        <v>10448.549999999999</v>
      </c>
      <c r="T172">
        <v>46.59</v>
      </c>
      <c r="U172">
        <v>11</v>
      </c>
      <c r="V172">
        <v>15</v>
      </c>
      <c r="W172">
        <v>3403</v>
      </c>
      <c r="X172" t="s">
        <v>188</v>
      </c>
      <c r="Y172" t="s">
        <v>36</v>
      </c>
      <c r="Z172">
        <v>1558.6</v>
      </c>
    </row>
    <row r="173" spans="1:26" x14ac:dyDescent="0.25">
      <c r="A173">
        <v>100171</v>
      </c>
      <c r="B173" s="3">
        <v>45519</v>
      </c>
      <c r="C173" s="3">
        <v>45521</v>
      </c>
      <c r="D173" s="3">
        <v>45526</v>
      </c>
      <c r="E173" t="s">
        <v>611</v>
      </c>
      <c r="F173" t="s">
        <v>38</v>
      </c>
      <c r="G173" t="s">
        <v>83</v>
      </c>
      <c r="H173" t="s">
        <v>612</v>
      </c>
      <c r="I173" t="s">
        <v>126</v>
      </c>
      <c r="J173" t="s">
        <v>42</v>
      </c>
      <c r="K173" t="s">
        <v>613</v>
      </c>
      <c r="L173" t="s">
        <v>98</v>
      </c>
      <c r="M173" t="s">
        <v>65</v>
      </c>
      <c r="N173" t="s">
        <v>74</v>
      </c>
      <c r="O173" t="s">
        <v>75</v>
      </c>
      <c r="P173" t="s">
        <v>35</v>
      </c>
      <c r="Q173">
        <v>187</v>
      </c>
      <c r="R173">
        <v>220.33</v>
      </c>
      <c r="S173">
        <v>41201.71</v>
      </c>
      <c r="T173">
        <v>17.78</v>
      </c>
      <c r="U173">
        <v>5</v>
      </c>
      <c r="V173">
        <v>7</v>
      </c>
      <c r="W173">
        <v>1592</v>
      </c>
      <c r="X173" t="s">
        <v>3741</v>
      </c>
      <c r="Y173" t="s">
        <v>36</v>
      </c>
      <c r="Z173">
        <v>7503.3</v>
      </c>
    </row>
    <row r="174" spans="1:26" x14ac:dyDescent="0.25">
      <c r="A174">
        <v>100172</v>
      </c>
      <c r="B174" s="3">
        <v>45763</v>
      </c>
      <c r="C174" s="3">
        <v>45767</v>
      </c>
      <c r="D174" s="3">
        <v>45769</v>
      </c>
      <c r="E174" t="s">
        <v>614</v>
      </c>
      <c r="F174" t="s">
        <v>25</v>
      </c>
      <c r="G174" t="s">
        <v>244</v>
      </c>
      <c r="H174" t="s">
        <v>615</v>
      </c>
      <c r="I174" t="s">
        <v>116</v>
      </c>
      <c r="J174" t="s">
        <v>62</v>
      </c>
      <c r="K174" t="s">
        <v>607</v>
      </c>
      <c r="L174" t="s">
        <v>91</v>
      </c>
      <c r="M174" t="s">
        <v>25</v>
      </c>
      <c r="N174" t="s">
        <v>66</v>
      </c>
      <c r="O174" t="s">
        <v>67</v>
      </c>
      <c r="P174" t="s">
        <v>68</v>
      </c>
      <c r="Q174">
        <v>174</v>
      </c>
      <c r="R174">
        <v>49.16</v>
      </c>
      <c r="S174">
        <v>8553.84</v>
      </c>
      <c r="T174">
        <v>29.47</v>
      </c>
      <c r="U174">
        <v>2</v>
      </c>
      <c r="V174">
        <v>6</v>
      </c>
      <c r="W174">
        <v>3952</v>
      </c>
      <c r="X174" t="s">
        <v>3741</v>
      </c>
      <c r="Y174" t="s">
        <v>36</v>
      </c>
      <c r="Z174">
        <v>618.51</v>
      </c>
    </row>
    <row r="175" spans="1:26" x14ac:dyDescent="0.25">
      <c r="A175">
        <v>100173</v>
      </c>
      <c r="B175" s="3">
        <v>45662</v>
      </c>
      <c r="C175" s="3">
        <v>45662</v>
      </c>
      <c r="D175" s="3">
        <v>45668</v>
      </c>
      <c r="E175" t="s">
        <v>616</v>
      </c>
      <c r="F175" t="s">
        <v>25</v>
      </c>
      <c r="G175" t="s">
        <v>26</v>
      </c>
      <c r="H175" t="s">
        <v>617</v>
      </c>
      <c r="I175" t="s">
        <v>85</v>
      </c>
      <c r="J175" t="s">
        <v>52</v>
      </c>
      <c r="K175" t="s">
        <v>618</v>
      </c>
      <c r="L175" t="s">
        <v>91</v>
      </c>
      <c r="M175" t="s">
        <v>54</v>
      </c>
      <c r="N175" t="s">
        <v>92</v>
      </c>
      <c r="O175" t="s">
        <v>93</v>
      </c>
      <c r="P175" t="s">
        <v>35</v>
      </c>
      <c r="Q175">
        <v>126</v>
      </c>
      <c r="R175">
        <v>26.48</v>
      </c>
      <c r="S175">
        <v>3336.48</v>
      </c>
      <c r="T175">
        <v>16.05</v>
      </c>
      <c r="U175">
        <v>6</v>
      </c>
      <c r="V175">
        <v>6</v>
      </c>
      <c r="W175">
        <v>797</v>
      </c>
      <c r="X175" t="s">
        <v>3741</v>
      </c>
      <c r="Y175" t="s">
        <v>36</v>
      </c>
      <c r="Z175">
        <v>267.27999999999997</v>
      </c>
    </row>
    <row r="176" spans="1:26" x14ac:dyDescent="0.25">
      <c r="A176">
        <v>100174</v>
      </c>
      <c r="B176" s="3">
        <v>45334</v>
      </c>
      <c r="C176" s="3">
        <v>45334</v>
      </c>
      <c r="D176" s="3">
        <v>45335</v>
      </c>
      <c r="E176" t="s">
        <v>619</v>
      </c>
      <c r="F176" t="s">
        <v>32</v>
      </c>
      <c r="G176" t="s">
        <v>95</v>
      </c>
      <c r="H176" t="s">
        <v>620</v>
      </c>
      <c r="I176" t="s">
        <v>278</v>
      </c>
      <c r="J176" t="s">
        <v>29</v>
      </c>
      <c r="K176" t="s">
        <v>401</v>
      </c>
      <c r="L176" t="s">
        <v>212</v>
      </c>
      <c r="M176" t="s">
        <v>38</v>
      </c>
      <c r="N176" t="s">
        <v>33</v>
      </c>
      <c r="O176" t="s">
        <v>34</v>
      </c>
      <c r="P176" t="s">
        <v>68</v>
      </c>
      <c r="Q176">
        <v>74</v>
      </c>
      <c r="R176">
        <v>57.15</v>
      </c>
      <c r="S176">
        <v>4229.1000000000004</v>
      </c>
      <c r="T176">
        <v>33.31</v>
      </c>
      <c r="U176">
        <v>1</v>
      </c>
      <c r="V176">
        <v>1</v>
      </c>
      <c r="W176">
        <v>1687</v>
      </c>
      <c r="X176" t="s">
        <v>3741</v>
      </c>
      <c r="Y176" t="s">
        <v>36</v>
      </c>
      <c r="Z176">
        <v>572.37</v>
      </c>
    </row>
    <row r="177" spans="1:26" x14ac:dyDescent="0.25">
      <c r="A177">
        <v>100175</v>
      </c>
      <c r="B177" s="3">
        <v>45435</v>
      </c>
      <c r="C177" s="3">
        <v>45437</v>
      </c>
      <c r="D177" s="3">
        <v>45445</v>
      </c>
      <c r="E177" t="s">
        <v>621</v>
      </c>
      <c r="F177" t="s">
        <v>32</v>
      </c>
      <c r="G177" t="s">
        <v>273</v>
      </c>
      <c r="H177" t="s">
        <v>622</v>
      </c>
      <c r="I177" t="s">
        <v>198</v>
      </c>
      <c r="J177" t="s">
        <v>52</v>
      </c>
      <c r="K177" t="s">
        <v>623</v>
      </c>
      <c r="L177" t="s">
        <v>44</v>
      </c>
      <c r="M177" t="s">
        <v>65</v>
      </c>
      <c r="N177" t="s">
        <v>92</v>
      </c>
      <c r="O177" t="s">
        <v>93</v>
      </c>
      <c r="P177" t="s">
        <v>35</v>
      </c>
      <c r="Q177">
        <v>453</v>
      </c>
      <c r="R177">
        <v>37.19</v>
      </c>
      <c r="S177">
        <v>16847.07</v>
      </c>
      <c r="T177">
        <v>25.32</v>
      </c>
      <c r="U177">
        <v>8</v>
      </c>
      <c r="V177">
        <v>10</v>
      </c>
      <c r="W177">
        <v>810</v>
      </c>
      <c r="X177" t="s">
        <v>188</v>
      </c>
      <c r="Y177" t="s">
        <v>36</v>
      </c>
      <c r="Z177">
        <v>1594.99</v>
      </c>
    </row>
    <row r="178" spans="1:26" x14ac:dyDescent="0.25">
      <c r="A178">
        <v>100176</v>
      </c>
      <c r="B178" s="3">
        <v>45823</v>
      </c>
      <c r="C178" s="3">
        <v>45824</v>
      </c>
      <c r="D178" s="3">
        <v>45831</v>
      </c>
      <c r="E178" t="s">
        <v>624</v>
      </c>
      <c r="F178" t="s">
        <v>54</v>
      </c>
      <c r="G178" t="s">
        <v>225</v>
      </c>
      <c r="H178" t="s">
        <v>625</v>
      </c>
      <c r="I178" t="s">
        <v>182</v>
      </c>
      <c r="J178" t="s">
        <v>80</v>
      </c>
      <c r="K178" t="s">
        <v>553</v>
      </c>
      <c r="L178" t="s">
        <v>98</v>
      </c>
      <c r="M178" t="s">
        <v>32</v>
      </c>
      <c r="N178" t="s">
        <v>102</v>
      </c>
      <c r="O178" t="s">
        <v>103</v>
      </c>
      <c r="P178" t="s">
        <v>123</v>
      </c>
      <c r="Q178">
        <v>222</v>
      </c>
      <c r="R178">
        <v>244.49</v>
      </c>
      <c r="S178">
        <v>54276.78</v>
      </c>
      <c r="T178">
        <v>16.09</v>
      </c>
      <c r="U178">
        <v>7</v>
      </c>
      <c r="V178">
        <v>8</v>
      </c>
      <c r="W178">
        <v>831</v>
      </c>
      <c r="X178" t="s">
        <v>188</v>
      </c>
      <c r="Y178" t="s">
        <v>36</v>
      </c>
      <c r="Z178">
        <v>15051.05</v>
      </c>
    </row>
    <row r="179" spans="1:26" x14ac:dyDescent="0.25">
      <c r="A179">
        <v>100177</v>
      </c>
      <c r="B179" s="3">
        <v>45738</v>
      </c>
      <c r="C179" s="3">
        <v>45739</v>
      </c>
      <c r="D179" s="3">
        <v>45753</v>
      </c>
      <c r="E179" t="s">
        <v>626</v>
      </c>
      <c r="F179" t="s">
        <v>65</v>
      </c>
      <c r="G179" t="s">
        <v>154</v>
      </c>
      <c r="H179" t="s">
        <v>627</v>
      </c>
      <c r="I179" t="s">
        <v>139</v>
      </c>
      <c r="J179" t="s">
        <v>42</v>
      </c>
      <c r="K179" t="s">
        <v>628</v>
      </c>
      <c r="L179" t="s">
        <v>212</v>
      </c>
      <c r="M179" t="s">
        <v>54</v>
      </c>
      <c r="N179" t="s">
        <v>102</v>
      </c>
      <c r="O179" t="s">
        <v>103</v>
      </c>
      <c r="P179" t="s">
        <v>35</v>
      </c>
      <c r="Q179">
        <v>271</v>
      </c>
      <c r="R179">
        <v>205.05</v>
      </c>
      <c r="S179">
        <v>55568.55</v>
      </c>
      <c r="T179">
        <v>20.16</v>
      </c>
      <c r="U179">
        <v>14</v>
      </c>
      <c r="V179">
        <v>15</v>
      </c>
      <c r="W179">
        <v>650</v>
      </c>
      <c r="X179" t="s">
        <v>3742</v>
      </c>
      <c r="Y179" t="s">
        <v>188</v>
      </c>
      <c r="Z179">
        <v>5152</v>
      </c>
    </row>
    <row r="180" spans="1:26" x14ac:dyDescent="0.25">
      <c r="A180">
        <v>100178</v>
      </c>
      <c r="B180" s="3">
        <v>45795</v>
      </c>
      <c r="C180" s="3">
        <v>45798</v>
      </c>
      <c r="D180" s="3">
        <v>45805</v>
      </c>
      <c r="E180" t="s">
        <v>629</v>
      </c>
      <c r="F180" t="s">
        <v>25</v>
      </c>
      <c r="G180" t="s">
        <v>244</v>
      </c>
      <c r="H180" t="s">
        <v>630</v>
      </c>
      <c r="I180" t="s">
        <v>79</v>
      </c>
      <c r="J180" t="s">
        <v>80</v>
      </c>
      <c r="K180" t="s">
        <v>631</v>
      </c>
      <c r="L180" t="s">
        <v>187</v>
      </c>
      <c r="M180" t="s">
        <v>25</v>
      </c>
      <c r="N180" t="s">
        <v>45</v>
      </c>
      <c r="O180" t="s">
        <v>46</v>
      </c>
      <c r="P180" t="s">
        <v>68</v>
      </c>
      <c r="Q180">
        <v>494</v>
      </c>
      <c r="R180">
        <v>236.72</v>
      </c>
      <c r="S180">
        <v>116939.68</v>
      </c>
      <c r="T180">
        <v>44.83</v>
      </c>
      <c r="U180">
        <v>7</v>
      </c>
      <c r="V180">
        <v>10</v>
      </c>
      <c r="W180">
        <v>954</v>
      </c>
      <c r="X180" t="s">
        <v>188</v>
      </c>
      <c r="Y180" t="s">
        <v>36</v>
      </c>
      <c r="Z180">
        <v>23961.09</v>
      </c>
    </row>
    <row r="181" spans="1:26" x14ac:dyDescent="0.25">
      <c r="A181">
        <v>100179</v>
      </c>
      <c r="B181" s="3">
        <v>45759</v>
      </c>
      <c r="C181" s="3">
        <v>45764</v>
      </c>
      <c r="D181" s="3">
        <v>45768</v>
      </c>
      <c r="E181" t="s">
        <v>632</v>
      </c>
      <c r="F181" t="s">
        <v>32</v>
      </c>
      <c r="G181" t="s">
        <v>180</v>
      </c>
      <c r="H181" t="s">
        <v>633</v>
      </c>
      <c r="I181" t="s">
        <v>238</v>
      </c>
      <c r="J181" t="s">
        <v>62</v>
      </c>
      <c r="K181" t="s">
        <v>634</v>
      </c>
      <c r="L181" t="s">
        <v>98</v>
      </c>
      <c r="M181" t="s">
        <v>65</v>
      </c>
      <c r="N181" t="s">
        <v>33</v>
      </c>
      <c r="O181" t="s">
        <v>34</v>
      </c>
      <c r="P181" t="s">
        <v>68</v>
      </c>
      <c r="Q181">
        <v>268</v>
      </c>
      <c r="R181">
        <v>45.37</v>
      </c>
      <c r="S181">
        <v>12159.16</v>
      </c>
      <c r="T181">
        <v>45.88</v>
      </c>
      <c r="U181">
        <v>4</v>
      </c>
      <c r="V181">
        <v>9</v>
      </c>
      <c r="W181">
        <v>2198</v>
      </c>
      <c r="X181" t="s">
        <v>188</v>
      </c>
      <c r="Y181" t="s">
        <v>36</v>
      </c>
      <c r="Z181">
        <v>881.4</v>
      </c>
    </row>
    <row r="182" spans="1:26" x14ac:dyDescent="0.25">
      <c r="A182">
        <v>100180</v>
      </c>
      <c r="B182" s="3">
        <v>45904</v>
      </c>
      <c r="C182" s="3">
        <v>45907</v>
      </c>
      <c r="D182" s="3">
        <v>45913</v>
      </c>
      <c r="E182" t="s">
        <v>635</v>
      </c>
      <c r="F182" t="s">
        <v>54</v>
      </c>
      <c r="G182" t="s">
        <v>129</v>
      </c>
      <c r="H182" t="s">
        <v>636</v>
      </c>
      <c r="I182" t="s">
        <v>191</v>
      </c>
      <c r="J182" t="s">
        <v>62</v>
      </c>
      <c r="K182" t="s">
        <v>637</v>
      </c>
      <c r="L182" t="s">
        <v>91</v>
      </c>
      <c r="M182" t="s">
        <v>38</v>
      </c>
      <c r="N182" t="s">
        <v>45</v>
      </c>
      <c r="O182" t="s">
        <v>46</v>
      </c>
      <c r="P182" t="s">
        <v>35</v>
      </c>
      <c r="Q182">
        <v>146</v>
      </c>
      <c r="R182">
        <v>41.16</v>
      </c>
      <c r="S182">
        <v>6009.36</v>
      </c>
      <c r="T182">
        <v>16.61</v>
      </c>
      <c r="U182">
        <v>6</v>
      </c>
      <c r="V182">
        <v>9</v>
      </c>
      <c r="W182">
        <v>4258</v>
      </c>
      <c r="X182" t="s">
        <v>188</v>
      </c>
      <c r="Y182" t="s">
        <v>36</v>
      </c>
      <c r="Z182">
        <v>1052.6600000000001</v>
      </c>
    </row>
    <row r="183" spans="1:26" x14ac:dyDescent="0.25">
      <c r="A183">
        <v>100181</v>
      </c>
      <c r="B183" s="3">
        <v>45560</v>
      </c>
      <c r="C183" s="3">
        <v>45561</v>
      </c>
      <c r="D183" s="3">
        <v>45565</v>
      </c>
      <c r="E183" t="s">
        <v>638</v>
      </c>
      <c r="F183" t="s">
        <v>25</v>
      </c>
      <c r="G183" t="s">
        <v>233</v>
      </c>
      <c r="H183" t="s">
        <v>639</v>
      </c>
      <c r="I183" t="s">
        <v>72</v>
      </c>
      <c r="J183" t="s">
        <v>42</v>
      </c>
      <c r="K183" t="s">
        <v>640</v>
      </c>
      <c r="L183" t="s">
        <v>187</v>
      </c>
      <c r="M183" t="s">
        <v>54</v>
      </c>
      <c r="N183" t="s">
        <v>33</v>
      </c>
      <c r="O183" t="s">
        <v>34</v>
      </c>
      <c r="P183" t="s">
        <v>68</v>
      </c>
      <c r="Q183">
        <v>137</v>
      </c>
      <c r="R183">
        <v>64.92</v>
      </c>
      <c r="S183">
        <v>8894.0400000000009</v>
      </c>
      <c r="T183">
        <v>37.39</v>
      </c>
      <c r="U183">
        <v>4</v>
      </c>
      <c r="V183">
        <v>5</v>
      </c>
      <c r="W183">
        <v>1610</v>
      </c>
      <c r="X183" t="s">
        <v>3742</v>
      </c>
      <c r="Y183" t="s">
        <v>57</v>
      </c>
      <c r="Z183">
        <v>1698.85</v>
      </c>
    </row>
    <row r="184" spans="1:26" x14ac:dyDescent="0.25">
      <c r="A184">
        <v>100182</v>
      </c>
      <c r="B184" s="3">
        <v>45936</v>
      </c>
      <c r="C184" s="3">
        <v>45938</v>
      </c>
      <c r="D184" s="3">
        <v>45943</v>
      </c>
      <c r="E184" t="s">
        <v>641</v>
      </c>
      <c r="F184" t="s">
        <v>38</v>
      </c>
      <c r="G184" t="s">
        <v>39</v>
      </c>
      <c r="H184" t="s">
        <v>642</v>
      </c>
      <c r="I184" t="s">
        <v>51</v>
      </c>
      <c r="J184" t="s">
        <v>52</v>
      </c>
      <c r="K184" t="s">
        <v>643</v>
      </c>
      <c r="L184" t="s">
        <v>91</v>
      </c>
      <c r="M184" t="s">
        <v>65</v>
      </c>
      <c r="N184" t="s">
        <v>33</v>
      </c>
      <c r="O184" t="s">
        <v>34</v>
      </c>
      <c r="P184" t="s">
        <v>68</v>
      </c>
      <c r="Q184">
        <v>443</v>
      </c>
      <c r="R184">
        <v>17.079999999999998</v>
      </c>
      <c r="S184">
        <v>7566.44</v>
      </c>
      <c r="T184">
        <v>57.22</v>
      </c>
      <c r="U184">
        <v>5</v>
      </c>
      <c r="V184">
        <v>7</v>
      </c>
      <c r="W184">
        <v>3190</v>
      </c>
      <c r="X184" t="s">
        <v>3741</v>
      </c>
      <c r="Y184" t="s">
        <v>36</v>
      </c>
      <c r="Z184">
        <v>722.59</v>
      </c>
    </row>
    <row r="185" spans="1:26" x14ac:dyDescent="0.25">
      <c r="A185">
        <v>100183</v>
      </c>
      <c r="B185" s="3">
        <v>45879</v>
      </c>
      <c r="C185" s="3">
        <v>45882</v>
      </c>
      <c r="D185" s="3">
        <v>45895</v>
      </c>
      <c r="E185" t="s">
        <v>644</v>
      </c>
      <c r="F185" t="s">
        <v>25</v>
      </c>
      <c r="G185" t="s">
        <v>169</v>
      </c>
      <c r="H185" t="s">
        <v>645</v>
      </c>
      <c r="I185" t="s">
        <v>116</v>
      </c>
      <c r="J185" t="s">
        <v>62</v>
      </c>
      <c r="K185" t="s">
        <v>646</v>
      </c>
      <c r="L185" t="s">
        <v>113</v>
      </c>
      <c r="M185" t="s">
        <v>65</v>
      </c>
      <c r="N185" t="s">
        <v>33</v>
      </c>
      <c r="O185" t="s">
        <v>34</v>
      </c>
      <c r="P185" t="s">
        <v>123</v>
      </c>
      <c r="Q185">
        <v>199</v>
      </c>
      <c r="R185">
        <v>37.36</v>
      </c>
      <c r="S185">
        <v>7434.64</v>
      </c>
      <c r="T185">
        <v>15.53</v>
      </c>
      <c r="U185">
        <v>13</v>
      </c>
      <c r="V185">
        <v>16</v>
      </c>
      <c r="W185">
        <v>1998</v>
      </c>
      <c r="X185" t="s">
        <v>188</v>
      </c>
      <c r="Y185" t="s">
        <v>36</v>
      </c>
      <c r="Z185">
        <v>791.47</v>
      </c>
    </row>
    <row r="186" spans="1:26" x14ac:dyDescent="0.25">
      <c r="A186">
        <v>100184</v>
      </c>
      <c r="B186" s="3">
        <v>45570</v>
      </c>
      <c r="C186" s="3">
        <v>45575</v>
      </c>
      <c r="D186" s="3">
        <v>45579</v>
      </c>
      <c r="E186" t="s">
        <v>647</v>
      </c>
      <c r="F186" t="s">
        <v>25</v>
      </c>
      <c r="G186" t="s">
        <v>244</v>
      </c>
      <c r="H186" t="s">
        <v>648</v>
      </c>
      <c r="I186" t="s">
        <v>79</v>
      </c>
      <c r="J186" t="s">
        <v>80</v>
      </c>
      <c r="K186" t="s">
        <v>649</v>
      </c>
      <c r="L186" t="s">
        <v>91</v>
      </c>
      <c r="M186" t="s">
        <v>38</v>
      </c>
      <c r="N186" t="s">
        <v>33</v>
      </c>
      <c r="O186" t="s">
        <v>34</v>
      </c>
      <c r="P186" t="s">
        <v>123</v>
      </c>
      <c r="Q186">
        <v>356</v>
      </c>
      <c r="R186">
        <v>236.58</v>
      </c>
      <c r="S186">
        <v>84222.48</v>
      </c>
      <c r="T186">
        <v>19.34</v>
      </c>
      <c r="U186">
        <v>4</v>
      </c>
      <c r="V186">
        <v>9</v>
      </c>
      <c r="W186">
        <v>773</v>
      </c>
      <c r="X186" t="s">
        <v>188</v>
      </c>
      <c r="Y186" t="s">
        <v>36</v>
      </c>
      <c r="Z186">
        <v>10521.27</v>
      </c>
    </row>
    <row r="187" spans="1:26" x14ac:dyDescent="0.25">
      <c r="A187">
        <v>100185</v>
      </c>
      <c r="B187" s="3">
        <v>45745</v>
      </c>
      <c r="C187" s="3">
        <v>45745</v>
      </c>
      <c r="D187" s="3">
        <v>45752</v>
      </c>
      <c r="E187" t="s">
        <v>650</v>
      </c>
      <c r="F187" t="s">
        <v>65</v>
      </c>
      <c r="G187" t="s">
        <v>142</v>
      </c>
      <c r="H187" t="s">
        <v>651</v>
      </c>
      <c r="I187" t="s">
        <v>28</v>
      </c>
      <c r="J187" t="s">
        <v>29</v>
      </c>
      <c r="K187" t="s">
        <v>652</v>
      </c>
      <c r="L187" t="s">
        <v>64</v>
      </c>
      <c r="M187" t="s">
        <v>32</v>
      </c>
      <c r="N187" t="s">
        <v>33</v>
      </c>
      <c r="O187" t="s">
        <v>34</v>
      </c>
      <c r="P187" t="s">
        <v>123</v>
      </c>
      <c r="Q187">
        <v>137</v>
      </c>
      <c r="R187">
        <v>80.72</v>
      </c>
      <c r="S187">
        <v>11058.64</v>
      </c>
      <c r="T187">
        <v>14.02</v>
      </c>
      <c r="U187">
        <v>7</v>
      </c>
      <c r="V187">
        <v>7</v>
      </c>
      <c r="W187">
        <v>2713</v>
      </c>
      <c r="X187" t="s">
        <v>3741</v>
      </c>
      <c r="Y187" t="s">
        <v>36</v>
      </c>
      <c r="Z187">
        <v>1483</v>
      </c>
    </row>
    <row r="188" spans="1:26" x14ac:dyDescent="0.25">
      <c r="A188">
        <v>100186</v>
      </c>
      <c r="B188" s="3">
        <v>45593</v>
      </c>
      <c r="C188" s="3">
        <v>45596</v>
      </c>
      <c r="D188" s="3">
        <v>45601</v>
      </c>
      <c r="E188" t="s">
        <v>653</v>
      </c>
      <c r="F188" t="s">
        <v>38</v>
      </c>
      <c r="G188" t="s">
        <v>147</v>
      </c>
      <c r="H188" t="s">
        <v>654</v>
      </c>
      <c r="I188" t="s">
        <v>238</v>
      </c>
      <c r="J188" t="s">
        <v>62</v>
      </c>
      <c r="K188" t="s">
        <v>655</v>
      </c>
      <c r="L188" t="s">
        <v>64</v>
      </c>
      <c r="M188" t="s">
        <v>32</v>
      </c>
      <c r="N188" t="s">
        <v>45</v>
      </c>
      <c r="O188" t="s">
        <v>46</v>
      </c>
      <c r="P188" t="s">
        <v>35</v>
      </c>
      <c r="Q188">
        <v>216</v>
      </c>
      <c r="R188">
        <v>16.71</v>
      </c>
      <c r="S188">
        <v>3609.36</v>
      </c>
      <c r="T188">
        <v>18.600000000000001</v>
      </c>
      <c r="U188">
        <v>5</v>
      </c>
      <c r="V188">
        <v>8</v>
      </c>
      <c r="W188">
        <v>4108</v>
      </c>
      <c r="X188" t="s">
        <v>3742</v>
      </c>
      <c r="Y188" t="s">
        <v>57</v>
      </c>
      <c r="Z188">
        <v>241.2</v>
      </c>
    </row>
    <row r="189" spans="1:26" x14ac:dyDescent="0.25">
      <c r="A189">
        <v>100187</v>
      </c>
      <c r="B189" s="3">
        <v>45849</v>
      </c>
      <c r="C189" s="3">
        <v>45854</v>
      </c>
      <c r="D189" s="3">
        <v>45859</v>
      </c>
      <c r="E189" t="s">
        <v>656</v>
      </c>
      <c r="F189" t="s">
        <v>32</v>
      </c>
      <c r="G189" t="s">
        <v>95</v>
      </c>
      <c r="H189" t="s">
        <v>657</v>
      </c>
      <c r="I189" t="s">
        <v>191</v>
      </c>
      <c r="J189" t="s">
        <v>62</v>
      </c>
      <c r="K189" t="s">
        <v>658</v>
      </c>
      <c r="L189" t="s">
        <v>212</v>
      </c>
      <c r="M189" t="s">
        <v>32</v>
      </c>
      <c r="N189" t="s">
        <v>33</v>
      </c>
      <c r="O189" t="s">
        <v>34</v>
      </c>
      <c r="P189" t="s">
        <v>35</v>
      </c>
      <c r="Q189">
        <v>93</v>
      </c>
      <c r="R189">
        <v>5.81</v>
      </c>
      <c r="S189">
        <v>540.33000000000004</v>
      </c>
      <c r="T189">
        <v>11.19</v>
      </c>
      <c r="U189">
        <v>5</v>
      </c>
      <c r="V189">
        <v>10</v>
      </c>
      <c r="W189">
        <v>723</v>
      </c>
      <c r="X189" t="s">
        <v>188</v>
      </c>
      <c r="Y189" t="s">
        <v>36</v>
      </c>
      <c r="Z189">
        <v>35.5</v>
      </c>
    </row>
    <row r="190" spans="1:26" x14ac:dyDescent="0.25">
      <c r="A190">
        <v>100188</v>
      </c>
      <c r="B190" s="3">
        <v>45374</v>
      </c>
      <c r="C190" s="3">
        <v>45379</v>
      </c>
      <c r="D190" s="3">
        <v>45391</v>
      </c>
      <c r="E190" t="s">
        <v>659</v>
      </c>
      <c r="F190" t="s">
        <v>54</v>
      </c>
      <c r="G190" t="s">
        <v>129</v>
      </c>
      <c r="H190" t="s">
        <v>660</v>
      </c>
      <c r="I190" t="s">
        <v>144</v>
      </c>
      <c r="J190" t="s">
        <v>52</v>
      </c>
      <c r="K190" t="s">
        <v>661</v>
      </c>
      <c r="L190" t="s">
        <v>113</v>
      </c>
      <c r="M190" t="s">
        <v>38</v>
      </c>
      <c r="N190" t="s">
        <v>55</v>
      </c>
      <c r="O190" t="s">
        <v>56</v>
      </c>
      <c r="P190" t="s">
        <v>76</v>
      </c>
      <c r="Q190">
        <v>477</v>
      </c>
      <c r="R190">
        <v>88.51</v>
      </c>
      <c r="S190">
        <v>42219.27</v>
      </c>
      <c r="T190">
        <v>16.71</v>
      </c>
      <c r="U190">
        <v>12</v>
      </c>
      <c r="V190">
        <v>17</v>
      </c>
      <c r="W190">
        <v>3989</v>
      </c>
      <c r="X190" t="s">
        <v>188</v>
      </c>
      <c r="Y190" t="s">
        <v>36</v>
      </c>
      <c r="Z190">
        <v>7490.78</v>
      </c>
    </row>
    <row r="191" spans="1:26" x14ac:dyDescent="0.25">
      <c r="A191">
        <v>100189</v>
      </c>
      <c r="B191" s="3">
        <v>45689</v>
      </c>
      <c r="C191" s="3">
        <v>45694</v>
      </c>
      <c r="D191" s="3">
        <v>45699</v>
      </c>
      <c r="E191" t="s">
        <v>662</v>
      </c>
      <c r="F191" t="s">
        <v>65</v>
      </c>
      <c r="G191" t="s">
        <v>70</v>
      </c>
      <c r="H191" t="s">
        <v>663</v>
      </c>
      <c r="I191" t="s">
        <v>416</v>
      </c>
      <c r="J191" t="s">
        <v>80</v>
      </c>
      <c r="K191" t="s">
        <v>664</v>
      </c>
      <c r="L191" t="s">
        <v>113</v>
      </c>
      <c r="M191" t="s">
        <v>54</v>
      </c>
      <c r="N191" t="s">
        <v>107</v>
      </c>
      <c r="O191" t="s">
        <v>108</v>
      </c>
      <c r="P191" t="s">
        <v>68</v>
      </c>
      <c r="Q191">
        <v>170</v>
      </c>
      <c r="R191">
        <v>185.32</v>
      </c>
      <c r="S191">
        <v>31504.400000000001</v>
      </c>
      <c r="T191">
        <v>39.53</v>
      </c>
      <c r="U191">
        <v>5</v>
      </c>
      <c r="V191">
        <v>10</v>
      </c>
      <c r="W191">
        <v>2186</v>
      </c>
      <c r="X191" t="s">
        <v>3742</v>
      </c>
      <c r="Y191" t="s">
        <v>57</v>
      </c>
      <c r="Z191">
        <v>4881.97</v>
      </c>
    </row>
    <row r="192" spans="1:26" x14ac:dyDescent="0.25">
      <c r="A192">
        <v>100190</v>
      </c>
      <c r="B192" s="3">
        <v>45332</v>
      </c>
      <c r="C192" s="3">
        <v>45335</v>
      </c>
      <c r="D192" s="3">
        <v>45338</v>
      </c>
      <c r="E192" t="s">
        <v>665</v>
      </c>
      <c r="F192" t="s">
        <v>38</v>
      </c>
      <c r="G192" t="s">
        <v>217</v>
      </c>
      <c r="H192" t="s">
        <v>666</v>
      </c>
      <c r="I192" t="s">
        <v>368</v>
      </c>
      <c r="J192" t="s">
        <v>29</v>
      </c>
      <c r="K192" t="s">
        <v>667</v>
      </c>
      <c r="L192" t="s">
        <v>44</v>
      </c>
      <c r="M192" t="s">
        <v>65</v>
      </c>
      <c r="N192" t="s">
        <v>92</v>
      </c>
      <c r="O192" t="s">
        <v>93</v>
      </c>
      <c r="P192" t="s">
        <v>68</v>
      </c>
      <c r="Q192">
        <v>434</v>
      </c>
      <c r="R192">
        <v>118.79</v>
      </c>
      <c r="S192">
        <v>51554.86</v>
      </c>
      <c r="T192">
        <v>56.64</v>
      </c>
      <c r="U192">
        <v>3</v>
      </c>
      <c r="V192">
        <v>6</v>
      </c>
      <c r="W192">
        <v>1428</v>
      </c>
      <c r="X192" t="s">
        <v>3741</v>
      </c>
      <c r="Y192" t="s">
        <v>36</v>
      </c>
      <c r="Z192">
        <v>10205.74</v>
      </c>
    </row>
    <row r="193" spans="1:26" x14ac:dyDescent="0.25">
      <c r="A193">
        <v>100191</v>
      </c>
      <c r="B193" s="3">
        <v>45867</v>
      </c>
      <c r="C193" s="3">
        <v>45872</v>
      </c>
      <c r="D193" s="3">
        <v>45877</v>
      </c>
      <c r="E193" t="s">
        <v>668</v>
      </c>
      <c r="F193" t="s">
        <v>25</v>
      </c>
      <c r="G193" t="s">
        <v>172</v>
      </c>
      <c r="H193" t="s">
        <v>669</v>
      </c>
      <c r="I193" t="s">
        <v>278</v>
      </c>
      <c r="J193" t="s">
        <v>29</v>
      </c>
      <c r="K193" t="s">
        <v>670</v>
      </c>
      <c r="L193" t="s">
        <v>44</v>
      </c>
      <c r="M193" t="s">
        <v>25</v>
      </c>
      <c r="N193" t="s">
        <v>55</v>
      </c>
      <c r="O193" t="s">
        <v>56</v>
      </c>
      <c r="P193" t="s">
        <v>123</v>
      </c>
      <c r="Q193">
        <v>285</v>
      </c>
      <c r="R193">
        <v>34.22</v>
      </c>
      <c r="S193">
        <v>9752.7000000000007</v>
      </c>
      <c r="T193">
        <v>13.05</v>
      </c>
      <c r="U193">
        <v>5</v>
      </c>
      <c r="V193">
        <v>10</v>
      </c>
      <c r="W193">
        <v>3210</v>
      </c>
      <c r="X193" t="s">
        <v>188</v>
      </c>
      <c r="Y193" t="s">
        <v>36</v>
      </c>
      <c r="Z193">
        <v>2267.52</v>
      </c>
    </row>
    <row r="194" spans="1:26" x14ac:dyDescent="0.25">
      <c r="A194">
        <v>100192</v>
      </c>
      <c r="B194" s="3">
        <v>46019</v>
      </c>
      <c r="C194" s="3">
        <v>46019</v>
      </c>
      <c r="D194" s="3">
        <v>46030</v>
      </c>
      <c r="E194" t="s">
        <v>671</v>
      </c>
      <c r="F194" t="s">
        <v>54</v>
      </c>
      <c r="G194" t="s">
        <v>225</v>
      </c>
      <c r="H194" t="s">
        <v>672</v>
      </c>
      <c r="I194" t="s">
        <v>198</v>
      </c>
      <c r="J194" t="s">
        <v>52</v>
      </c>
      <c r="K194" t="s">
        <v>673</v>
      </c>
      <c r="L194" t="s">
        <v>113</v>
      </c>
      <c r="M194" t="s">
        <v>38</v>
      </c>
      <c r="N194" t="s">
        <v>45</v>
      </c>
      <c r="O194" t="s">
        <v>46</v>
      </c>
      <c r="P194" t="s">
        <v>123</v>
      </c>
      <c r="Q194">
        <v>183</v>
      </c>
      <c r="R194">
        <v>71.459999999999994</v>
      </c>
      <c r="S194">
        <v>13077.18</v>
      </c>
      <c r="T194">
        <v>15.14</v>
      </c>
      <c r="U194">
        <v>11</v>
      </c>
      <c r="V194">
        <v>11</v>
      </c>
      <c r="W194">
        <v>2096</v>
      </c>
      <c r="X194" t="s">
        <v>188</v>
      </c>
      <c r="Y194" t="s">
        <v>36</v>
      </c>
      <c r="Z194">
        <v>1190.26</v>
      </c>
    </row>
    <row r="195" spans="1:26" x14ac:dyDescent="0.25">
      <c r="A195">
        <v>100193</v>
      </c>
      <c r="B195" s="3">
        <v>45841</v>
      </c>
      <c r="C195" s="3">
        <v>45844</v>
      </c>
      <c r="D195" s="3">
        <v>45845</v>
      </c>
      <c r="E195" t="s">
        <v>674</v>
      </c>
      <c r="F195" t="s">
        <v>38</v>
      </c>
      <c r="G195" t="s">
        <v>39</v>
      </c>
      <c r="H195" t="s">
        <v>675</v>
      </c>
      <c r="I195" t="s">
        <v>85</v>
      </c>
      <c r="J195" t="s">
        <v>52</v>
      </c>
      <c r="K195" t="s">
        <v>231</v>
      </c>
      <c r="L195" t="s">
        <v>187</v>
      </c>
      <c r="M195" t="s">
        <v>54</v>
      </c>
      <c r="N195" t="s">
        <v>33</v>
      </c>
      <c r="O195" t="s">
        <v>34</v>
      </c>
      <c r="P195" t="s">
        <v>68</v>
      </c>
      <c r="Q195">
        <v>37</v>
      </c>
      <c r="R195">
        <v>27.2</v>
      </c>
      <c r="S195">
        <v>1006.4</v>
      </c>
      <c r="T195">
        <v>30.91</v>
      </c>
      <c r="U195">
        <v>1</v>
      </c>
      <c r="V195">
        <v>4</v>
      </c>
      <c r="W195">
        <v>778</v>
      </c>
      <c r="X195" t="s">
        <v>3741</v>
      </c>
      <c r="Y195" t="s">
        <v>36</v>
      </c>
      <c r="Z195">
        <v>163.9</v>
      </c>
    </row>
    <row r="196" spans="1:26" x14ac:dyDescent="0.25">
      <c r="A196">
        <v>100194</v>
      </c>
      <c r="B196" s="3">
        <v>45652</v>
      </c>
      <c r="C196" s="3">
        <v>45652</v>
      </c>
      <c r="D196" s="3">
        <v>45659</v>
      </c>
      <c r="E196" t="s">
        <v>676</v>
      </c>
      <c r="F196" t="s">
        <v>25</v>
      </c>
      <c r="G196" t="s">
        <v>221</v>
      </c>
      <c r="H196" t="s">
        <v>677</v>
      </c>
      <c r="I196" t="s">
        <v>89</v>
      </c>
      <c r="J196" t="s">
        <v>62</v>
      </c>
      <c r="K196" t="s">
        <v>678</v>
      </c>
      <c r="L196" t="s">
        <v>31</v>
      </c>
      <c r="M196" t="s">
        <v>54</v>
      </c>
      <c r="N196" t="s">
        <v>92</v>
      </c>
      <c r="O196" t="s">
        <v>93</v>
      </c>
      <c r="P196" t="s">
        <v>68</v>
      </c>
      <c r="Q196">
        <v>292</v>
      </c>
      <c r="R196">
        <v>11.3</v>
      </c>
      <c r="S196">
        <v>3299.6</v>
      </c>
      <c r="T196">
        <v>47.43</v>
      </c>
      <c r="U196">
        <v>7</v>
      </c>
      <c r="V196">
        <v>7</v>
      </c>
      <c r="W196">
        <v>3751</v>
      </c>
      <c r="X196" t="s">
        <v>3741</v>
      </c>
      <c r="Y196" t="s">
        <v>36</v>
      </c>
      <c r="Z196">
        <v>320.43</v>
      </c>
    </row>
    <row r="197" spans="1:26" x14ac:dyDescent="0.25">
      <c r="A197">
        <v>100195</v>
      </c>
      <c r="B197" s="3">
        <v>45433</v>
      </c>
      <c r="C197" s="3">
        <v>45435</v>
      </c>
      <c r="D197" s="3">
        <v>45460</v>
      </c>
      <c r="E197" t="s">
        <v>679</v>
      </c>
      <c r="F197" t="s">
        <v>65</v>
      </c>
      <c r="G197" t="s">
        <v>154</v>
      </c>
      <c r="H197" t="s">
        <v>680</v>
      </c>
      <c r="I197" t="s">
        <v>177</v>
      </c>
      <c r="J197" t="s">
        <v>29</v>
      </c>
      <c r="K197" t="s">
        <v>334</v>
      </c>
      <c r="L197" t="s">
        <v>91</v>
      </c>
      <c r="M197" t="s">
        <v>65</v>
      </c>
      <c r="N197" t="s">
        <v>55</v>
      </c>
      <c r="O197" t="s">
        <v>56</v>
      </c>
      <c r="P197" t="s">
        <v>76</v>
      </c>
      <c r="Q197">
        <v>495</v>
      </c>
      <c r="R197">
        <v>103.95</v>
      </c>
      <c r="S197">
        <v>51455.25</v>
      </c>
      <c r="T197">
        <v>12.62</v>
      </c>
      <c r="U197">
        <v>25</v>
      </c>
      <c r="V197">
        <v>27</v>
      </c>
      <c r="W197">
        <v>1030</v>
      </c>
      <c r="X197" t="s">
        <v>3742</v>
      </c>
      <c r="Y197" t="s">
        <v>57</v>
      </c>
      <c r="Z197">
        <v>6244.6</v>
      </c>
    </row>
    <row r="198" spans="1:26" x14ac:dyDescent="0.25">
      <c r="A198">
        <v>100196</v>
      </c>
      <c r="B198" s="3">
        <v>45632</v>
      </c>
      <c r="C198" s="3">
        <v>45636</v>
      </c>
      <c r="D198" s="3">
        <v>45638</v>
      </c>
      <c r="E198" t="s">
        <v>681</v>
      </c>
      <c r="F198" t="s">
        <v>65</v>
      </c>
      <c r="G198" t="s">
        <v>70</v>
      </c>
      <c r="H198" t="s">
        <v>682</v>
      </c>
      <c r="I198" t="s">
        <v>246</v>
      </c>
      <c r="J198" t="s">
        <v>29</v>
      </c>
      <c r="K198" t="s">
        <v>683</v>
      </c>
      <c r="L198" t="s">
        <v>118</v>
      </c>
      <c r="M198" t="s">
        <v>54</v>
      </c>
      <c r="N198" t="s">
        <v>107</v>
      </c>
      <c r="O198" t="s">
        <v>108</v>
      </c>
      <c r="P198" t="s">
        <v>35</v>
      </c>
      <c r="Q198">
        <v>242</v>
      </c>
      <c r="R198">
        <v>53.67</v>
      </c>
      <c r="S198">
        <v>12988.14</v>
      </c>
      <c r="T198">
        <v>19.329999999999998</v>
      </c>
      <c r="U198">
        <v>2</v>
      </c>
      <c r="V198">
        <v>6</v>
      </c>
      <c r="W198">
        <v>1722</v>
      </c>
      <c r="X198" t="s">
        <v>3741</v>
      </c>
      <c r="Y198" t="s">
        <v>36</v>
      </c>
      <c r="Z198">
        <v>2660.38</v>
      </c>
    </row>
    <row r="199" spans="1:26" x14ac:dyDescent="0.25">
      <c r="A199">
        <v>100197</v>
      </c>
      <c r="B199" s="3">
        <v>45474</v>
      </c>
      <c r="C199" s="3">
        <v>45474</v>
      </c>
      <c r="D199" s="3">
        <v>45479</v>
      </c>
      <c r="E199" t="s">
        <v>619</v>
      </c>
      <c r="F199" t="s">
        <v>38</v>
      </c>
      <c r="G199" t="s">
        <v>49</v>
      </c>
      <c r="H199" t="s">
        <v>684</v>
      </c>
      <c r="I199" t="s">
        <v>246</v>
      </c>
      <c r="J199" t="s">
        <v>29</v>
      </c>
      <c r="K199" t="s">
        <v>685</v>
      </c>
      <c r="L199" t="s">
        <v>212</v>
      </c>
      <c r="M199" t="s">
        <v>32</v>
      </c>
      <c r="N199" t="s">
        <v>74</v>
      </c>
      <c r="O199" t="s">
        <v>75</v>
      </c>
      <c r="P199" t="s">
        <v>68</v>
      </c>
      <c r="Q199">
        <v>136</v>
      </c>
      <c r="R199">
        <v>40.22</v>
      </c>
      <c r="S199">
        <v>5469.92</v>
      </c>
      <c r="T199">
        <v>37.32</v>
      </c>
      <c r="U199">
        <v>5</v>
      </c>
      <c r="V199">
        <v>5</v>
      </c>
      <c r="W199">
        <v>150</v>
      </c>
      <c r="X199" t="s">
        <v>3741</v>
      </c>
      <c r="Y199" t="s">
        <v>36</v>
      </c>
      <c r="Z199">
        <v>1474.85</v>
      </c>
    </row>
    <row r="200" spans="1:26" x14ac:dyDescent="0.25">
      <c r="A200">
        <v>100198</v>
      </c>
      <c r="B200" s="3">
        <v>45400</v>
      </c>
      <c r="C200" s="3">
        <v>45403</v>
      </c>
      <c r="D200" s="3">
        <v>45408</v>
      </c>
      <c r="E200" t="s">
        <v>686</v>
      </c>
      <c r="F200" t="s">
        <v>54</v>
      </c>
      <c r="G200" t="s">
        <v>193</v>
      </c>
      <c r="H200" t="s">
        <v>687</v>
      </c>
      <c r="I200" t="s">
        <v>198</v>
      </c>
      <c r="J200" t="s">
        <v>52</v>
      </c>
      <c r="K200" t="s">
        <v>688</v>
      </c>
      <c r="L200" t="s">
        <v>98</v>
      </c>
      <c r="M200" t="s">
        <v>38</v>
      </c>
      <c r="N200" t="s">
        <v>203</v>
      </c>
      <c r="O200" t="s">
        <v>204</v>
      </c>
      <c r="P200" t="s">
        <v>68</v>
      </c>
      <c r="Q200">
        <v>17</v>
      </c>
      <c r="R200">
        <v>78.760000000000005</v>
      </c>
      <c r="S200">
        <v>1338.92</v>
      </c>
      <c r="T200">
        <v>29.61</v>
      </c>
      <c r="U200">
        <v>5</v>
      </c>
      <c r="V200">
        <v>8</v>
      </c>
      <c r="W200">
        <v>373</v>
      </c>
      <c r="X200" t="s">
        <v>188</v>
      </c>
      <c r="Y200" t="s">
        <v>36</v>
      </c>
      <c r="Z200">
        <v>74.48</v>
      </c>
    </row>
    <row r="201" spans="1:26" x14ac:dyDescent="0.25">
      <c r="A201">
        <v>100199</v>
      </c>
      <c r="B201" s="3">
        <v>45949</v>
      </c>
      <c r="C201" s="3">
        <v>45950</v>
      </c>
      <c r="D201" s="3">
        <v>45954</v>
      </c>
      <c r="E201" t="s">
        <v>689</v>
      </c>
      <c r="F201" t="s">
        <v>32</v>
      </c>
      <c r="G201" t="s">
        <v>255</v>
      </c>
      <c r="H201" t="s">
        <v>690</v>
      </c>
      <c r="I201" t="s">
        <v>198</v>
      </c>
      <c r="J201" t="s">
        <v>52</v>
      </c>
      <c r="K201" t="s">
        <v>691</v>
      </c>
      <c r="L201" t="s">
        <v>91</v>
      </c>
      <c r="M201" t="s">
        <v>38</v>
      </c>
      <c r="N201" t="s">
        <v>74</v>
      </c>
      <c r="O201" t="s">
        <v>75</v>
      </c>
      <c r="P201" t="s">
        <v>68</v>
      </c>
      <c r="Q201">
        <v>156</v>
      </c>
      <c r="R201">
        <v>56.9</v>
      </c>
      <c r="S201">
        <v>8876.4</v>
      </c>
      <c r="T201">
        <v>38.619999999999997</v>
      </c>
      <c r="U201">
        <v>4</v>
      </c>
      <c r="V201">
        <v>5</v>
      </c>
      <c r="W201">
        <v>1135</v>
      </c>
      <c r="X201" t="s">
        <v>3742</v>
      </c>
      <c r="Y201" t="s">
        <v>57</v>
      </c>
      <c r="Z201">
        <v>675.25</v>
      </c>
    </row>
    <row r="202" spans="1:26" x14ac:dyDescent="0.25">
      <c r="A202">
        <v>100200</v>
      </c>
      <c r="B202" s="3">
        <v>45396</v>
      </c>
      <c r="C202" s="3">
        <v>45397</v>
      </c>
      <c r="D202" s="3">
        <v>45400</v>
      </c>
      <c r="E202" t="s">
        <v>692</v>
      </c>
      <c r="F202" t="s">
        <v>65</v>
      </c>
      <c r="G202" t="s">
        <v>154</v>
      </c>
      <c r="H202" t="s">
        <v>693</v>
      </c>
      <c r="I202" t="s">
        <v>191</v>
      </c>
      <c r="J202" t="s">
        <v>62</v>
      </c>
      <c r="K202" t="s">
        <v>694</v>
      </c>
      <c r="L202" t="s">
        <v>64</v>
      </c>
      <c r="M202" t="s">
        <v>54</v>
      </c>
      <c r="N202" t="s">
        <v>45</v>
      </c>
      <c r="O202" t="s">
        <v>46</v>
      </c>
      <c r="P202" t="s">
        <v>35</v>
      </c>
      <c r="Q202">
        <v>386</v>
      </c>
      <c r="R202">
        <v>11.94</v>
      </c>
      <c r="S202">
        <v>4608.84</v>
      </c>
      <c r="T202">
        <v>23.42</v>
      </c>
      <c r="U202">
        <v>3</v>
      </c>
      <c r="V202">
        <v>4</v>
      </c>
      <c r="W202">
        <v>1070</v>
      </c>
      <c r="X202" t="s">
        <v>3741</v>
      </c>
      <c r="Y202" t="s">
        <v>36</v>
      </c>
      <c r="Z202">
        <v>468.27</v>
      </c>
    </row>
    <row r="203" spans="1:26" x14ac:dyDescent="0.25">
      <c r="A203">
        <v>100201</v>
      </c>
      <c r="B203" s="3">
        <v>45587</v>
      </c>
      <c r="C203" s="3">
        <v>45588</v>
      </c>
      <c r="D203" s="3">
        <v>45598</v>
      </c>
      <c r="E203" t="s">
        <v>695</v>
      </c>
      <c r="F203" t="s">
        <v>32</v>
      </c>
      <c r="G203" t="s">
        <v>273</v>
      </c>
      <c r="H203" t="s">
        <v>696</v>
      </c>
      <c r="I203" t="s">
        <v>139</v>
      </c>
      <c r="J203" t="s">
        <v>42</v>
      </c>
      <c r="K203" t="s">
        <v>697</v>
      </c>
      <c r="L203" t="s">
        <v>44</v>
      </c>
      <c r="M203" t="s">
        <v>38</v>
      </c>
      <c r="N203" t="s">
        <v>102</v>
      </c>
      <c r="O203" t="s">
        <v>103</v>
      </c>
      <c r="P203" t="s">
        <v>76</v>
      </c>
      <c r="Q203">
        <v>320</v>
      </c>
      <c r="R203">
        <v>285.11</v>
      </c>
      <c r="S203">
        <v>91235.199999999997</v>
      </c>
      <c r="T203">
        <v>13.85</v>
      </c>
      <c r="U203">
        <v>10</v>
      </c>
      <c r="V203">
        <v>11</v>
      </c>
      <c r="W203">
        <v>1035</v>
      </c>
      <c r="X203" t="s">
        <v>188</v>
      </c>
      <c r="Y203" t="s">
        <v>36</v>
      </c>
      <c r="Z203">
        <v>10044.57</v>
      </c>
    </row>
    <row r="204" spans="1:26" x14ac:dyDescent="0.25">
      <c r="A204">
        <v>100202</v>
      </c>
      <c r="B204" s="3">
        <v>45699</v>
      </c>
      <c r="C204" s="3">
        <v>45699</v>
      </c>
      <c r="D204" s="3">
        <v>45706</v>
      </c>
      <c r="E204" t="s">
        <v>698</v>
      </c>
      <c r="F204" t="s">
        <v>65</v>
      </c>
      <c r="G204" t="s">
        <v>142</v>
      </c>
      <c r="H204" t="s">
        <v>699</v>
      </c>
      <c r="I204" t="s">
        <v>116</v>
      </c>
      <c r="J204" t="s">
        <v>62</v>
      </c>
      <c r="K204" t="s">
        <v>700</v>
      </c>
      <c r="L204" t="s">
        <v>91</v>
      </c>
      <c r="M204" t="s">
        <v>32</v>
      </c>
      <c r="N204" t="s">
        <v>66</v>
      </c>
      <c r="O204" t="s">
        <v>67</v>
      </c>
      <c r="P204" t="s">
        <v>35</v>
      </c>
      <c r="Q204">
        <v>82</v>
      </c>
      <c r="R204">
        <v>18.78</v>
      </c>
      <c r="S204">
        <v>1539.96</v>
      </c>
      <c r="T204">
        <v>14.8</v>
      </c>
      <c r="U204">
        <v>7</v>
      </c>
      <c r="V204">
        <v>7</v>
      </c>
      <c r="W204">
        <v>4005</v>
      </c>
      <c r="X204" t="s">
        <v>3741</v>
      </c>
      <c r="Y204" t="s">
        <v>36</v>
      </c>
      <c r="Z204">
        <v>139.12</v>
      </c>
    </row>
    <row r="205" spans="1:26" x14ac:dyDescent="0.25">
      <c r="A205">
        <v>100203</v>
      </c>
      <c r="B205" s="3">
        <v>45463</v>
      </c>
      <c r="C205" s="3">
        <v>45463</v>
      </c>
      <c r="D205" s="3">
        <v>45488</v>
      </c>
      <c r="E205" t="s">
        <v>701</v>
      </c>
      <c r="F205" t="s">
        <v>38</v>
      </c>
      <c r="G205" t="s">
        <v>49</v>
      </c>
      <c r="H205" t="s">
        <v>702</v>
      </c>
      <c r="I205" t="s">
        <v>416</v>
      </c>
      <c r="J205" t="s">
        <v>80</v>
      </c>
      <c r="K205" t="s">
        <v>392</v>
      </c>
      <c r="L205" t="s">
        <v>91</v>
      </c>
      <c r="M205" t="s">
        <v>65</v>
      </c>
      <c r="N205" t="s">
        <v>45</v>
      </c>
      <c r="O205" t="s">
        <v>46</v>
      </c>
      <c r="P205" t="s">
        <v>76</v>
      </c>
      <c r="Q205">
        <v>426</v>
      </c>
      <c r="R205">
        <v>203</v>
      </c>
      <c r="S205">
        <v>86478</v>
      </c>
      <c r="T205">
        <v>15.78</v>
      </c>
      <c r="U205">
        <v>25</v>
      </c>
      <c r="V205">
        <v>25</v>
      </c>
      <c r="W205">
        <v>56</v>
      </c>
      <c r="X205" t="s">
        <v>3742</v>
      </c>
      <c r="Y205" t="s">
        <v>188</v>
      </c>
      <c r="Z205">
        <v>22677.39</v>
      </c>
    </row>
    <row r="206" spans="1:26" x14ac:dyDescent="0.25">
      <c r="A206">
        <v>100204</v>
      </c>
      <c r="B206" s="3">
        <v>45439</v>
      </c>
      <c r="C206" s="3">
        <v>45441</v>
      </c>
      <c r="D206" s="3">
        <v>45454</v>
      </c>
      <c r="E206" t="s">
        <v>703</v>
      </c>
      <c r="F206" t="s">
        <v>38</v>
      </c>
      <c r="G206" t="s">
        <v>83</v>
      </c>
      <c r="H206" t="s">
        <v>704</v>
      </c>
      <c r="I206" t="s">
        <v>230</v>
      </c>
      <c r="J206" t="s">
        <v>80</v>
      </c>
      <c r="K206" t="s">
        <v>705</v>
      </c>
      <c r="L206" t="s">
        <v>118</v>
      </c>
      <c r="M206" t="s">
        <v>32</v>
      </c>
      <c r="N206" t="s">
        <v>107</v>
      </c>
      <c r="O206" t="s">
        <v>108</v>
      </c>
      <c r="P206" t="s">
        <v>123</v>
      </c>
      <c r="Q206">
        <v>484</v>
      </c>
      <c r="R206">
        <v>166.98</v>
      </c>
      <c r="S206">
        <v>80818.320000000007</v>
      </c>
      <c r="T206">
        <v>22.45</v>
      </c>
      <c r="U206">
        <v>13</v>
      </c>
      <c r="V206">
        <v>15</v>
      </c>
      <c r="W206">
        <v>866</v>
      </c>
      <c r="X206" t="s">
        <v>188</v>
      </c>
      <c r="Y206" t="s">
        <v>36</v>
      </c>
      <c r="Z206">
        <v>16543.18</v>
      </c>
    </row>
    <row r="207" spans="1:26" x14ac:dyDescent="0.25">
      <c r="A207">
        <v>100205</v>
      </c>
      <c r="B207" s="3">
        <v>45731</v>
      </c>
      <c r="C207" s="3">
        <v>45734</v>
      </c>
      <c r="D207" s="3">
        <v>45743</v>
      </c>
      <c r="E207" t="s">
        <v>706</v>
      </c>
      <c r="F207" t="s">
        <v>32</v>
      </c>
      <c r="G207" t="s">
        <v>95</v>
      </c>
      <c r="H207" t="s">
        <v>707</v>
      </c>
      <c r="I207" t="s">
        <v>51</v>
      </c>
      <c r="J207" t="s">
        <v>52</v>
      </c>
      <c r="K207" t="s">
        <v>708</v>
      </c>
      <c r="L207" t="s">
        <v>113</v>
      </c>
      <c r="M207" t="s">
        <v>65</v>
      </c>
      <c r="N207" t="s">
        <v>203</v>
      </c>
      <c r="O207" t="s">
        <v>204</v>
      </c>
      <c r="P207" t="s">
        <v>123</v>
      </c>
      <c r="Q207">
        <v>334</v>
      </c>
      <c r="R207">
        <v>26.74</v>
      </c>
      <c r="S207">
        <v>8931.16</v>
      </c>
      <c r="T207">
        <v>18.809999999999999</v>
      </c>
      <c r="U207">
        <v>9</v>
      </c>
      <c r="V207">
        <v>12</v>
      </c>
      <c r="W207">
        <v>3615</v>
      </c>
      <c r="X207" t="s">
        <v>188</v>
      </c>
      <c r="Y207" t="s">
        <v>36</v>
      </c>
      <c r="Z207">
        <v>80.08</v>
      </c>
    </row>
    <row r="208" spans="1:26" x14ac:dyDescent="0.25">
      <c r="A208">
        <v>100206</v>
      </c>
      <c r="B208" s="3">
        <v>45739</v>
      </c>
      <c r="C208" s="3">
        <v>45741</v>
      </c>
      <c r="D208" s="3">
        <v>45754</v>
      </c>
      <c r="E208" t="s">
        <v>709</v>
      </c>
      <c r="F208" t="s">
        <v>32</v>
      </c>
      <c r="G208" t="s">
        <v>180</v>
      </c>
      <c r="H208" t="s">
        <v>710</v>
      </c>
      <c r="I208" t="s">
        <v>116</v>
      </c>
      <c r="J208" t="s">
        <v>62</v>
      </c>
      <c r="K208" t="s">
        <v>711</v>
      </c>
      <c r="L208" t="s">
        <v>122</v>
      </c>
      <c r="M208" t="s">
        <v>65</v>
      </c>
      <c r="N208" t="s">
        <v>151</v>
      </c>
      <c r="O208" t="s">
        <v>152</v>
      </c>
      <c r="P208" t="s">
        <v>123</v>
      </c>
      <c r="Q208">
        <v>408</v>
      </c>
      <c r="R208">
        <v>26.95</v>
      </c>
      <c r="S208">
        <v>10995.6</v>
      </c>
      <c r="T208">
        <v>20.61</v>
      </c>
      <c r="U208">
        <v>13</v>
      </c>
      <c r="V208">
        <v>15</v>
      </c>
      <c r="W208">
        <v>4309</v>
      </c>
      <c r="X208" t="s">
        <v>188</v>
      </c>
      <c r="Y208" t="s">
        <v>36</v>
      </c>
      <c r="Z208">
        <v>1895.59</v>
      </c>
    </row>
    <row r="209" spans="1:26" x14ac:dyDescent="0.25">
      <c r="A209">
        <v>100207</v>
      </c>
      <c r="B209" s="3">
        <v>45378</v>
      </c>
      <c r="C209" s="3">
        <v>45383</v>
      </c>
      <c r="D209" s="3">
        <v>45390</v>
      </c>
      <c r="E209" t="s">
        <v>712</v>
      </c>
      <c r="F209" t="s">
        <v>65</v>
      </c>
      <c r="G209" t="s">
        <v>142</v>
      </c>
      <c r="H209" t="s">
        <v>713</v>
      </c>
      <c r="I209" t="s">
        <v>149</v>
      </c>
      <c r="J209" t="s">
        <v>42</v>
      </c>
      <c r="K209" t="s">
        <v>714</v>
      </c>
      <c r="L209" t="s">
        <v>44</v>
      </c>
      <c r="M209" t="s">
        <v>65</v>
      </c>
      <c r="N209" t="s">
        <v>33</v>
      </c>
      <c r="O209" t="s">
        <v>34</v>
      </c>
      <c r="P209" t="s">
        <v>123</v>
      </c>
      <c r="Q209">
        <v>86</v>
      </c>
      <c r="R209">
        <v>296.68</v>
      </c>
      <c r="S209">
        <v>25514.48</v>
      </c>
      <c r="T209">
        <v>9.4700000000000006</v>
      </c>
      <c r="U209">
        <v>7</v>
      </c>
      <c r="V209">
        <v>12</v>
      </c>
      <c r="W209">
        <v>687</v>
      </c>
      <c r="X209" t="s">
        <v>188</v>
      </c>
      <c r="Y209" t="s">
        <v>36</v>
      </c>
      <c r="Z209">
        <v>3247.56</v>
      </c>
    </row>
    <row r="210" spans="1:26" x14ac:dyDescent="0.25">
      <c r="A210">
        <v>100208</v>
      </c>
      <c r="B210" s="3">
        <v>45456</v>
      </c>
      <c r="C210" s="3">
        <v>45456</v>
      </c>
      <c r="D210" s="3">
        <v>45466</v>
      </c>
      <c r="E210" t="s">
        <v>715</v>
      </c>
      <c r="F210" t="s">
        <v>65</v>
      </c>
      <c r="G210" t="s">
        <v>154</v>
      </c>
      <c r="H210" t="s">
        <v>716</v>
      </c>
      <c r="I210" t="s">
        <v>85</v>
      </c>
      <c r="J210" t="s">
        <v>52</v>
      </c>
      <c r="K210" t="s">
        <v>717</v>
      </c>
      <c r="L210" t="s">
        <v>91</v>
      </c>
      <c r="M210" t="s">
        <v>25</v>
      </c>
      <c r="N210" t="s">
        <v>45</v>
      </c>
      <c r="O210" t="s">
        <v>46</v>
      </c>
      <c r="P210" t="s">
        <v>76</v>
      </c>
      <c r="Q210">
        <v>352</v>
      </c>
      <c r="R210">
        <v>44.12</v>
      </c>
      <c r="S210">
        <v>15530.24</v>
      </c>
      <c r="T210">
        <v>14.43</v>
      </c>
      <c r="U210">
        <v>10</v>
      </c>
      <c r="V210">
        <v>10</v>
      </c>
      <c r="W210">
        <v>1577</v>
      </c>
      <c r="X210" t="s">
        <v>188</v>
      </c>
      <c r="Y210" t="s">
        <v>36</v>
      </c>
      <c r="Z210">
        <v>1189.07</v>
      </c>
    </row>
    <row r="211" spans="1:26" x14ac:dyDescent="0.25">
      <c r="A211">
        <v>100209</v>
      </c>
      <c r="B211" s="3">
        <v>45824</v>
      </c>
      <c r="C211" s="3">
        <v>45827</v>
      </c>
      <c r="D211" s="3">
        <v>45841</v>
      </c>
      <c r="E211" t="s">
        <v>718</v>
      </c>
      <c r="F211" t="s">
        <v>65</v>
      </c>
      <c r="G211" t="s">
        <v>70</v>
      </c>
      <c r="H211" t="s">
        <v>719</v>
      </c>
      <c r="I211" t="s">
        <v>416</v>
      </c>
      <c r="J211" t="s">
        <v>80</v>
      </c>
      <c r="K211" t="s">
        <v>720</v>
      </c>
      <c r="L211" t="s">
        <v>91</v>
      </c>
      <c r="M211" t="s">
        <v>38</v>
      </c>
      <c r="N211" t="s">
        <v>74</v>
      </c>
      <c r="O211" t="s">
        <v>75</v>
      </c>
      <c r="P211" t="s">
        <v>123</v>
      </c>
      <c r="Q211">
        <v>134</v>
      </c>
      <c r="R211">
        <v>177.65</v>
      </c>
      <c r="S211">
        <v>23805.1</v>
      </c>
      <c r="T211">
        <v>13.95</v>
      </c>
      <c r="U211">
        <v>14</v>
      </c>
      <c r="V211">
        <v>17</v>
      </c>
      <c r="W211">
        <v>1184</v>
      </c>
      <c r="X211" t="s">
        <v>188</v>
      </c>
      <c r="Y211" t="s">
        <v>36</v>
      </c>
      <c r="Z211">
        <v>5822.64</v>
      </c>
    </row>
    <row r="212" spans="1:26" x14ac:dyDescent="0.25">
      <c r="A212">
        <v>100210</v>
      </c>
      <c r="B212" s="3">
        <v>45395</v>
      </c>
      <c r="C212" s="3">
        <v>45400</v>
      </c>
      <c r="D212" s="3">
        <v>45418</v>
      </c>
      <c r="E212" t="s">
        <v>721</v>
      </c>
      <c r="F212" t="s">
        <v>54</v>
      </c>
      <c r="G212" t="s">
        <v>158</v>
      </c>
      <c r="H212" t="s">
        <v>722</v>
      </c>
      <c r="I212" t="s">
        <v>28</v>
      </c>
      <c r="J212" t="s">
        <v>29</v>
      </c>
      <c r="K212" t="s">
        <v>723</v>
      </c>
      <c r="L212" t="s">
        <v>187</v>
      </c>
      <c r="M212" t="s">
        <v>65</v>
      </c>
      <c r="N212" t="s">
        <v>33</v>
      </c>
      <c r="O212" t="s">
        <v>34</v>
      </c>
      <c r="P212" t="s">
        <v>76</v>
      </c>
      <c r="Q212">
        <v>17</v>
      </c>
      <c r="R212">
        <v>14.34</v>
      </c>
      <c r="S212">
        <v>243.78</v>
      </c>
      <c r="T212">
        <v>8.33</v>
      </c>
      <c r="U212">
        <v>18</v>
      </c>
      <c r="V212">
        <v>23</v>
      </c>
      <c r="W212">
        <v>806</v>
      </c>
      <c r="X212" t="s">
        <v>188</v>
      </c>
      <c r="Y212" t="s">
        <v>36</v>
      </c>
      <c r="Z212">
        <v>22.5</v>
      </c>
    </row>
    <row r="213" spans="1:26" x14ac:dyDescent="0.25">
      <c r="A213">
        <v>100211</v>
      </c>
      <c r="B213" s="3">
        <v>45558</v>
      </c>
      <c r="C213" s="3">
        <v>45563</v>
      </c>
      <c r="D213" s="3">
        <v>45568</v>
      </c>
      <c r="E213" t="s">
        <v>724</v>
      </c>
      <c r="F213" t="s">
        <v>32</v>
      </c>
      <c r="G213" t="s">
        <v>273</v>
      </c>
      <c r="H213" t="s">
        <v>725</v>
      </c>
      <c r="I213" t="s">
        <v>139</v>
      </c>
      <c r="J213" t="s">
        <v>42</v>
      </c>
      <c r="K213" t="s">
        <v>599</v>
      </c>
      <c r="L213" t="s">
        <v>113</v>
      </c>
      <c r="M213" t="s">
        <v>32</v>
      </c>
      <c r="N213" t="s">
        <v>92</v>
      </c>
      <c r="O213" t="s">
        <v>93</v>
      </c>
      <c r="P213" t="s">
        <v>68</v>
      </c>
      <c r="Q213">
        <v>14</v>
      </c>
      <c r="R213">
        <v>369.74</v>
      </c>
      <c r="S213">
        <v>5176.3599999999997</v>
      </c>
      <c r="T213">
        <v>21.79</v>
      </c>
      <c r="U213">
        <v>5</v>
      </c>
      <c r="V213">
        <v>10</v>
      </c>
      <c r="W213">
        <v>1093</v>
      </c>
      <c r="X213" t="s">
        <v>3742</v>
      </c>
      <c r="Y213" t="s">
        <v>57</v>
      </c>
      <c r="Z213">
        <v>1094.98</v>
      </c>
    </row>
    <row r="214" spans="1:26" x14ac:dyDescent="0.25">
      <c r="A214">
        <v>100212</v>
      </c>
      <c r="B214" s="3">
        <v>45957</v>
      </c>
      <c r="C214" s="3">
        <v>45960</v>
      </c>
      <c r="D214" s="3">
        <v>45967</v>
      </c>
      <c r="E214" t="s">
        <v>726</v>
      </c>
      <c r="F214" t="s">
        <v>38</v>
      </c>
      <c r="G214" t="s">
        <v>217</v>
      </c>
      <c r="H214" t="s">
        <v>727</v>
      </c>
      <c r="I214" t="s">
        <v>41</v>
      </c>
      <c r="J214" t="s">
        <v>42</v>
      </c>
      <c r="K214" t="s">
        <v>728</v>
      </c>
      <c r="L214" t="s">
        <v>98</v>
      </c>
      <c r="M214" t="s">
        <v>32</v>
      </c>
      <c r="N214" t="s">
        <v>66</v>
      </c>
      <c r="O214" t="s">
        <v>67</v>
      </c>
      <c r="P214" t="s">
        <v>123</v>
      </c>
      <c r="Q214">
        <v>237</v>
      </c>
      <c r="R214">
        <v>171.46</v>
      </c>
      <c r="S214">
        <v>40636.019999999997</v>
      </c>
      <c r="T214">
        <v>16.45</v>
      </c>
      <c r="U214">
        <v>7</v>
      </c>
      <c r="V214">
        <v>10</v>
      </c>
      <c r="W214">
        <v>1490</v>
      </c>
      <c r="X214" t="s">
        <v>188</v>
      </c>
      <c r="Y214" t="s">
        <v>36</v>
      </c>
      <c r="Z214">
        <v>6680.6</v>
      </c>
    </row>
    <row r="215" spans="1:26" x14ac:dyDescent="0.25">
      <c r="A215">
        <v>100213</v>
      </c>
      <c r="B215" s="3">
        <v>45790</v>
      </c>
      <c r="C215" s="3">
        <v>45791</v>
      </c>
      <c r="D215" s="3">
        <v>45795</v>
      </c>
      <c r="E215" t="s">
        <v>729</v>
      </c>
      <c r="F215" t="s">
        <v>25</v>
      </c>
      <c r="G215" t="s">
        <v>59</v>
      </c>
      <c r="H215" t="s">
        <v>730</v>
      </c>
      <c r="I215" t="s">
        <v>28</v>
      </c>
      <c r="J215" t="s">
        <v>29</v>
      </c>
      <c r="K215" t="s">
        <v>731</v>
      </c>
      <c r="L215" t="s">
        <v>98</v>
      </c>
      <c r="M215" t="s">
        <v>25</v>
      </c>
      <c r="N215" t="s">
        <v>151</v>
      </c>
      <c r="O215" t="s">
        <v>152</v>
      </c>
      <c r="P215" t="s">
        <v>123</v>
      </c>
      <c r="Q215">
        <v>248</v>
      </c>
      <c r="R215">
        <v>73.09</v>
      </c>
      <c r="S215">
        <v>18126.32</v>
      </c>
      <c r="T215">
        <v>12.38</v>
      </c>
      <c r="U215">
        <v>4</v>
      </c>
      <c r="V215">
        <v>5</v>
      </c>
      <c r="W215">
        <v>514</v>
      </c>
      <c r="X215" t="s">
        <v>3741</v>
      </c>
      <c r="Y215" t="s">
        <v>36</v>
      </c>
      <c r="Z215">
        <v>1161.6600000000001</v>
      </c>
    </row>
    <row r="216" spans="1:26" x14ac:dyDescent="0.25">
      <c r="A216">
        <v>100214</v>
      </c>
      <c r="B216" s="3">
        <v>45438</v>
      </c>
      <c r="C216" s="3">
        <v>45443</v>
      </c>
      <c r="D216" s="3">
        <v>45455</v>
      </c>
      <c r="E216" t="s">
        <v>732</v>
      </c>
      <c r="F216" t="s">
        <v>54</v>
      </c>
      <c r="G216" t="s">
        <v>225</v>
      </c>
      <c r="H216" t="s">
        <v>733</v>
      </c>
      <c r="I216" t="s">
        <v>416</v>
      </c>
      <c r="J216" t="s">
        <v>80</v>
      </c>
      <c r="K216" t="s">
        <v>734</v>
      </c>
      <c r="L216" t="s">
        <v>44</v>
      </c>
      <c r="M216" t="s">
        <v>54</v>
      </c>
      <c r="N216" t="s">
        <v>55</v>
      </c>
      <c r="O216" t="s">
        <v>56</v>
      </c>
      <c r="P216" t="s">
        <v>76</v>
      </c>
      <c r="Q216">
        <v>217</v>
      </c>
      <c r="R216">
        <v>276.39999999999998</v>
      </c>
      <c r="S216">
        <v>59978.8</v>
      </c>
      <c r="T216">
        <v>8.8699999999999992</v>
      </c>
      <c r="U216">
        <v>12</v>
      </c>
      <c r="V216">
        <v>17</v>
      </c>
      <c r="W216">
        <v>71</v>
      </c>
      <c r="X216" t="s">
        <v>188</v>
      </c>
      <c r="Y216" t="s">
        <v>36</v>
      </c>
      <c r="Z216">
        <v>13834.55</v>
      </c>
    </row>
    <row r="217" spans="1:26" x14ac:dyDescent="0.25">
      <c r="A217">
        <v>100215</v>
      </c>
      <c r="B217" s="3">
        <v>45417</v>
      </c>
      <c r="C217" s="3">
        <v>45421</v>
      </c>
      <c r="D217" s="3">
        <v>45424</v>
      </c>
      <c r="E217" t="s">
        <v>735</v>
      </c>
      <c r="F217" t="s">
        <v>38</v>
      </c>
      <c r="G217" t="s">
        <v>147</v>
      </c>
      <c r="H217" t="s">
        <v>736</v>
      </c>
      <c r="I217" t="s">
        <v>191</v>
      </c>
      <c r="J217" t="s">
        <v>62</v>
      </c>
      <c r="K217" t="s">
        <v>737</v>
      </c>
      <c r="L217" t="s">
        <v>98</v>
      </c>
      <c r="M217" t="s">
        <v>54</v>
      </c>
      <c r="N217" t="s">
        <v>151</v>
      </c>
      <c r="O217" t="s">
        <v>152</v>
      </c>
      <c r="P217" t="s">
        <v>35</v>
      </c>
      <c r="Q217">
        <v>231</v>
      </c>
      <c r="R217">
        <v>5.4</v>
      </c>
      <c r="S217">
        <v>1247.4000000000001</v>
      </c>
      <c r="T217">
        <v>19.02</v>
      </c>
      <c r="U217">
        <v>3</v>
      </c>
      <c r="V217">
        <v>7</v>
      </c>
      <c r="W217">
        <v>4414</v>
      </c>
      <c r="X217" t="s">
        <v>3741</v>
      </c>
      <c r="Y217" t="s">
        <v>36</v>
      </c>
      <c r="Z217">
        <v>-69.260000000000005</v>
      </c>
    </row>
    <row r="218" spans="1:26" x14ac:dyDescent="0.25">
      <c r="A218">
        <v>100216</v>
      </c>
      <c r="B218" s="3">
        <v>45583</v>
      </c>
      <c r="C218" s="3">
        <v>45583</v>
      </c>
      <c r="D218" s="3">
        <v>45588</v>
      </c>
      <c r="E218" t="s">
        <v>738</v>
      </c>
      <c r="F218" t="s">
        <v>32</v>
      </c>
      <c r="G218" t="s">
        <v>110</v>
      </c>
      <c r="H218" t="s">
        <v>739</v>
      </c>
      <c r="I218" t="s">
        <v>230</v>
      </c>
      <c r="J218" t="s">
        <v>80</v>
      </c>
      <c r="K218" t="s">
        <v>553</v>
      </c>
      <c r="L218" t="s">
        <v>44</v>
      </c>
      <c r="M218" t="s">
        <v>38</v>
      </c>
      <c r="N218" t="s">
        <v>74</v>
      </c>
      <c r="O218" t="s">
        <v>75</v>
      </c>
      <c r="P218" t="s">
        <v>68</v>
      </c>
      <c r="Q218">
        <v>145</v>
      </c>
      <c r="R218">
        <v>278.37</v>
      </c>
      <c r="S218">
        <v>40363.65</v>
      </c>
      <c r="T218">
        <v>37.909999999999997</v>
      </c>
      <c r="U218">
        <v>5</v>
      </c>
      <c r="V218">
        <v>5</v>
      </c>
      <c r="W218">
        <v>250</v>
      </c>
      <c r="X218" t="s">
        <v>3741</v>
      </c>
      <c r="Y218" t="s">
        <v>36</v>
      </c>
      <c r="Z218">
        <v>8768.5</v>
      </c>
    </row>
    <row r="219" spans="1:26" x14ac:dyDescent="0.25">
      <c r="A219">
        <v>100217</v>
      </c>
      <c r="B219" s="3">
        <v>45556</v>
      </c>
      <c r="C219" s="3">
        <v>45557</v>
      </c>
      <c r="D219" s="3">
        <v>45562</v>
      </c>
      <c r="E219" t="s">
        <v>740</v>
      </c>
      <c r="F219" t="s">
        <v>38</v>
      </c>
      <c r="G219" t="s">
        <v>147</v>
      </c>
      <c r="H219" t="s">
        <v>741</v>
      </c>
      <c r="I219" t="s">
        <v>144</v>
      </c>
      <c r="J219" t="s">
        <v>52</v>
      </c>
      <c r="K219" t="s">
        <v>742</v>
      </c>
      <c r="L219" t="s">
        <v>118</v>
      </c>
      <c r="M219" t="s">
        <v>25</v>
      </c>
      <c r="N219" t="s">
        <v>203</v>
      </c>
      <c r="O219" t="s">
        <v>204</v>
      </c>
      <c r="P219" t="s">
        <v>35</v>
      </c>
      <c r="Q219">
        <v>81</v>
      </c>
      <c r="R219">
        <v>17.100000000000001</v>
      </c>
      <c r="S219">
        <v>1385.1</v>
      </c>
      <c r="T219">
        <v>14.77</v>
      </c>
      <c r="U219">
        <v>5</v>
      </c>
      <c r="V219">
        <v>6</v>
      </c>
      <c r="W219">
        <v>387</v>
      </c>
      <c r="X219" t="s">
        <v>3741</v>
      </c>
      <c r="Y219" t="s">
        <v>36</v>
      </c>
      <c r="Z219">
        <v>83.28</v>
      </c>
    </row>
    <row r="220" spans="1:26" x14ac:dyDescent="0.25">
      <c r="A220">
        <v>100218</v>
      </c>
      <c r="B220" s="3">
        <v>45649</v>
      </c>
      <c r="C220" s="3">
        <v>45650</v>
      </c>
      <c r="D220" s="3">
        <v>45664</v>
      </c>
      <c r="E220" t="s">
        <v>743</v>
      </c>
      <c r="F220" t="s">
        <v>25</v>
      </c>
      <c r="G220" t="s">
        <v>26</v>
      </c>
      <c r="H220" t="s">
        <v>744</v>
      </c>
      <c r="I220" t="s">
        <v>207</v>
      </c>
      <c r="J220" t="s">
        <v>80</v>
      </c>
      <c r="K220" t="s">
        <v>745</v>
      </c>
      <c r="L220" t="s">
        <v>98</v>
      </c>
      <c r="M220" t="s">
        <v>25</v>
      </c>
      <c r="N220" t="s">
        <v>74</v>
      </c>
      <c r="O220" t="s">
        <v>75</v>
      </c>
      <c r="P220" t="s">
        <v>123</v>
      </c>
      <c r="Q220">
        <v>367</v>
      </c>
      <c r="R220">
        <v>55.57</v>
      </c>
      <c r="S220">
        <v>20394.189999999999</v>
      </c>
      <c r="T220">
        <v>14.53</v>
      </c>
      <c r="U220">
        <v>14</v>
      </c>
      <c r="V220">
        <v>15</v>
      </c>
      <c r="W220">
        <v>499</v>
      </c>
      <c r="X220" t="s">
        <v>3742</v>
      </c>
      <c r="Y220" t="s">
        <v>188</v>
      </c>
      <c r="Z220">
        <v>4608.7700000000004</v>
      </c>
    </row>
    <row r="221" spans="1:26" x14ac:dyDescent="0.25">
      <c r="A221">
        <v>100219</v>
      </c>
      <c r="B221" s="3">
        <v>45581</v>
      </c>
      <c r="C221" s="3">
        <v>45583</v>
      </c>
      <c r="D221" s="3">
        <v>45592</v>
      </c>
      <c r="E221" t="s">
        <v>746</v>
      </c>
      <c r="F221" t="s">
        <v>65</v>
      </c>
      <c r="G221" t="s">
        <v>70</v>
      </c>
      <c r="H221" t="s">
        <v>747</v>
      </c>
      <c r="I221" t="s">
        <v>149</v>
      </c>
      <c r="J221" t="s">
        <v>42</v>
      </c>
      <c r="K221" t="s">
        <v>748</v>
      </c>
      <c r="L221" t="s">
        <v>64</v>
      </c>
      <c r="M221" t="s">
        <v>32</v>
      </c>
      <c r="N221" t="s">
        <v>151</v>
      </c>
      <c r="O221" t="s">
        <v>152</v>
      </c>
      <c r="P221" t="s">
        <v>35</v>
      </c>
      <c r="Q221">
        <v>36</v>
      </c>
      <c r="R221">
        <v>68.59</v>
      </c>
      <c r="S221">
        <v>2469.2399999999998</v>
      </c>
      <c r="T221">
        <v>13.49</v>
      </c>
      <c r="U221">
        <v>9</v>
      </c>
      <c r="V221">
        <v>11</v>
      </c>
      <c r="W221">
        <v>1304</v>
      </c>
      <c r="X221" t="s">
        <v>188</v>
      </c>
      <c r="Y221" t="s">
        <v>36</v>
      </c>
      <c r="Z221">
        <v>405.46</v>
      </c>
    </row>
    <row r="222" spans="1:26" x14ac:dyDescent="0.25">
      <c r="A222">
        <v>100220</v>
      </c>
      <c r="B222" s="3">
        <v>45824</v>
      </c>
      <c r="C222" s="3">
        <v>45826</v>
      </c>
      <c r="D222" s="3">
        <v>45831</v>
      </c>
      <c r="E222" t="s">
        <v>749</v>
      </c>
      <c r="F222" t="s">
        <v>38</v>
      </c>
      <c r="G222" t="s">
        <v>83</v>
      </c>
      <c r="H222" t="s">
        <v>750</v>
      </c>
      <c r="I222" t="s">
        <v>61</v>
      </c>
      <c r="J222" t="s">
        <v>62</v>
      </c>
      <c r="K222" t="s">
        <v>637</v>
      </c>
      <c r="L222" t="s">
        <v>113</v>
      </c>
      <c r="M222" t="s">
        <v>32</v>
      </c>
      <c r="N222" t="s">
        <v>66</v>
      </c>
      <c r="O222" t="s">
        <v>67</v>
      </c>
      <c r="P222" t="s">
        <v>68</v>
      </c>
      <c r="Q222">
        <v>455</v>
      </c>
      <c r="R222">
        <v>25.43</v>
      </c>
      <c r="S222">
        <v>11570.65</v>
      </c>
      <c r="T222">
        <v>58</v>
      </c>
      <c r="U222">
        <v>5</v>
      </c>
      <c r="V222">
        <v>7</v>
      </c>
      <c r="W222">
        <v>1889</v>
      </c>
      <c r="X222" t="s">
        <v>3741</v>
      </c>
      <c r="Y222" t="s">
        <v>36</v>
      </c>
      <c r="Z222">
        <v>884.44</v>
      </c>
    </row>
    <row r="223" spans="1:26" x14ac:dyDescent="0.25">
      <c r="A223">
        <v>100221</v>
      </c>
      <c r="B223" s="3">
        <v>45344</v>
      </c>
      <c r="C223" s="3">
        <v>45349</v>
      </c>
      <c r="D223" s="3">
        <v>45354</v>
      </c>
      <c r="E223" t="s">
        <v>751</v>
      </c>
      <c r="F223" t="s">
        <v>54</v>
      </c>
      <c r="G223" t="s">
        <v>158</v>
      </c>
      <c r="H223" t="s">
        <v>752</v>
      </c>
      <c r="I223" t="s">
        <v>28</v>
      </c>
      <c r="J223" t="s">
        <v>29</v>
      </c>
      <c r="K223" t="s">
        <v>753</v>
      </c>
      <c r="L223" t="s">
        <v>187</v>
      </c>
      <c r="M223" t="s">
        <v>32</v>
      </c>
      <c r="N223" t="s">
        <v>151</v>
      </c>
      <c r="O223" t="s">
        <v>152</v>
      </c>
      <c r="P223" t="s">
        <v>35</v>
      </c>
      <c r="Q223">
        <v>21</v>
      </c>
      <c r="R223">
        <v>64.64</v>
      </c>
      <c r="S223">
        <v>1357.44</v>
      </c>
      <c r="T223">
        <v>13.07</v>
      </c>
      <c r="U223">
        <v>5</v>
      </c>
      <c r="V223">
        <v>10</v>
      </c>
      <c r="W223">
        <v>999</v>
      </c>
      <c r="X223" t="s">
        <v>188</v>
      </c>
      <c r="Y223" t="s">
        <v>36</v>
      </c>
      <c r="Z223">
        <v>196.4</v>
      </c>
    </row>
    <row r="224" spans="1:26" x14ac:dyDescent="0.25">
      <c r="A224">
        <v>100222</v>
      </c>
      <c r="B224" s="3">
        <v>45732</v>
      </c>
      <c r="C224" s="3">
        <v>45732</v>
      </c>
      <c r="D224" s="3">
        <v>45734</v>
      </c>
      <c r="E224" t="s">
        <v>754</v>
      </c>
      <c r="F224" t="s">
        <v>65</v>
      </c>
      <c r="G224" t="s">
        <v>142</v>
      </c>
      <c r="H224" t="s">
        <v>755</v>
      </c>
      <c r="I224" t="s">
        <v>79</v>
      </c>
      <c r="J224" t="s">
        <v>80</v>
      </c>
      <c r="K224" t="s">
        <v>756</v>
      </c>
      <c r="L224" t="s">
        <v>113</v>
      </c>
      <c r="M224" t="s">
        <v>65</v>
      </c>
      <c r="N224" t="s">
        <v>151</v>
      </c>
      <c r="O224" t="s">
        <v>152</v>
      </c>
      <c r="P224" t="s">
        <v>68</v>
      </c>
      <c r="Q224">
        <v>303</v>
      </c>
      <c r="R224">
        <v>317.68</v>
      </c>
      <c r="S224">
        <v>96257.04</v>
      </c>
      <c r="T224">
        <v>35.659999999999997</v>
      </c>
      <c r="U224">
        <v>2</v>
      </c>
      <c r="V224">
        <v>2</v>
      </c>
      <c r="W224">
        <v>1161</v>
      </c>
      <c r="X224" t="s">
        <v>3741</v>
      </c>
      <c r="Y224" t="s">
        <v>36</v>
      </c>
      <c r="Z224">
        <v>11574.02</v>
      </c>
    </row>
    <row r="225" spans="1:26" x14ac:dyDescent="0.25">
      <c r="A225">
        <v>100223</v>
      </c>
      <c r="B225" s="3">
        <v>45448</v>
      </c>
      <c r="C225" s="3">
        <v>45451</v>
      </c>
      <c r="D225" s="3">
        <v>45471</v>
      </c>
      <c r="E225" t="s">
        <v>757</v>
      </c>
      <c r="F225" t="s">
        <v>65</v>
      </c>
      <c r="G225" t="s">
        <v>154</v>
      </c>
      <c r="H225" t="s">
        <v>758</v>
      </c>
      <c r="I225" t="s">
        <v>139</v>
      </c>
      <c r="J225" t="s">
        <v>42</v>
      </c>
      <c r="K225" t="s">
        <v>759</v>
      </c>
      <c r="L225" t="s">
        <v>98</v>
      </c>
      <c r="M225" t="s">
        <v>25</v>
      </c>
      <c r="N225" t="s">
        <v>74</v>
      </c>
      <c r="O225" t="s">
        <v>75</v>
      </c>
      <c r="P225" t="s">
        <v>76</v>
      </c>
      <c r="Q225">
        <v>420</v>
      </c>
      <c r="R225">
        <v>397.95</v>
      </c>
      <c r="S225">
        <v>167139</v>
      </c>
      <c r="T225">
        <v>15.67</v>
      </c>
      <c r="U225">
        <v>20</v>
      </c>
      <c r="V225">
        <v>23</v>
      </c>
      <c r="W225">
        <v>1525</v>
      </c>
      <c r="X225" t="s">
        <v>188</v>
      </c>
      <c r="Y225" t="s">
        <v>36</v>
      </c>
      <c r="Z225">
        <v>23506.54</v>
      </c>
    </row>
    <row r="226" spans="1:26" x14ac:dyDescent="0.25">
      <c r="A226">
        <v>100224</v>
      </c>
      <c r="B226" s="3">
        <v>45915</v>
      </c>
      <c r="C226" s="3">
        <v>45918</v>
      </c>
      <c r="D226" s="3">
        <v>45927</v>
      </c>
      <c r="E226" t="s">
        <v>760</v>
      </c>
      <c r="F226" t="s">
        <v>54</v>
      </c>
      <c r="G226" t="s">
        <v>129</v>
      </c>
      <c r="H226" t="s">
        <v>761</v>
      </c>
      <c r="I226" t="s">
        <v>207</v>
      </c>
      <c r="J226" t="s">
        <v>80</v>
      </c>
      <c r="K226" t="s">
        <v>486</v>
      </c>
      <c r="L226" t="s">
        <v>122</v>
      </c>
      <c r="M226" t="s">
        <v>54</v>
      </c>
      <c r="N226" t="s">
        <v>92</v>
      </c>
      <c r="O226" t="s">
        <v>93</v>
      </c>
      <c r="P226" t="s">
        <v>123</v>
      </c>
      <c r="Q226">
        <v>484</v>
      </c>
      <c r="R226">
        <v>301.72000000000003</v>
      </c>
      <c r="S226">
        <v>146032.48000000001</v>
      </c>
      <c r="T226">
        <v>16.63</v>
      </c>
      <c r="U226">
        <v>9</v>
      </c>
      <c r="V226">
        <v>12</v>
      </c>
      <c r="W226">
        <v>955</v>
      </c>
      <c r="X226" t="s">
        <v>188</v>
      </c>
      <c r="Y226" t="s">
        <v>36</v>
      </c>
      <c r="Z226">
        <v>37963.760000000002</v>
      </c>
    </row>
    <row r="227" spans="1:26" x14ac:dyDescent="0.25">
      <c r="A227">
        <v>100225</v>
      </c>
      <c r="B227" s="3">
        <v>45827</v>
      </c>
      <c r="C227" s="3">
        <v>45830</v>
      </c>
      <c r="D227" s="3">
        <v>45833</v>
      </c>
      <c r="E227" t="s">
        <v>762</v>
      </c>
      <c r="F227" t="s">
        <v>38</v>
      </c>
      <c r="G227" t="s">
        <v>83</v>
      </c>
      <c r="H227" t="s">
        <v>763</v>
      </c>
      <c r="I227" t="s">
        <v>72</v>
      </c>
      <c r="J227" t="s">
        <v>42</v>
      </c>
      <c r="K227" t="s">
        <v>694</v>
      </c>
      <c r="L227" t="s">
        <v>44</v>
      </c>
      <c r="M227" t="s">
        <v>54</v>
      </c>
      <c r="N227" t="s">
        <v>55</v>
      </c>
      <c r="O227" t="s">
        <v>56</v>
      </c>
      <c r="P227" t="s">
        <v>68</v>
      </c>
      <c r="Q227">
        <v>30</v>
      </c>
      <c r="R227">
        <v>245.41</v>
      </c>
      <c r="S227">
        <v>7362.3</v>
      </c>
      <c r="T227">
        <v>30.46</v>
      </c>
      <c r="U227">
        <v>3</v>
      </c>
      <c r="V227">
        <v>6</v>
      </c>
      <c r="W227">
        <v>1796</v>
      </c>
      <c r="X227" t="s">
        <v>3742</v>
      </c>
      <c r="Y227" t="s">
        <v>57</v>
      </c>
      <c r="Z227">
        <v>929.64</v>
      </c>
    </row>
    <row r="228" spans="1:26" x14ac:dyDescent="0.25">
      <c r="A228">
        <v>100226</v>
      </c>
      <c r="B228" s="3">
        <v>45831</v>
      </c>
      <c r="C228" s="3">
        <v>45831</v>
      </c>
      <c r="D228" s="3">
        <v>45843</v>
      </c>
      <c r="E228" t="s">
        <v>764</v>
      </c>
      <c r="F228" t="s">
        <v>38</v>
      </c>
      <c r="G228" t="s">
        <v>83</v>
      </c>
      <c r="H228" t="s">
        <v>765</v>
      </c>
      <c r="I228" t="s">
        <v>246</v>
      </c>
      <c r="J228" t="s">
        <v>29</v>
      </c>
      <c r="K228" t="s">
        <v>766</v>
      </c>
      <c r="L228" t="s">
        <v>44</v>
      </c>
      <c r="M228" t="s">
        <v>65</v>
      </c>
      <c r="N228" t="s">
        <v>107</v>
      </c>
      <c r="O228" t="s">
        <v>108</v>
      </c>
      <c r="P228" t="s">
        <v>76</v>
      </c>
      <c r="Q228">
        <v>389</v>
      </c>
      <c r="R228">
        <v>104.49</v>
      </c>
      <c r="S228">
        <v>40646.61</v>
      </c>
      <c r="T228">
        <v>15.11</v>
      </c>
      <c r="U228">
        <v>12</v>
      </c>
      <c r="V228">
        <v>12</v>
      </c>
      <c r="W228">
        <v>1186</v>
      </c>
      <c r="X228" t="s">
        <v>188</v>
      </c>
      <c r="Y228" t="s">
        <v>36</v>
      </c>
      <c r="Z228">
        <v>10962.3</v>
      </c>
    </row>
    <row r="229" spans="1:26" x14ac:dyDescent="0.25">
      <c r="A229">
        <v>100227</v>
      </c>
      <c r="B229" s="3">
        <v>45620</v>
      </c>
      <c r="C229" s="3">
        <v>45625</v>
      </c>
      <c r="D229" s="3">
        <v>45628</v>
      </c>
      <c r="E229" t="s">
        <v>767</v>
      </c>
      <c r="F229" t="s">
        <v>54</v>
      </c>
      <c r="G229" t="s">
        <v>225</v>
      </c>
      <c r="H229" t="s">
        <v>768</v>
      </c>
      <c r="I229" t="s">
        <v>230</v>
      </c>
      <c r="J229" t="s">
        <v>80</v>
      </c>
      <c r="K229" t="s">
        <v>769</v>
      </c>
      <c r="L229" t="s">
        <v>113</v>
      </c>
      <c r="M229" t="s">
        <v>65</v>
      </c>
      <c r="N229" t="s">
        <v>92</v>
      </c>
      <c r="O229" t="s">
        <v>93</v>
      </c>
      <c r="P229" t="s">
        <v>68</v>
      </c>
      <c r="Q229">
        <v>118</v>
      </c>
      <c r="R229">
        <v>273.75</v>
      </c>
      <c r="S229">
        <v>32302.5</v>
      </c>
      <c r="T229">
        <v>36.159999999999997</v>
      </c>
      <c r="U229">
        <v>3</v>
      </c>
      <c r="V229">
        <v>8</v>
      </c>
      <c r="W229">
        <v>1822</v>
      </c>
      <c r="X229" t="s">
        <v>188</v>
      </c>
      <c r="Y229" t="s">
        <v>36</v>
      </c>
      <c r="Z229">
        <v>7208.07</v>
      </c>
    </row>
    <row r="230" spans="1:26" x14ac:dyDescent="0.25">
      <c r="A230">
        <v>100228</v>
      </c>
      <c r="B230" s="3">
        <v>45319</v>
      </c>
      <c r="C230" s="3">
        <v>45324</v>
      </c>
      <c r="D230" s="3">
        <v>45330</v>
      </c>
      <c r="E230" t="s">
        <v>770</v>
      </c>
      <c r="F230" t="s">
        <v>65</v>
      </c>
      <c r="G230" t="s">
        <v>142</v>
      </c>
      <c r="H230" t="s">
        <v>771</v>
      </c>
      <c r="I230" t="s">
        <v>207</v>
      </c>
      <c r="J230" t="s">
        <v>80</v>
      </c>
      <c r="K230" t="s">
        <v>772</v>
      </c>
      <c r="L230" t="s">
        <v>187</v>
      </c>
      <c r="M230" t="s">
        <v>25</v>
      </c>
      <c r="N230" t="s">
        <v>203</v>
      </c>
      <c r="O230" t="s">
        <v>204</v>
      </c>
      <c r="P230" t="s">
        <v>35</v>
      </c>
      <c r="Q230">
        <v>30</v>
      </c>
      <c r="R230">
        <v>129.1</v>
      </c>
      <c r="S230">
        <v>3873</v>
      </c>
      <c r="T230">
        <v>13.32</v>
      </c>
      <c r="U230">
        <v>6</v>
      </c>
      <c r="V230">
        <v>11</v>
      </c>
      <c r="W230">
        <v>1598</v>
      </c>
      <c r="X230" t="s">
        <v>188</v>
      </c>
      <c r="Y230" t="s">
        <v>36</v>
      </c>
      <c r="Z230">
        <v>771.11</v>
      </c>
    </row>
    <row r="231" spans="1:26" x14ac:dyDescent="0.25">
      <c r="A231">
        <v>100229</v>
      </c>
      <c r="B231" s="3">
        <v>45344</v>
      </c>
      <c r="C231" s="3">
        <v>45345</v>
      </c>
      <c r="D231" s="3">
        <v>45350</v>
      </c>
      <c r="E231" t="s">
        <v>773</v>
      </c>
      <c r="F231" t="s">
        <v>38</v>
      </c>
      <c r="G231" t="s">
        <v>49</v>
      </c>
      <c r="H231" t="s">
        <v>774</v>
      </c>
      <c r="I231" t="s">
        <v>126</v>
      </c>
      <c r="J231" t="s">
        <v>42</v>
      </c>
      <c r="K231" t="s">
        <v>775</v>
      </c>
      <c r="L231" t="s">
        <v>212</v>
      </c>
      <c r="M231" t="s">
        <v>54</v>
      </c>
      <c r="N231" t="s">
        <v>151</v>
      </c>
      <c r="O231" t="s">
        <v>152</v>
      </c>
      <c r="P231" t="s">
        <v>68</v>
      </c>
      <c r="Q231">
        <v>365</v>
      </c>
      <c r="R231">
        <v>430.05</v>
      </c>
      <c r="S231">
        <v>156968.25</v>
      </c>
      <c r="T231">
        <v>52.16</v>
      </c>
      <c r="U231">
        <v>5</v>
      </c>
      <c r="V231">
        <v>6</v>
      </c>
      <c r="W231">
        <v>724</v>
      </c>
      <c r="X231" t="s">
        <v>3741</v>
      </c>
      <c r="Y231" t="s">
        <v>36</v>
      </c>
      <c r="Z231">
        <v>24172.95</v>
      </c>
    </row>
    <row r="232" spans="1:26" x14ac:dyDescent="0.25">
      <c r="A232">
        <v>100230</v>
      </c>
      <c r="B232" s="3">
        <v>45827</v>
      </c>
      <c r="C232" s="3">
        <v>45831</v>
      </c>
      <c r="D232" s="3">
        <v>45851</v>
      </c>
      <c r="E232" t="s">
        <v>776</v>
      </c>
      <c r="F232" t="s">
        <v>25</v>
      </c>
      <c r="G232" t="s">
        <v>244</v>
      </c>
      <c r="H232" t="s">
        <v>777</v>
      </c>
      <c r="I232" t="s">
        <v>278</v>
      </c>
      <c r="J232" t="s">
        <v>29</v>
      </c>
      <c r="K232" t="s">
        <v>778</v>
      </c>
      <c r="L232" t="s">
        <v>91</v>
      </c>
      <c r="M232" t="s">
        <v>38</v>
      </c>
      <c r="N232" t="s">
        <v>151</v>
      </c>
      <c r="O232" t="s">
        <v>152</v>
      </c>
      <c r="P232" t="s">
        <v>76</v>
      </c>
      <c r="Q232">
        <v>239</v>
      </c>
      <c r="R232">
        <v>93.85</v>
      </c>
      <c r="S232">
        <v>22430.15</v>
      </c>
      <c r="T232">
        <v>12.37</v>
      </c>
      <c r="U232">
        <v>20</v>
      </c>
      <c r="V232">
        <v>24</v>
      </c>
      <c r="W232">
        <v>268</v>
      </c>
      <c r="X232" t="s">
        <v>188</v>
      </c>
      <c r="Y232" t="s">
        <v>36</v>
      </c>
      <c r="Z232">
        <v>4569.1899999999996</v>
      </c>
    </row>
    <row r="233" spans="1:26" x14ac:dyDescent="0.25">
      <c r="A233">
        <v>100231</v>
      </c>
      <c r="B233" s="3">
        <v>45793</v>
      </c>
      <c r="C233" s="3">
        <v>45797</v>
      </c>
      <c r="D233" s="3">
        <v>45816</v>
      </c>
      <c r="E233" t="s">
        <v>779</v>
      </c>
      <c r="F233" t="s">
        <v>54</v>
      </c>
      <c r="G233" t="s">
        <v>165</v>
      </c>
      <c r="H233" t="s">
        <v>780</v>
      </c>
      <c r="I233" t="s">
        <v>177</v>
      </c>
      <c r="J233" t="s">
        <v>29</v>
      </c>
      <c r="K233" t="s">
        <v>781</v>
      </c>
      <c r="L233" t="s">
        <v>44</v>
      </c>
      <c r="M233" t="s">
        <v>38</v>
      </c>
      <c r="N233" t="s">
        <v>66</v>
      </c>
      <c r="O233" t="s">
        <v>67</v>
      </c>
      <c r="P233" t="s">
        <v>76</v>
      </c>
      <c r="Q233">
        <v>400</v>
      </c>
      <c r="R233">
        <v>11.93</v>
      </c>
      <c r="S233">
        <v>4772</v>
      </c>
      <c r="T233">
        <v>15.31</v>
      </c>
      <c r="U233">
        <v>19</v>
      </c>
      <c r="V233">
        <v>23</v>
      </c>
      <c r="W233">
        <v>1674</v>
      </c>
      <c r="X233" t="s">
        <v>188</v>
      </c>
      <c r="Y233" t="s">
        <v>36</v>
      </c>
      <c r="Z233">
        <v>674.97</v>
      </c>
    </row>
    <row r="234" spans="1:26" x14ac:dyDescent="0.25">
      <c r="A234">
        <v>100232</v>
      </c>
      <c r="B234" s="3">
        <v>45303</v>
      </c>
      <c r="C234" s="3">
        <v>45305</v>
      </c>
      <c r="D234" s="3">
        <v>45310</v>
      </c>
      <c r="E234" t="s">
        <v>782</v>
      </c>
      <c r="F234" t="s">
        <v>54</v>
      </c>
      <c r="G234" t="s">
        <v>165</v>
      </c>
      <c r="H234" t="s">
        <v>783</v>
      </c>
      <c r="I234" t="s">
        <v>28</v>
      </c>
      <c r="J234" t="s">
        <v>29</v>
      </c>
      <c r="K234" t="s">
        <v>784</v>
      </c>
      <c r="L234" t="s">
        <v>44</v>
      </c>
      <c r="M234" t="s">
        <v>25</v>
      </c>
      <c r="N234" t="s">
        <v>66</v>
      </c>
      <c r="O234" t="s">
        <v>67</v>
      </c>
      <c r="P234" t="s">
        <v>68</v>
      </c>
      <c r="Q234">
        <v>316</v>
      </c>
      <c r="R234">
        <v>12.6</v>
      </c>
      <c r="S234">
        <v>3981.6</v>
      </c>
      <c r="T234">
        <v>48.99</v>
      </c>
      <c r="U234">
        <v>5</v>
      </c>
      <c r="V234">
        <v>7</v>
      </c>
      <c r="W234">
        <v>480</v>
      </c>
      <c r="X234" t="s">
        <v>3741</v>
      </c>
      <c r="Y234" t="s">
        <v>36</v>
      </c>
      <c r="Z234">
        <v>581.01</v>
      </c>
    </row>
    <row r="235" spans="1:26" x14ac:dyDescent="0.25">
      <c r="A235">
        <v>100233</v>
      </c>
      <c r="B235" s="3">
        <v>45350</v>
      </c>
      <c r="C235" s="3">
        <v>45353</v>
      </c>
      <c r="D235" s="3">
        <v>45366</v>
      </c>
      <c r="E235" t="s">
        <v>785</v>
      </c>
      <c r="F235" t="s">
        <v>38</v>
      </c>
      <c r="G235" t="s">
        <v>39</v>
      </c>
      <c r="H235" t="s">
        <v>786</v>
      </c>
      <c r="I235" t="s">
        <v>198</v>
      </c>
      <c r="J235" t="s">
        <v>52</v>
      </c>
      <c r="K235" t="s">
        <v>787</v>
      </c>
      <c r="L235" t="s">
        <v>98</v>
      </c>
      <c r="M235" t="s">
        <v>65</v>
      </c>
      <c r="N235" t="s">
        <v>92</v>
      </c>
      <c r="O235" t="s">
        <v>93</v>
      </c>
      <c r="P235" t="s">
        <v>123</v>
      </c>
      <c r="Q235">
        <v>214</v>
      </c>
      <c r="R235">
        <v>69.290000000000006</v>
      </c>
      <c r="S235">
        <v>14828.06</v>
      </c>
      <c r="T235">
        <v>15.89</v>
      </c>
      <c r="U235">
        <v>13</v>
      </c>
      <c r="V235">
        <v>16</v>
      </c>
      <c r="W235">
        <v>1441</v>
      </c>
      <c r="X235" t="s">
        <v>3742</v>
      </c>
      <c r="Y235" t="s">
        <v>188</v>
      </c>
      <c r="Z235">
        <v>2930.85</v>
      </c>
    </row>
    <row r="236" spans="1:26" x14ac:dyDescent="0.25">
      <c r="A236">
        <v>100234</v>
      </c>
      <c r="B236" s="3">
        <v>45899</v>
      </c>
      <c r="C236" s="3">
        <v>45902</v>
      </c>
      <c r="D236" s="3">
        <v>45913</v>
      </c>
      <c r="E236" t="s">
        <v>788</v>
      </c>
      <c r="F236" t="s">
        <v>38</v>
      </c>
      <c r="G236" t="s">
        <v>83</v>
      </c>
      <c r="H236" t="s">
        <v>789</v>
      </c>
      <c r="I236" t="s">
        <v>230</v>
      </c>
      <c r="J236" t="s">
        <v>80</v>
      </c>
      <c r="K236" t="s">
        <v>790</v>
      </c>
      <c r="L236" t="s">
        <v>44</v>
      </c>
      <c r="M236" t="s">
        <v>32</v>
      </c>
      <c r="N236" t="s">
        <v>33</v>
      </c>
      <c r="O236" t="s">
        <v>34</v>
      </c>
      <c r="P236" t="s">
        <v>76</v>
      </c>
      <c r="Q236">
        <v>26</v>
      </c>
      <c r="R236">
        <v>109.87</v>
      </c>
      <c r="S236">
        <v>2856.62</v>
      </c>
      <c r="T236">
        <v>8.49</v>
      </c>
      <c r="U236">
        <v>11</v>
      </c>
      <c r="V236">
        <v>14</v>
      </c>
      <c r="W236">
        <v>75</v>
      </c>
      <c r="X236" t="s">
        <v>188</v>
      </c>
      <c r="Y236" t="s">
        <v>36</v>
      </c>
      <c r="Z236">
        <v>460.56</v>
      </c>
    </row>
    <row r="237" spans="1:26" x14ac:dyDescent="0.25">
      <c r="A237">
        <v>100235</v>
      </c>
      <c r="B237" s="3">
        <v>45747</v>
      </c>
      <c r="C237" s="3">
        <v>45750</v>
      </c>
      <c r="D237" s="3">
        <v>45764</v>
      </c>
      <c r="E237" t="s">
        <v>502</v>
      </c>
      <c r="F237" t="s">
        <v>32</v>
      </c>
      <c r="G237" t="s">
        <v>255</v>
      </c>
      <c r="H237" t="s">
        <v>791</v>
      </c>
      <c r="I237" t="s">
        <v>416</v>
      </c>
      <c r="J237" t="s">
        <v>80</v>
      </c>
      <c r="K237" t="s">
        <v>792</v>
      </c>
      <c r="L237" t="s">
        <v>64</v>
      </c>
      <c r="M237" t="s">
        <v>65</v>
      </c>
      <c r="N237" t="s">
        <v>33</v>
      </c>
      <c r="O237" t="s">
        <v>34</v>
      </c>
      <c r="P237" t="s">
        <v>123</v>
      </c>
      <c r="Q237">
        <v>111</v>
      </c>
      <c r="R237">
        <v>130.06</v>
      </c>
      <c r="S237">
        <v>14436.66</v>
      </c>
      <c r="T237">
        <v>13.39</v>
      </c>
      <c r="U237">
        <v>14</v>
      </c>
      <c r="V237">
        <v>17</v>
      </c>
      <c r="W237">
        <v>1773</v>
      </c>
      <c r="X237" t="s">
        <v>3742</v>
      </c>
      <c r="Y237" t="s">
        <v>57</v>
      </c>
      <c r="Z237">
        <v>3312.82</v>
      </c>
    </row>
    <row r="238" spans="1:26" x14ac:dyDescent="0.25">
      <c r="A238">
        <v>100236</v>
      </c>
      <c r="B238" s="3">
        <v>45296</v>
      </c>
      <c r="C238" s="3">
        <v>45299</v>
      </c>
      <c r="D238" s="3">
        <v>45303</v>
      </c>
      <c r="E238" t="s">
        <v>793</v>
      </c>
      <c r="F238" t="s">
        <v>65</v>
      </c>
      <c r="G238" t="s">
        <v>70</v>
      </c>
      <c r="H238" t="s">
        <v>794</v>
      </c>
      <c r="I238" t="s">
        <v>238</v>
      </c>
      <c r="J238" t="s">
        <v>62</v>
      </c>
      <c r="K238" t="s">
        <v>545</v>
      </c>
      <c r="L238" t="s">
        <v>118</v>
      </c>
      <c r="M238" t="s">
        <v>32</v>
      </c>
      <c r="N238" t="s">
        <v>33</v>
      </c>
      <c r="O238" t="s">
        <v>34</v>
      </c>
      <c r="P238" t="s">
        <v>68</v>
      </c>
      <c r="Q238">
        <v>420</v>
      </c>
      <c r="R238">
        <v>39.25</v>
      </c>
      <c r="S238">
        <v>16485</v>
      </c>
      <c r="T238">
        <v>55.73</v>
      </c>
      <c r="U238">
        <v>4</v>
      </c>
      <c r="V238">
        <v>7</v>
      </c>
      <c r="W238">
        <v>3083</v>
      </c>
      <c r="X238" t="s">
        <v>3741</v>
      </c>
      <c r="Y238" t="s">
        <v>36</v>
      </c>
      <c r="Z238">
        <v>931.9</v>
      </c>
    </row>
    <row r="239" spans="1:26" x14ac:dyDescent="0.25">
      <c r="A239">
        <v>100237</v>
      </c>
      <c r="B239" s="3">
        <v>45889</v>
      </c>
      <c r="C239" s="3">
        <v>45894</v>
      </c>
      <c r="D239" s="3">
        <v>45905</v>
      </c>
      <c r="E239" t="s">
        <v>795</v>
      </c>
      <c r="F239" t="s">
        <v>32</v>
      </c>
      <c r="G239" t="s">
        <v>273</v>
      </c>
      <c r="H239" t="s">
        <v>796</v>
      </c>
      <c r="I239" t="s">
        <v>416</v>
      </c>
      <c r="J239" t="s">
        <v>80</v>
      </c>
      <c r="K239" t="s">
        <v>797</v>
      </c>
      <c r="L239" t="s">
        <v>64</v>
      </c>
      <c r="M239" t="s">
        <v>38</v>
      </c>
      <c r="N239" t="s">
        <v>55</v>
      </c>
      <c r="O239" t="s">
        <v>56</v>
      </c>
      <c r="P239" t="s">
        <v>76</v>
      </c>
      <c r="Q239">
        <v>12</v>
      </c>
      <c r="R239">
        <v>91.38</v>
      </c>
      <c r="S239">
        <v>1096.56</v>
      </c>
      <c r="T239">
        <v>8.24</v>
      </c>
      <c r="U239">
        <v>11</v>
      </c>
      <c r="V239">
        <v>16</v>
      </c>
      <c r="W239">
        <v>1166</v>
      </c>
      <c r="X239" t="s">
        <v>188</v>
      </c>
      <c r="Y239" t="s">
        <v>36</v>
      </c>
      <c r="Z239">
        <v>241.66</v>
      </c>
    </row>
    <row r="240" spans="1:26" x14ac:dyDescent="0.25">
      <c r="A240">
        <v>100238</v>
      </c>
      <c r="B240" s="3">
        <v>45622</v>
      </c>
      <c r="C240" s="3">
        <v>45626</v>
      </c>
      <c r="D240" s="3">
        <v>45628</v>
      </c>
      <c r="E240" t="s">
        <v>798</v>
      </c>
      <c r="F240" t="s">
        <v>54</v>
      </c>
      <c r="G240" t="s">
        <v>225</v>
      </c>
      <c r="H240" t="s">
        <v>799</v>
      </c>
      <c r="I240" t="s">
        <v>116</v>
      </c>
      <c r="J240" t="s">
        <v>62</v>
      </c>
      <c r="K240" t="s">
        <v>800</v>
      </c>
      <c r="L240" t="s">
        <v>44</v>
      </c>
      <c r="M240" t="s">
        <v>25</v>
      </c>
      <c r="N240" t="s">
        <v>107</v>
      </c>
      <c r="O240" t="s">
        <v>108</v>
      </c>
      <c r="P240" t="s">
        <v>68</v>
      </c>
      <c r="Q240">
        <v>455</v>
      </c>
      <c r="R240">
        <v>30.63</v>
      </c>
      <c r="S240">
        <v>13936.65</v>
      </c>
      <c r="T240">
        <v>58</v>
      </c>
      <c r="U240">
        <v>2</v>
      </c>
      <c r="V240">
        <v>6</v>
      </c>
      <c r="W240">
        <v>656</v>
      </c>
      <c r="X240" t="s">
        <v>3741</v>
      </c>
      <c r="Y240" t="s">
        <v>36</v>
      </c>
      <c r="Z240">
        <v>1714.23</v>
      </c>
    </row>
    <row r="241" spans="1:26" x14ac:dyDescent="0.25">
      <c r="A241">
        <v>100239</v>
      </c>
      <c r="B241" s="3">
        <v>45445</v>
      </c>
      <c r="C241" s="3">
        <v>45450</v>
      </c>
      <c r="D241" s="3">
        <v>45457</v>
      </c>
      <c r="E241" t="s">
        <v>801</v>
      </c>
      <c r="F241" t="s">
        <v>54</v>
      </c>
      <c r="G241" t="s">
        <v>225</v>
      </c>
      <c r="H241" t="s">
        <v>802</v>
      </c>
      <c r="I241" t="s">
        <v>182</v>
      </c>
      <c r="J241" t="s">
        <v>80</v>
      </c>
      <c r="K241" t="s">
        <v>711</v>
      </c>
      <c r="L241" t="s">
        <v>212</v>
      </c>
      <c r="M241" t="s">
        <v>25</v>
      </c>
      <c r="N241" t="s">
        <v>66</v>
      </c>
      <c r="O241" t="s">
        <v>67</v>
      </c>
      <c r="P241" t="s">
        <v>123</v>
      </c>
      <c r="Q241">
        <v>363</v>
      </c>
      <c r="R241">
        <v>256.48</v>
      </c>
      <c r="S241">
        <v>93102.24</v>
      </c>
      <c r="T241">
        <v>19.510000000000002</v>
      </c>
      <c r="U241">
        <v>7</v>
      </c>
      <c r="V241">
        <v>12</v>
      </c>
      <c r="W241">
        <v>1884</v>
      </c>
      <c r="X241" t="s">
        <v>188</v>
      </c>
      <c r="Y241" t="s">
        <v>36</v>
      </c>
      <c r="Z241">
        <v>22433.919999999998</v>
      </c>
    </row>
    <row r="242" spans="1:26" x14ac:dyDescent="0.25">
      <c r="A242">
        <v>100240</v>
      </c>
      <c r="B242" s="3">
        <v>45299</v>
      </c>
      <c r="C242" s="3">
        <v>45304</v>
      </c>
      <c r="D242" s="3">
        <v>45308</v>
      </c>
      <c r="E242" t="s">
        <v>803</v>
      </c>
      <c r="F242" t="s">
        <v>25</v>
      </c>
      <c r="G242" t="s">
        <v>233</v>
      </c>
      <c r="H242" t="s">
        <v>804</v>
      </c>
      <c r="I242" t="s">
        <v>79</v>
      </c>
      <c r="J242" t="s">
        <v>80</v>
      </c>
      <c r="K242" t="s">
        <v>573</v>
      </c>
      <c r="L242" t="s">
        <v>64</v>
      </c>
      <c r="M242" t="s">
        <v>32</v>
      </c>
      <c r="N242" t="s">
        <v>102</v>
      </c>
      <c r="O242" t="s">
        <v>103</v>
      </c>
      <c r="P242" t="s">
        <v>68</v>
      </c>
      <c r="Q242">
        <v>90</v>
      </c>
      <c r="R242">
        <v>90.44</v>
      </c>
      <c r="S242">
        <v>8139.6</v>
      </c>
      <c r="T242">
        <v>34.340000000000003</v>
      </c>
      <c r="U242">
        <v>4</v>
      </c>
      <c r="V242">
        <v>9</v>
      </c>
      <c r="W242">
        <v>1927</v>
      </c>
      <c r="X242" t="s">
        <v>188</v>
      </c>
      <c r="Y242" t="s">
        <v>36</v>
      </c>
      <c r="Z242">
        <v>2030.39</v>
      </c>
    </row>
    <row r="243" spans="1:26" x14ac:dyDescent="0.25">
      <c r="A243">
        <v>100241</v>
      </c>
      <c r="B243" s="3">
        <v>45803</v>
      </c>
      <c r="C243" s="3">
        <v>45806</v>
      </c>
      <c r="D243" s="3">
        <v>45825</v>
      </c>
      <c r="E243" t="s">
        <v>805</v>
      </c>
      <c r="F243" t="s">
        <v>32</v>
      </c>
      <c r="G243" t="s">
        <v>137</v>
      </c>
      <c r="H243" t="s">
        <v>806</v>
      </c>
      <c r="I243" t="s">
        <v>198</v>
      </c>
      <c r="J243" t="s">
        <v>52</v>
      </c>
      <c r="K243" t="s">
        <v>807</v>
      </c>
      <c r="L243" t="s">
        <v>44</v>
      </c>
      <c r="M243" t="s">
        <v>38</v>
      </c>
      <c r="N243" t="s">
        <v>66</v>
      </c>
      <c r="O243" t="s">
        <v>67</v>
      </c>
      <c r="P243" t="s">
        <v>76</v>
      </c>
      <c r="Q243">
        <v>369</v>
      </c>
      <c r="R243">
        <v>77.540000000000006</v>
      </c>
      <c r="S243">
        <v>28612.26</v>
      </c>
      <c r="T243">
        <v>14.74</v>
      </c>
      <c r="U243">
        <v>19</v>
      </c>
      <c r="V243">
        <v>22</v>
      </c>
      <c r="W243">
        <v>2703</v>
      </c>
      <c r="X243" t="s">
        <v>188</v>
      </c>
      <c r="Y243" t="s">
        <v>36</v>
      </c>
      <c r="Z243">
        <v>2902.42</v>
      </c>
    </row>
    <row r="244" spans="1:26" x14ac:dyDescent="0.25">
      <c r="A244">
        <v>100242</v>
      </c>
      <c r="B244" s="3">
        <v>45944</v>
      </c>
      <c r="C244" s="3">
        <v>45948</v>
      </c>
      <c r="D244" s="3">
        <v>45950</v>
      </c>
      <c r="E244" t="s">
        <v>808</v>
      </c>
      <c r="F244" t="s">
        <v>32</v>
      </c>
      <c r="G244" t="s">
        <v>273</v>
      </c>
      <c r="H244" t="s">
        <v>809</v>
      </c>
      <c r="I244" t="s">
        <v>28</v>
      </c>
      <c r="J244" t="s">
        <v>29</v>
      </c>
      <c r="K244" t="s">
        <v>810</v>
      </c>
      <c r="L244" t="s">
        <v>64</v>
      </c>
      <c r="M244" t="s">
        <v>38</v>
      </c>
      <c r="N244" t="s">
        <v>107</v>
      </c>
      <c r="O244" t="s">
        <v>108</v>
      </c>
      <c r="P244" t="s">
        <v>68</v>
      </c>
      <c r="Q244">
        <v>43</v>
      </c>
      <c r="R244">
        <v>119.26</v>
      </c>
      <c r="S244">
        <v>5128.18</v>
      </c>
      <c r="T244">
        <v>31.3</v>
      </c>
      <c r="U244">
        <v>2</v>
      </c>
      <c r="V244">
        <v>6</v>
      </c>
      <c r="W244">
        <v>750</v>
      </c>
      <c r="X244" t="s">
        <v>3741</v>
      </c>
      <c r="Y244" t="s">
        <v>36</v>
      </c>
      <c r="Z244">
        <v>862.77</v>
      </c>
    </row>
    <row r="245" spans="1:26" x14ac:dyDescent="0.25">
      <c r="A245">
        <v>100243</v>
      </c>
      <c r="B245" s="3">
        <v>45920</v>
      </c>
      <c r="C245" s="3">
        <v>45925</v>
      </c>
      <c r="D245" s="3">
        <v>45933</v>
      </c>
      <c r="E245" t="s">
        <v>811</v>
      </c>
      <c r="F245" t="s">
        <v>65</v>
      </c>
      <c r="G245" t="s">
        <v>70</v>
      </c>
      <c r="H245" t="s">
        <v>812</v>
      </c>
      <c r="I245" t="s">
        <v>134</v>
      </c>
      <c r="J245" t="s">
        <v>52</v>
      </c>
      <c r="K245" t="s">
        <v>371</v>
      </c>
      <c r="L245" t="s">
        <v>122</v>
      </c>
      <c r="M245" t="s">
        <v>65</v>
      </c>
      <c r="N245" t="s">
        <v>55</v>
      </c>
      <c r="O245" t="s">
        <v>56</v>
      </c>
      <c r="P245" t="s">
        <v>35</v>
      </c>
      <c r="Q245">
        <v>283</v>
      </c>
      <c r="R245">
        <v>89.38</v>
      </c>
      <c r="S245">
        <v>25294.54</v>
      </c>
      <c r="T245">
        <v>15.18</v>
      </c>
      <c r="U245">
        <v>8</v>
      </c>
      <c r="V245">
        <v>13</v>
      </c>
      <c r="W245">
        <v>2203</v>
      </c>
      <c r="X245" t="s">
        <v>188</v>
      </c>
      <c r="Y245" t="s">
        <v>36</v>
      </c>
      <c r="Z245">
        <v>4541.51</v>
      </c>
    </row>
    <row r="246" spans="1:26" x14ac:dyDescent="0.25">
      <c r="A246">
        <v>100244</v>
      </c>
      <c r="B246" s="3">
        <v>45445</v>
      </c>
      <c r="C246" s="3">
        <v>45449</v>
      </c>
      <c r="D246" s="3">
        <v>45457</v>
      </c>
      <c r="E246" t="s">
        <v>813</v>
      </c>
      <c r="F246" t="s">
        <v>38</v>
      </c>
      <c r="G246" t="s">
        <v>49</v>
      </c>
      <c r="H246" t="s">
        <v>814</v>
      </c>
      <c r="I246" t="s">
        <v>144</v>
      </c>
      <c r="J246" t="s">
        <v>52</v>
      </c>
      <c r="K246" t="s">
        <v>815</v>
      </c>
      <c r="L246" t="s">
        <v>122</v>
      </c>
      <c r="M246" t="s">
        <v>32</v>
      </c>
      <c r="N246" t="s">
        <v>55</v>
      </c>
      <c r="O246" t="s">
        <v>56</v>
      </c>
      <c r="P246" t="s">
        <v>35</v>
      </c>
      <c r="Q246">
        <v>398</v>
      </c>
      <c r="R246">
        <v>10.95</v>
      </c>
      <c r="S246">
        <v>4358.1000000000004</v>
      </c>
      <c r="T246">
        <v>23.76</v>
      </c>
      <c r="U246">
        <v>8</v>
      </c>
      <c r="V246">
        <v>12</v>
      </c>
      <c r="W246">
        <v>2601</v>
      </c>
      <c r="X246" t="s">
        <v>188</v>
      </c>
      <c r="Y246" t="s">
        <v>36</v>
      </c>
      <c r="Z246">
        <v>525.71</v>
      </c>
    </row>
    <row r="247" spans="1:26" x14ac:dyDescent="0.25">
      <c r="A247">
        <v>100245</v>
      </c>
      <c r="B247" s="3">
        <v>45952</v>
      </c>
      <c r="C247" s="3">
        <v>45954</v>
      </c>
      <c r="D247" s="3">
        <v>45958</v>
      </c>
      <c r="E247" t="s">
        <v>816</v>
      </c>
      <c r="F247" t="s">
        <v>38</v>
      </c>
      <c r="G247" t="s">
        <v>217</v>
      </c>
      <c r="H247" t="s">
        <v>817</v>
      </c>
      <c r="I247" t="s">
        <v>41</v>
      </c>
      <c r="J247" t="s">
        <v>42</v>
      </c>
      <c r="K247" t="s">
        <v>428</v>
      </c>
      <c r="L247" t="s">
        <v>187</v>
      </c>
      <c r="M247" t="s">
        <v>38</v>
      </c>
      <c r="N247" t="s">
        <v>107</v>
      </c>
      <c r="O247" t="s">
        <v>108</v>
      </c>
      <c r="P247" t="s">
        <v>68</v>
      </c>
      <c r="Q247">
        <v>336</v>
      </c>
      <c r="R247">
        <v>389.88</v>
      </c>
      <c r="S247">
        <v>130999.67999999999</v>
      </c>
      <c r="T247">
        <v>37.25</v>
      </c>
      <c r="U247">
        <v>4</v>
      </c>
      <c r="V247">
        <v>6</v>
      </c>
      <c r="W247">
        <v>1718</v>
      </c>
      <c r="X247" t="s">
        <v>3741</v>
      </c>
      <c r="Y247" t="s">
        <v>36</v>
      </c>
      <c r="Z247">
        <v>19178.7</v>
      </c>
    </row>
    <row r="248" spans="1:26" x14ac:dyDescent="0.25">
      <c r="A248">
        <v>100246</v>
      </c>
      <c r="B248" s="3">
        <v>45919</v>
      </c>
      <c r="C248" s="3">
        <v>45923</v>
      </c>
      <c r="D248" s="3">
        <v>45945</v>
      </c>
      <c r="E248" t="s">
        <v>378</v>
      </c>
      <c r="F248" t="s">
        <v>38</v>
      </c>
      <c r="G248" t="s">
        <v>39</v>
      </c>
      <c r="H248" t="s">
        <v>818</v>
      </c>
      <c r="I248" t="s">
        <v>198</v>
      </c>
      <c r="J248" t="s">
        <v>52</v>
      </c>
      <c r="K248" t="s">
        <v>819</v>
      </c>
      <c r="L248" t="s">
        <v>113</v>
      </c>
      <c r="M248" t="s">
        <v>38</v>
      </c>
      <c r="N248" t="s">
        <v>107</v>
      </c>
      <c r="O248" t="s">
        <v>108</v>
      </c>
      <c r="P248" t="s">
        <v>76</v>
      </c>
      <c r="Q248">
        <v>484</v>
      </c>
      <c r="R248">
        <v>13.66</v>
      </c>
      <c r="S248">
        <v>6611.44</v>
      </c>
      <c r="T248">
        <v>12.47</v>
      </c>
      <c r="U248">
        <v>22</v>
      </c>
      <c r="V248">
        <v>26</v>
      </c>
      <c r="W248">
        <v>470</v>
      </c>
      <c r="X248" t="s">
        <v>188</v>
      </c>
      <c r="Y248" t="s">
        <v>36</v>
      </c>
      <c r="Z248">
        <v>532.03</v>
      </c>
    </row>
    <row r="249" spans="1:26" x14ac:dyDescent="0.25">
      <c r="A249">
        <v>100247</v>
      </c>
      <c r="B249" s="3">
        <v>45480</v>
      </c>
      <c r="C249" s="3">
        <v>45483</v>
      </c>
      <c r="D249" s="3">
        <v>45485</v>
      </c>
      <c r="E249" t="s">
        <v>820</v>
      </c>
      <c r="F249" t="s">
        <v>54</v>
      </c>
      <c r="G249" t="s">
        <v>193</v>
      </c>
      <c r="H249" t="s">
        <v>821</v>
      </c>
      <c r="I249" t="s">
        <v>207</v>
      </c>
      <c r="J249" t="s">
        <v>80</v>
      </c>
      <c r="K249" t="s">
        <v>822</v>
      </c>
      <c r="L249" t="s">
        <v>113</v>
      </c>
      <c r="M249" t="s">
        <v>25</v>
      </c>
      <c r="N249" t="s">
        <v>151</v>
      </c>
      <c r="O249" t="s">
        <v>152</v>
      </c>
      <c r="P249" t="s">
        <v>68</v>
      </c>
      <c r="Q249">
        <v>450</v>
      </c>
      <c r="R249">
        <v>183.62</v>
      </c>
      <c r="S249">
        <v>82629</v>
      </c>
      <c r="T249">
        <v>57.67</v>
      </c>
      <c r="U249">
        <v>2</v>
      </c>
      <c r="V249">
        <v>5</v>
      </c>
      <c r="W249">
        <v>328</v>
      </c>
      <c r="X249" t="s">
        <v>3741</v>
      </c>
      <c r="Y249" t="s">
        <v>36</v>
      </c>
      <c r="Z249">
        <v>15037.97</v>
      </c>
    </row>
    <row r="250" spans="1:26" x14ac:dyDescent="0.25">
      <c r="A250">
        <v>100248</v>
      </c>
      <c r="B250" s="3">
        <v>45972</v>
      </c>
      <c r="C250" s="3">
        <v>45972</v>
      </c>
      <c r="D250" s="3">
        <v>45994</v>
      </c>
      <c r="E250" t="s">
        <v>490</v>
      </c>
      <c r="F250" t="s">
        <v>54</v>
      </c>
      <c r="G250" t="s">
        <v>129</v>
      </c>
      <c r="H250" t="s">
        <v>823</v>
      </c>
      <c r="I250" t="s">
        <v>182</v>
      </c>
      <c r="J250" t="s">
        <v>80</v>
      </c>
      <c r="K250" t="s">
        <v>824</v>
      </c>
      <c r="L250" t="s">
        <v>31</v>
      </c>
      <c r="M250" t="s">
        <v>65</v>
      </c>
      <c r="N250" t="s">
        <v>55</v>
      </c>
      <c r="O250" t="s">
        <v>56</v>
      </c>
      <c r="P250" t="s">
        <v>76</v>
      </c>
      <c r="Q250">
        <v>147</v>
      </c>
      <c r="R250">
        <v>102.17</v>
      </c>
      <c r="S250">
        <v>15018.99</v>
      </c>
      <c r="T250">
        <v>10.7</v>
      </c>
      <c r="U250">
        <v>22</v>
      </c>
      <c r="V250">
        <v>22</v>
      </c>
      <c r="W250">
        <v>1688</v>
      </c>
      <c r="X250" t="s">
        <v>188</v>
      </c>
      <c r="Y250" t="s">
        <v>36</v>
      </c>
      <c r="Z250">
        <v>1748.29</v>
      </c>
    </row>
    <row r="251" spans="1:26" x14ac:dyDescent="0.25">
      <c r="A251">
        <v>100249</v>
      </c>
      <c r="B251" s="3">
        <v>45329</v>
      </c>
      <c r="C251" s="3">
        <v>45331</v>
      </c>
      <c r="D251" s="3">
        <v>45355</v>
      </c>
      <c r="E251" t="s">
        <v>825</v>
      </c>
      <c r="F251" t="s">
        <v>65</v>
      </c>
      <c r="G251" t="s">
        <v>142</v>
      </c>
      <c r="H251" t="s">
        <v>826</v>
      </c>
      <c r="I251" t="s">
        <v>278</v>
      </c>
      <c r="J251" t="s">
        <v>29</v>
      </c>
      <c r="K251" t="s">
        <v>827</v>
      </c>
      <c r="L251" t="s">
        <v>91</v>
      </c>
      <c r="M251" t="s">
        <v>32</v>
      </c>
      <c r="N251" t="s">
        <v>74</v>
      </c>
      <c r="O251" t="s">
        <v>75</v>
      </c>
      <c r="P251" t="s">
        <v>76</v>
      </c>
      <c r="Q251">
        <v>323</v>
      </c>
      <c r="R251">
        <v>43.32</v>
      </c>
      <c r="S251">
        <v>13992.36</v>
      </c>
      <c r="T251">
        <v>13.91</v>
      </c>
      <c r="U251">
        <v>24</v>
      </c>
      <c r="V251">
        <v>26</v>
      </c>
      <c r="W251">
        <v>2899</v>
      </c>
      <c r="X251" t="s">
        <v>188</v>
      </c>
      <c r="Y251" t="s">
        <v>36</v>
      </c>
      <c r="Z251">
        <v>2144.94</v>
      </c>
    </row>
    <row r="252" spans="1:26" x14ac:dyDescent="0.25">
      <c r="A252">
        <v>100250</v>
      </c>
      <c r="B252" s="3">
        <v>45787</v>
      </c>
      <c r="C252" s="3">
        <v>45789</v>
      </c>
      <c r="D252" s="3">
        <v>45796</v>
      </c>
      <c r="E252" t="s">
        <v>828</v>
      </c>
      <c r="F252" t="s">
        <v>65</v>
      </c>
      <c r="G252" t="s">
        <v>70</v>
      </c>
      <c r="H252" t="s">
        <v>829</v>
      </c>
      <c r="I252" t="s">
        <v>416</v>
      </c>
      <c r="J252" t="s">
        <v>80</v>
      </c>
      <c r="K252" t="s">
        <v>830</v>
      </c>
      <c r="L252" t="s">
        <v>98</v>
      </c>
      <c r="M252" t="s">
        <v>54</v>
      </c>
      <c r="N252" t="s">
        <v>45</v>
      </c>
      <c r="O252" t="s">
        <v>46</v>
      </c>
      <c r="P252" t="s">
        <v>35</v>
      </c>
      <c r="Q252">
        <v>158</v>
      </c>
      <c r="R252">
        <v>86.38</v>
      </c>
      <c r="S252">
        <v>13648.04</v>
      </c>
      <c r="T252">
        <v>16.95</v>
      </c>
      <c r="U252">
        <v>7</v>
      </c>
      <c r="V252">
        <v>9</v>
      </c>
      <c r="W252">
        <v>321</v>
      </c>
      <c r="X252" t="s">
        <v>188</v>
      </c>
      <c r="Y252" t="s">
        <v>36</v>
      </c>
      <c r="Z252">
        <v>3169.75</v>
      </c>
    </row>
    <row r="253" spans="1:26" x14ac:dyDescent="0.25">
      <c r="A253">
        <v>100251</v>
      </c>
      <c r="B253" s="3">
        <v>45545</v>
      </c>
      <c r="C253" s="3">
        <v>45545</v>
      </c>
      <c r="D253" s="3">
        <v>45555</v>
      </c>
      <c r="E253" t="s">
        <v>831</v>
      </c>
      <c r="F253" t="s">
        <v>25</v>
      </c>
      <c r="G253" t="s">
        <v>172</v>
      </c>
      <c r="H253" t="s">
        <v>832</v>
      </c>
      <c r="I253" t="s">
        <v>177</v>
      </c>
      <c r="J253" t="s">
        <v>29</v>
      </c>
      <c r="K253" t="s">
        <v>833</v>
      </c>
      <c r="L253" t="s">
        <v>212</v>
      </c>
      <c r="M253" t="s">
        <v>54</v>
      </c>
      <c r="N253" t="s">
        <v>45</v>
      </c>
      <c r="O253" t="s">
        <v>46</v>
      </c>
      <c r="P253" t="s">
        <v>76</v>
      </c>
      <c r="Q253">
        <v>120</v>
      </c>
      <c r="R253">
        <v>88.59</v>
      </c>
      <c r="S253">
        <v>10630.8</v>
      </c>
      <c r="T253">
        <v>10.210000000000001</v>
      </c>
      <c r="U253">
        <v>10</v>
      </c>
      <c r="V253">
        <v>10</v>
      </c>
      <c r="W253">
        <v>3114</v>
      </c>
      <c r="X253" t="s">
        <v>188</v>
      </c>
      <c r="Y253" t="s">
        <v>36</v>
      </c>
      <c r="Z253">
        <v>2559.23</v>
      </c>
    </row>
    <row r="254" spans="1:26" x14ac:dyDescent="0.25">
      <c r="A254">
        <v>100252</v>
      </c>
      <c r="B254" s="3">
        <v>45372</v>
      </c>
      <c r="C254" s="3">
        <v>45372</v>
      </c>
      <c r="D254" s="3">
        <v>45396</v>
      </c>
      <c r="E254" t="s">
        <v>136</v>
      </c>
      <c r="F254" t="s">
        <v>65</v>
      </c>
      <c r="G254" t="s">
        <v>142</v>
      </c>
      <c r="H254" t="s">
        <v>834</v>
      </c>
      <c r="I254" t="s">
        <v>28</v>
      </c>
      <c r="J254" t="s">
        <v>29</v>
      </c>
      <c r="K254" t="s">
        <v>835</v>
      </c>
      <c r="L254" t="s">
        <v>122</v>
      </c>
      <c r="M254" t="s">
        <v>54</v>
      </c>
      <c r="N254" t="s">
        <v>102</v>
      </c>
      <c r="O254" t="s">
        <v>103</v>
      </c>
      <c r="P254" t="s">
        <v>76</v>
      </c>
      <c r="Q254">
        <v>432</v>
      </c>
      <c r="R254">
        <v>60.79</v>
      </c>
      <c r="S254">
        <v>26261.279999999999</v>
      </c>
      <c r="T254">
        <v>15.89</v>
      </c>
      <c r="U254">
        <v>24</v>
      </c>
      <c r="V254">
        <v>24</v>
      </c>
      <c r="W254">
        <v>3222</v>
      </c>
      <c r="X254" t="s">
        <v>188</v>
      </c>
      <c r="Y254" t="s">
        <v>36</v>
      </c>
      <c r="Z254">
        <v>7077.13</v>
      </c>
    </row>
    <row r="255" spans="1:26" x14ac:dyDescent="0.25">
      <c r="A255">
        <v>100253</v>
      </c>
      <c r="B255" s="3">
        <v>45709</v>
      </c>
      <c r="C255" s="3">
        <v>45711</v>
      </c>
      <c r="D255" s="3">
        <v>45723</v>
      </c>
      <c r="E255" t="s">
        <v>836</v>
      </c>
      <c r="F255" t="s">
        <v>54</v>
      </c>
      <c r="G255" t="s">
        <v>165</v>
      </c>
      <c r="H255" t="s">
        <v>837</v>
      </c>
      <c r="I255" t="s">
        <v>416</v>
      </c>
      <c r="J255" t="s">
        <v>80</v>
      </c>
      <c r="K255" t="s">
        <v>838</v>
      </c>
      <c r="L255" t="s">
        <v>44</v>
      </c>
      <c r="M255" t="s">
        <v>54</v>
      </c>
      <c r="N255" t="s">
        <v>102</v>
      </c>
      <c r="O255" t="s">
        <v>103</v>
      </c>
      <c r="P255" t="s">
        <v>123</v>
      </c>
      <c r="Q255">
        <v>349</v>
      </c>
      <c r="R255">
        <v>343.34</v>
      </c>
      <c r="S255">
        <v>119825.66</v>
      </c>
      <c r="T255">
        <v>14.2</v>
      </c>
      <c r="U255">
        <v>12</v>
      </c>
      <c r="V255">
        <v>14</v>
      </c>
      <c r="W255">
        <v>1588</v>
      </c>
      <c r="X255" t="s">
        <v>188</v>
      </c>
      <c r="Y255" t="s">
        <v>36</v>
      </c>
      <c r="Z255">
        <v>27230.42</v>
      </c>
    </row>
    <row r="256" spans="1:26" x14ac:dyDescent="0.25">
      <c r="A256">
        <v>100254</v>
      </c>
      <c r="B256" s="3">
        <v>45483</v>
      </c>
      <c r="C256" s="3">
        <v>45483</v>
      </c>
      <c r="D256" s="3">
        <v>45487</v>
      </c>
      <c r="E256" t="s">
        <v>839</v>
      </c>
      <c r="F256" t="s">
        <v>32</v>
      </c>
      <c r="G256" t="s">
        <v>273</v>
      </c>
      <c r="H256" t="s">
        <v>840</v>
      </c>
      <c r="I256" t="s">
        <v>134</v>
      </c>
      <c r="J256" t="s">
        <v>52</v>
      </c>
      <c r="K256" t="s">
        <v>841</v>
      </c>
      <c r="L256" t="s">
        <v>187</v>
      </c>
      <c r="M256" t="s">
        <v>25</v>
      </c>
      <c r="N256" t="s">
        <v>107</v>
      </c>
      <c r="O256" t="s">
        <v>108</v>
      </c>
      <c r="P256" t="s">
        <v>123</v>
      </c>
      <c r="Q256">
        <v>137</v>
      </c>
      <c r="R256">
        <v>82.34</v>
      </c>
      <c r="S256">
        <v>11280.58</v>
      </c>
      <c r="T256">
        <v>14.02</v>
      </c>
      <c r="U256">
        <v>4</v>
      </c>
      <c r="V256">
        <v>4</v>
      </c>
      <c r="W256">
        <v>568</v>
      </c>
      <c r="X256" t="s">
        <v>3742</v>
      </c>
      <c r="Y256" t="s">
        <v>47</v>
      </c>
      <c r="Z256">
        <v>-242.86</v>
      </c>
    </row>
    <row r="257" spans="1:26" x14ac:dyDescent="0.25">
      <c r="A257">
        <v>100255</v>
      </c>
      <c r="B257" s="3">
        <v>45992</v>
      </c>
      <c r="C257" s="3">
        <v>45995</v>
      </c>
      <c r="D257" s="3">
        <v>46006</v>
      </c>
      <c r="E257" t="s">
        <v>842</v>
      </c>
      <c r="F257" t="s">
        <v>38</v>
      </c>
      <c r="G257" t="s">
        <v>39</v>
      </c>
      <c r="H257" t="s">
        <v>843</v>
      </c>
      <c r="I257" t="s">
        <v>368</v>
      </c>
      <c r="J257" t="s">
        <v>29</v>
      </c>
      <c r="K257" t="s">
        <v>844</v>
      </c>
      <c r="L257" t="s">
        <v>187</v>
      </c>
      <c r="M257" t="s">
        <v>25</v>
      </c>
      <c r="N257" t="s">
        <v>203</v>
      </c>
      <c r="O257" t="s">
        <v>204</v>
      </c>
      <c r="P257" t="s">
        <v>123</v>
      </c>
      <c r="Q257">
        <v>490</v>
      </c>
      <c r="R257">
        <v>116.37</v>
      </c>
      <c r="S257">
        <v>57021.3</v>
      </c>
      <c r="T257">
        <v>22.6</v>
      </c>
      <c r="U257">
        <v>11</v>
      </c>
      <c r="V257">
        <v>14</v>
      </c>
      <c r="W257">
        <v>2536</v>
      </c>
      <c r="X257" t="s">
        <v>188</v>
      </c>
      <c r="Y257" t="s">
        <v>36</v>
      </c>
      <c r="Z257">
        <v>11179.4</v>
      </c>
    </row>
    <row r="258" spans="1:26" x14ac:dyDescent="0.25">
      <c r="A258">
        <v>100256</v>
      </c>
      <c r="B258" s="3">
        <v>45531</v>
      </c>
      <c r="C258" s="3">
        <v>45536</v>
      </c>
      <c r="D258" s="3">
        <v>45548</v>
      </c>
      <c r="E258" t="s">
        <v>845</v>
      </c>
      <c r="F258" t="s">
        <v>65</v>
      </c>
      <c r="G258" t="s">
        <v>142</v>
      </c>
      <c r="H258" t="s">
        <v>846</v>
      </c>
      <c r="I258" t="s">
        <v>177</v>
      </c>
      <c r="J258" t="s">
        <v>29</v>
      </c>
      <c r="K258" t="s">
        <v>847</v>
      </c>
      <c r="L258" t="s">
        <v>64</v>
      </c>
      <c r="M258" t="s">
        <v>25</v>
      </c>
      <c r="N258" t="s">
        <v>203</v>
      </c>
      <c r="O258" t="s">
        <v>204</v>
      </c>
      <c r="P258" t="s">
        <v>76</v>
      </c>
      <c r="Q258">
        <v>467</v>
      </c>
      <c r="R258">
        <v>98.97</v>
      </c>
      <c r="S258">
        <v>46218.99</v>
      </c>
      <c r="T258">
        <v>16.53</v>
      </c>
      <c r="U258">
        <v>12</v>
      </c>
      <c r="V258">
        <v>17</v>
      </c>
      <c r="W258">
        <v>3316</v>
      </c>
      <c r="X258" t="s">
        <v>188</v>
      </c>
      <c r="Y258" t="s">
        <v>36</v>
      </c>
      <c r="Z258">
        <v>12660.54</v>
      </c>
    </row>
    <row r="259" spans="1:26" x14ac:dyDescent="0.25">
      <c r="A259">
        <v>100257</v>
      </c>
      <c r="B259" s="3">
        <v>45810</v>
      </c>
      <c r="C259" s="3">
        <v>45815</v>
      </c>
      <c r="D259" s="3">
        <v>45824</v>
      </c>
      <c r="E259" t="s">
        <v>848</v>
      </c>
      <c r="F259" t="s">
        <v>38</v>
      </c>
      <c r="G259" t="s">
        <v>147</v>
      </c>
      <c r="H259" t="s">
        <v>849</v>
      </c>
      <c r="I259" t="s">
        <v>238</v>
      </c>
      <c r="J259" t="s">
        <v>62</v>
      </c>
      <c r="K259" t="s">
        <v>850</v>
      </c>
      <c r="L259" t="s">
        <v>118</v>
      </c>
      <c r="M259" t="s">
        <v>65</v>
      </c>
      <c r="N259" t="s">
        <v>33</v>
      </c>
      <c r="O259" t="s">
        <v>34</v>
      </c>
      <c r="P259" t="s">
        <v>35</v>
      </c>
      <c r="Q259">
        <v>188</v>
      </c>
      <c r="R259">
        <v>5.55</v>
      </c>
      <c r="S259">
        <v>1043.4000000000001</v>
      </c>
      <c r="T259">
        <v>17.8</v>
      </c>
      <c r="U259">
        <v>9</v>
      </c>
      <c r="V259">
        <v>14</v>
      </c>
      <c r="W259">
        <v>4859</v>
      </c>
      <c r="X259" t="s">
        <v>188</v>
      </c>
      <c r="Y259" t="s">
        <v>36</v>
      </c>
      <c r="Z259">
        <v>37.06</v>
      </c>
    </row>
    <row r="260" spans="1:26" x14ac:dyDescent="0.25">
      <c r="A260">
        <v>100258</v>
      </c>
      <c r="B260" s="3">
        <v>45574</v>
      </c>
      <c r="C260" s="3">
        <v>45577</v>
      </c>
      <c r="D260" s="3">
        <v>45581</v>
      </c>
      <c r="E260" t="s">
        <v>851</v>
      </c>
      <c r="F260" t="s">
        <v>38</v>
      </c>
      <c r="G260" t="s">
        <v>39</v>
      </c>
      <c r="H260" t="s">
        <v>852</v>
      </c>
      <c r="I260" t="s">
        <v>134</v>
      </c>
      <c r="J260" t="s">
        <v>52</v>
      </c>
      <c r="K260" t="s">
        <v>658</v>
      </c>
      <c r="L260" t="s">
        <v>212</v>
      </c>
      <c r="M260" t="s">
        <v>38</v>
      </c>
      <c r="N260" t="s">
        <v>33</v>
      </c>
      <c r="O260" t="s">
        <v>34</v>
      </c>
      <c r="P260" t="s">
        <v>123</v>
      </c>
      <c r="Q260">
        <v>78</v>
      </c>
      <c r="R260">
        <v>13.6</v>
      </c>
      <c r="S260">
        <v>1060.8</v>
      </c>
      <c r="T260">
        <v>9.32</v>
      </c>
      <c r="U260">
        <v>4</v>
      </c>
      <c r="V260">
        <v>7</v>
      </c>
      <c r="W260">
        <v>3304</v>
      </c>
      <c r="X260" t="s">
        <v>3741</v>
      </c>
      <c r="Y260" t="s">
        <v>36</v>
      </c>
      <c r="Z260">
        <v>159.46</v>
      </c>
    </row>
    <row r="261" spans="1:26" x14ac:dyDescent="0.25">
      <c r="A261">
        <v>100259</v>
      </c>
      <c r="B261" s="3">
        <v>45741</v>
      </c>
      <c r="C261" s="3">
        <v>45746</v>
      </c>
      <c r="D261" s="3">
        <v>45770</v>
      </c>
      <c r="E261" t="s">
        <v>853</v>
      </c>
      <c r="F261" t="s">
        <v>25</v>
      </c>
      <c r="G261" t="s">
        <v>233</v>
      </c>
      <c r="H261" t="s">
        <v>854</v>
      </c>
      <c r="I261" t="s">
        <v>278</v>
      </c>
      <c r="J261" t="s">
        <v>29</v>
      </c>
      <c r="K261" t="s">
        <v>855</v>
      </c>
      <c r="L261" t="s">
        <v>118</v>
      </c>
      <c r="M261" t="s">
        <v>65</v>
      </c>
      <c r="N261" t="s">
        <v>66</v>
      </c>
      <c r="O261" t="s">
        <v>67</v>
      </c>
      <c r="P261" t="s">
        <v>76</v>
      </c>
      <c r="Q261">
        <v>191</v>
      </c>
      <c r="R261">
        <v>90.68</v>
      </c>
      <c r="S261">
        <v>17319.88</v>
      </c>
      <c r="T261">
        <v>11.5</v>
      </c>
      <c r="U261">
        <v>24</v>
      </c>
      <c r="V261">
        <v>29</v>
      </c>
      <c r="W261">
        <v>364</v>
      </c>
      <c r="X261" t="s">
        <v>188</v>
      </c>
      <c r="Y261" t="s">
        <v>36</v>
      </c>
      <c r="Z261">
        <v>4321.7299999999996</v>
      </c>
    </row>
    <row r="262" spans="1:26" x14ac:dyDescent="0.25">
      <c r="A262">
        <v>100260</v>
      </c>
      <c r="B262" s="3">
        <v>45320</v>
      </c>
      <c r="C262" s="3">
        <v>45321</v>
      </c>
      <c r="D262" s="3">
        <v>45345</v>
      </c>
      <c r="E262" t="s">
        <v>856</v>
      </c>
      <c r="F262" t="s">
        <v>38</v>
      </c>
      <c r="G262" t="s">
        <v>147</v>
      </c>
      <c r="H262" t="s">
        <v>857</v>
      </c>
      <c r="I262" t="s">
        <v>79</v>
      </c>
      <c r="J262" t="s">
        <v>80</v>
      </c>
      <c r="K262" t="s">
        <v>858</v>
      </c>
      <c r="L262" t="s">
        <v>187</v>
      </c>
      <c r="M262" t="s">
        <v>25</v>
      </c>
      <c r="N262" t="s">
        <v>151</v>
      </c>
      <c r="O262" t="s">
        <v>152</v>
      </c>
      <c r="P262" t="s">
        <v>76</v>
      </c>
      <c r="Q262">
        <v>211</v>
      </c>
      <c r="R262">
        <v>95.6</v>
      </c>
      <c r="S262">
        <v>20171.599999999999</v>
      </c>
      <c r="T262">
        <v>11.86</v>
      </c>
      <c r="U262">
        <v>24</v>
      </c>
      <c r="V262">
        <v>25</v>
      </c>
      <c r="W262">
        <v>567</v>
      </c>
      <c r="X262" t="s">
        <v>188</v>
      </c>
      <c r="Y262" t="s">
        <v>36</v>
      </c>
      <c r="Z262">
        <v>4201.57</v>
      </c>
    </row>
    <row r="263" spans="1:26" x14ac:dyDescent="0.25">
      <c r="A263">
        <v>100261</v>
      </c>
      <c r="B263" s="3">
        <v>45759</v>
      </c>
      <c r="C263" s="3">
        <v>45759</v>
      </c>
      <c r="D263" s="3">
        <v>45769</v>
      </c>
      <c r="E263" t="s">
        <v>859</v>
      </c>
      <c r="F263" t="s">
        <v>65</v>
      </c>
      <c r="G263" t="s">
        <v>154</v>
      </c>
      <c r="H263" t="s">
        <v>860</v>
      </c>
      <c r="I263" t="s">
        <v>51</v>
      </c>
      <c r="J263" t="s">
        <v>52</v>
      </c>
      <c r="K263" t="s">
        <v>861</v>
      </c>
      <c r="L263" t="s">
        <v>122</v>
      </c>
      <c r="M263" t="s">
        <v>38</v>
      </c>
      <c r="N263" t="s">
        <v>102</v>
      </c>
      <c r="O263" t="s">
        <v>103</v>
      </c>
      <c r="P263" t="s">
        <v>76</v>
      </c>
      <c r="Q263">
        <v>107</v>
      </c>
      <c r="R263">
        <v>47.61</v>
      </c>
      <c r="S263">
        <v>5094.2700000000004</v>
      </c>
      <c r="T263">
        <v>9.9700000000000006</v>
      </c>
      <c r="U263">
        <v>10</v>
      </c>
      <c r="V263">
        <v>10</v>
      </c>
      <c r="W263">
        <v>407</v>
      </c>
      <c r="X263" t="s">
        <v>188</v>
      </c>
      <c r="Y263" t="s">
        <v>36</v>
      </c>
      <c r="Z263">
        <v>803.44</v>
      </c>
    </row>
    <row r="264" spans="1:26" x14ac:dyDescent="0.25">
      <c r="A264">
        <v>100262</v>
      </c>
      <c r="B264" s="3">
        <v>45730</v>
      </c>
      <c r="C264" s="3">
        <v>45732</v>
      </c>
      <c r="D264" s="3">
        <v>45754</v>
      </c>
      <c r="E264" t="s">
        <v>862</v>
      </c>
      <c r="F264" t="s">
        <v>65</v>
      </c>
      <c r="G264" t="s">
        <v>142</v>
      </c>
      <c r="H264" t="s">
        <v>863</v>
      </c>
      <c r="I264" t="s">
        <v>28</v>
      </c>
      <c r="J264" t="s">
        <v>29</v>
      </c>
      <c r="K264" t="s">
        <v>864</v>
      </c>
      <c r="L264" t="s">
        <v>91</v>
      </c>
      <c r="M264" t="s">
        <v>38</v>
      </c>
      <c r="N264" t="s">
        <v>107</v>
      </c>
      <c r="O264" t="s">
        <v>108</v>
      </c>
      <c r="P264" t="s">
        <v>76</v>
      </c>
      <c r="Q264">
        <v>447</v>
      </c>
      <c r="R264">
        <v>86.54</v>
      </c>
      <c r="S264">
        <v>38683.379999999997</v>
      </c>
      <c r="T264">
        <v>16.170000000000002</v>
      </c>
      <c r="U264">
        <v>22</v>
      </c>
      <c r="V264">
        <v>24</v>
      </c>
      <c r="W264">
        <v>552</v>
      </c>
      <c r="X264" t="s">
        <v>188</v>
      </c>
      <c r="Y264" t="s">
        <v>36</v>
      </c>
      <c r="Z264">
        <v>5334.27</v>
      </c>
    </row>
    <row r="265" spans="1:26" x14ac:dyDescent="0.25">
      <c r="A265">
        <v>100263</v>
      </c>
      <c r="B265" s="3">
        <v>46010</v>
      </c>
      <c r="C265" s="3">
        <v>46012</v>
      </c>
      <c r="D265" s="3">
        <v>46014</v>
      </c>
      <c r="E265" t="s">
        <v>865</v>
      </c>
      <c r="F265" t="s">
        <v>38</v>
      </c>
      <c r="G265" t="s">
        <v>147</v>
      </c>
      <c r="H265" t="s">
        <v>866</v>
      </c>
      <c r="I265" t="s">
        <v>51</v>
      </c>
      <c r="J265" t="s">
        <v>52</v>
      </c>
      <c r="K265" t="s">
        <v>867</v>
      </c>
      <c r="L265" t="s">
        <v>212</v>
      </c>
      <c r="M265" t="s">
        <v>65</v>
      </c>
      <c r="N265" t="s">
        <v>92</v>
      </c>
      <c r="O265" t="s">
        <v>93</v>
      </c>
      <c r="P265" t="s">
        <v>68</v>
      </c>
      <c r="Q265">
        <v>109</v>
      </c>
      <c r="R265">
        <v>28.46</v>
      </c>
      <c r="S265">
        <v>3102.14</v>
      </c>
      <c r="T265">
        <v>35.58</v>
      </c>
      <c r="U265">
        <v>2</v>
      </c>
      <c r="V265">
        <v>4</v>
      </c>
      <c r="W265">
        <v>2505</v>
      </c>
      <c r="X265" t="s">
        <v>3741</v>
      </c>
      <c r="Y265" t="s">
        <v>36</v>
      </c>
      <c r="Z265">
        <v>563.37</v>
      </c>
    </row>
    <row r="266" spans="1:26" x14ac:dyDescent="0.25">
      <c r="A266">
        <v>100264</v>
      </c>
      <c r="B266" s="3">
        <v>45557</v>
      </c>
      <c r="C266" s="3">
        <v>45561</v>
      </c>
      <c r="D266" s="3">
        <v>45568</v>
      </c>
      <c r="E266" t="s">
        <v>868</v>
      </c>
      <c r="F266" t="s">
        <v>65</v>
      </c>
      <c r="G266" t="s">
        <v>154</v>
      </c>
      <c r="H266" t="s">
        <v>869</v>
      </c>
      <c r="I266" t="s">
        <v>72</v>
      </c>
      <c r="J266" t="s">
        <v>42</v>
      </c>
      <c r="K266" t="s">
        <v>870</v>
      </c>
      <c r="L266" t="s">
        <v>212</v>
      </c>
      <c r="M266" t="s">
        <v>65</v>
      </c>
      <c r="N266" t="s">
        <v>151</v>
      </c>
      <c r="O266" t="s">
        <v>152</v>
      </c>
      <c r="P266" t="s">
        <v>35</v>
      </c>
      <c r="Q266">
        <v>107</v>
      </c>
      <c r="R266">
        <v>205.69</v>
      </c>
      <c r="S266">
        <v>22008.83</v>
      </c>
      <c r="T266">
        <v>11.49</v>
      </c>
      <c r="U266">
        <v>7</v>
      </c>
      <c r="V266">
        <v>11</v>
      </c>
      <c r="W266">
        <v>333</v>
      </c>
      <c r="X266" t="s">
        <v>188</v>
      </c>
      <c r="Y266" t="s">
        <v>36</v>
      </c>
      <c r="Z266">
        <v>4634.08</v>
      </c>
    </row>
    <row r="267" spans="1:26" x14ac:dyDescent="0.25">
      <c r="A267">
        <v>100265</v>
      </c>
      <c r="B267" s="3">
        <v>45374</v>
      </c>
      <c r="C267" s="3">
        <v>45374</v>
      </c>
      <c r="D267" s="3">
        <v>45387</v>
      </c>
      <c r="E267" t="s">
        <v>871</v>
      </c>
      <c r="F267" t="s">
        <v>65</v>
      </c>
      <c r="G267" t="s">
        <v>142</v>
      </c>
      <c r="H267" t="s">
        <v>872</v>
      </c>
      <c r="I267" t="s">
        <v>144</v>
      </c>
      <c r="J267" t="s">
        <v>52</v>
      </c>
      <c r="K267" t="s">
        <v>340</v>
      </c>
      <c r="L267" t="s">
        <v>31</v>
      </c>
      <c r="M267" t="s">
        <v>25</v>
      </c>
      <c r="N267" t="s">
        <v>55</v>
      </c>
      <c r="O267" t="s">
        <v>56</v>
      </c>
      <c r="P267" t="s">
        <v>123</v>
      </c>
      <c r="Q267">
        <v>271</v>
      </c>
      <c r="R267">
        <v>88.11</v>
      </c>
      <c r="S267">
        <v>23877.81</v>
      </c>
      <c r="T267">
        <v>17.28</v>
      </c>
      <c r="U267">
        <v>13</v>
      </c>
      <c r="V267">
        <v>13</v>
      </c>
      <c r="W267">
        <v>2904</v>
      </c>
      <c r="X267" t="s">
        <v>188</v>
      </c>
      <c r="Y267" t="s">
        <v>36</v>
      </c>
      <c r="Z267">
        <v>2669.35</v>
      </c>
    </row>
    <row r="268" spans="1:26" x14ac:dyDescent="0.25">
      <c r="A268">
        <v>100266</v>
      </c>
      <c r="B268" s="3">
        <v>45632</v>
      </c>
      <c r="C268" s="3">
        <v>45632</v>
      </c>
      <c r="D268" s="3">
        <v>45639</v>
      </c>
      <c r="E268" t="s">
        <v>873</v>
      </c>
      <c r="F268" t="s">
        <v>32</v>
      </c>
      <c r="G268" t="s">
        <v>110</v>
      </c>
      <c r="H268" t="s">
        <v>874</v>
      </c>
      <c r="I268" t="s">
        <v>51</v>
      </c>
      <c r="J268" t="s">
        <v>52</v>
      </c>
      <c r="K268" t="s">
        <v>875</v>
      </c>
      <c r="L268" t="s">
        <v>122</v>
      </c>
      <c r="M268" t="s">
        <v>32</v>
      </c>
      <c r="N268" t="s">
        <v>151</v>
      </c>
      <c r="O268" t="s">
        <v>152</v>
      </c>
      <c r="P268" t="s">
        <v>123</v>
      </c>
      <c r="Q268">
        <v>357</v>
      </c>
      <c r="R268">
        <v>58.29</v>
      </c>
      <c r="S268">
        <v>20809.53</v>
      </c>
      <c r="T268">
        <v>14.35</v>
      </c>
      <c r="U268">
        <v>7</v>
      </c>
      <c r="V268">
        <v>7</v>
      </c>
      <c r="W268">
        <v>2624</v>
      </c>
      <c r="X268" t="s">
        <v>3741</v>
      </c>
      <c r="Y268" t="s">
        <v>36</v>
      </c>
      <c r="Z268">
        <v>1994.25</v>
      </c>
    </row>
    <row r="269" spans="1:26" x14ac:dyDescent="0.25">
      <c r="A269">
        <v>100267</v>
      </c>
      <c r="B269" s="3">
        <v>45442</v>
      </c>
      <c r="C269" s="3">
        <v>45445</v>
      </c>
      <c r="D269" s="3">
        <v>45447</v>
      </c>
      <c r="E269" t="s">
        <v>876</v>
      </c>
      <c r="F269" t="s">
        <v>32</v>
      </c>
      <c r="G269" t="s">
        <v>364</v>
      </c>
      <c r="H269" t="s">
        <v>877</v>
      </c>
      <c r="I269" t="s">
        <v>207</v>
      </c>
      <c r="J269" t="s">
        <v>80</v>
      </c>
      <c r="K269" t="s">
        <v>495</v>
      </c>
      <c r="L269" t="s">
        <v>91</v>
      </c>
      <c r="M269" t="s">
        <v>32</v>
      </c>
      <c r="N269" t="s">
        <v>203</v>
      </c>
      <c r="O269" t="s">
        <v>204</v>
      </c>
      <c r="P269" t="s">
        <v>35</v>
      </c>
      <c r="Q269">
        <v>305</v>
      </c>
      <c r="R269">
        <v>150.01</v>
      </c>
      <c r="S269">
        <v>45753.05</v>
      </c>
      <c r="T269">
        <v>15.64</v>
      </c>
      <c r="U269">
        <v>2</v>
      </c>
      <c r="V269">
        <v>5</v>
      </c>
      <c r="W269">
        <v>995</v>
      </c>
      <c r="X269" t="s">
        <v>3741</v>
      </c>
      <c r="Y269" t="s">
        <v>36</v>
      </c>
      <c r="Z269">
        <v>10400.469999999999</v>
      </c>
    </row>
    <row r="270" spans="1:26" x14ac:dyDescent="0.25">
      <c r="A270">
        <v>100268</v>
      </c>
      <c r="B270" s="3">
        <v>45595</v>
      </c>
      <c r="C270" s="3">
        <v>45596</v>
      </c>
      <c r="D270" s="3">
        <v>45607</v>
      </c>
      <c r="E270" t="s">
        <v>878</v>
      </c>
      <c r="F270" t="s">
        <v>54</v>
      </c>
      <c r="G270" t="s">
        <v>225</v>
      </c>
      <c r="H270" t="s">
        <v>879</v>
      </c>
      <c r="I270" t="s">
        <v>51</v>
      </c>
      <c r="J270" t="s">
        <v>52</v>
      </c>
      <c r="K270" t="s">
        <v>867</v>
      </c>
      <c r="L270" t="s">
        <v>187</v>
      </c>
      <c r="M270" t="s">
        <v>32</v>
      </c>
      <c r="N270" t="s">
        <v>102</v>
      </c>
      <c r="O270" t="s">
        <v>103</v>
      </c>
      <c r="P270" t="s">
        <v>76</v>
      </c>
      <c r="Q270">
        <v>328</v>
      </c>
      <c r="R270">
        <v>52.63</v>
      </c>
      <c r="S270">
        <v>17262.64</v>
      </c>
      <c r="T270">
        <v>14</v>
      </c>
      <c r="U270">
        <v>11</v>
      </c>
      <c r="V270">
        <v>12</v>
      </c>
      <c r="W270">
        <v>3957</v>
      </c>
      <c r="X270" t="s">
        <v>188</v>
      </c>
      <c r="Y270" t="s">
        <v>36</v>
      </c>
      <c r="Z270">
        <v>1762.95</v>
      </c>
    </row>
    <row r="271" spans="1:26" x14ac:dyDescent="0.25">
      <c r="A271">
        <v>100269</v>
      </c>
      <c r="B271" s="3">
        <v>45982</v>
      </c>
      <c r="C271" s="3">
        <v>45987</v>
      </c>
      <c r="D271" s="3">
        <v>46006</v>
      </c>
      <c r="E271" t="s">
        <v>880</v>
      </c>
      <c r="F271" t="s">
        <v>38</v>
      </c>
      <c r="G271" t="s">
        <v>83</v>
      </c>
      <c r="H271" t="s">
        <v>881</v>
      </c>
      <c r="I271" t="s">
        <v>79</v>
      </c>
      <c r="J271" t="s">
        <v>80</v>
      </c>
      <c r="K271" t="s">
        <v>882</v>
      </c>
      <c r="L271" t="s">
        <v>91</v>
      </c>
      <c r="M271" t="s">
        <v>65</v>
      </c>
      <c r="N271" t="s">
        <v>66</v>
      </c>
      <c r="O271" t="s">
        <v>67</v>
      </c>
      <c r="P271" t="s">
        <v>76</v>
      </c>
      <c r="Q271">
        <v>378</v>
      </c>
      <c r="R271">
        <v>308.20999999999998</v>
      </c>
      <c r="S271">
        <v>116503.38</v>
      </c>
      <c r="T271">
        <v>14.91</v>
      </c>
      <c r="U271">
        <v>19</v>
      </c>
      <c r="V271">
        <v>24</v>
      </c>
      <c r="W271">
        <v>1767</v>
      </c>
      <c r="X271" t="s">
        <v>3742</v>
      </c>
      <c r="Y271" t="s">
        <v>57</v>
      </c>
      <c r="Z271">
        <v>28642.560000000001</v>
      </c>
    </row>
    <row r="272" spans="1:26" x14ac:dyDescent="0.25">
      <c r="A272">
        <v>100270</v>
      </c>
      <c r="B272" s="3">
        <v>45861</v>
      </c>
      <c r="C272" s="3">
        <v>45863</v>
      </c>
      <c r="D272" s="3">
        <v>45877</v>
      </c>
      <c r="E272" t="s">
        <v>883</v>
      </c>
      <c r="F272" t="s">
        <v>38</v>
      </c>
      <c r="G272" t="s">
        <v>83</v>
      </c>
      <c r="H272" t="s">
        <v>884</v>
      </c>
      <c r="I272" t="s">
        <v>134</v>
      </c>
      <c r="J272" t="s">
        <v>52</v>
      </c>
      <c r="K272" t="s">
        <v>885</v>
      </c>
      <c r="L272" t="s">
        <v>98</v>
      </c>
      <c r="M272" t="s">
        <v>38</v>
      </c>
      <c r="N272" t="s">
        <v>92</v>
      </c>
      <c r="O272" t="s">
        <v>93</v>
      </c>
      <c r="P272" t="s">
        <v>123</v>
      </c>
      <c r="Q272">
        <v>123</v>
      </c>
      <c r="R272">
        <v>61.24</v>
      </c>
      <c r="S272">
        <v>7532.52</v>
      </c>
      <c r="T272">
        <v>10.130000000000001</v>
      </c>
      <c r="U272">
        <v>14</v>
      </c>
      <c r="V272">
        <v>16</v>
      </c>
      <c r="W272">
        <v>1558</v>
      </c>
      <c r="X272" t="s">
        <v>188</v>
      </c>
      <c r="Y272" t="s">
        <v>36</v>
      </c>
      <c r="Z272">
        <v>803.46</v>
      </c>
    </row>
    <row r="273" spans="1:26" x14ac:dyDescent="0.25">
      <c r="A273">
        <v>100271</v>
      </c>
      <c r="B273" s="3">
        <v>45476</v>
      </c>
      <c r="C273" s="3">
        <v>45480</v>
      </c>
      <c r="D273" s="3">
        <v>45493</v>
      </c>
      <c r="E273" t="s">
        <v>886</v>
      </c>
      <c r="F273" t="s">
        <v>32</v>
      </c>
      <c r="G273" t="s">
        <v>95</v>
      </c>
      <c r="H273" t="s">
        <v>887</v>
      </c>
      <c r="I273" t="s">
        <v>134</v>
      </c>
      <c r="J273" t="s">
        <v>52</v>
      </c>
      <c r="K273" t="s">
        <v>888</v>
      </c>
      <c r="L273" t="s">
        <v>31</v>
      </c>
      <c r="M273" t="s">
        <v>65</v>
      </c>
      <c r="N273" t="s">
        <v>107</v>
      </c>
      <c r="O273" t="s">
        <v>108</v>
      </c>
      <c r="P273" t="s">
        <v>76</v>
      </c>
      <c r="Q273">
        <v>97</v>
      </c>
      <c r="R273">
        <v>84.02</v>
      </c>
      <c r="S273">
        <v>8149.94</v>
      </c>
      <c r="T273">
        <v>9.7899999999999991</v>
      </c>
      <c r="U273">
        <v>13</v>
      </c>
      <c r="V273">
        <v>17</v>
      </c>
      <c r="W273">
        <v>3478</v>
      </c>
      <c r="X273" t="s">
        <v>188</v>
      </c>
      <c r="Y273" t="s">
        <v>36</v>
      </c>
      <c r="Z273">
        <v>572.88</v>
      </c>
    </row>
    <row r="274" spans="1:26" x14ac:dyDescent="0.25">
      <c r="A274">
        <v>100272</v>
      </c>
      <c r="B274" s="3">
        <v>45905</v>
      </c>
      <c r="C274" s="3">
        <v>45910</v>
      </c>
      <c r="D274" s="3">
        <v>45924</v>
      </c>
      <c r="E274" t="s">
        <v>889</v>
      </c>
      <c r="F274" t="s">
        <v>54</v>
      </c>
      <c r="G274" t="s">
        <v>165</v>
      </c>
      <c r="H274" t="s">
        <v>890</v>
      </c>
      <c r="I274" t="s">
        <v>207</v>
      </c>
      <c r="J274" t="s">
        <v>80</v>
      </c>
      <c r="K274" t="s">
        <v>447</v>
      </c>
      <c r="L274" t="s">
        <v>118</v>
      </c>
      <c r="M274" t="s">
        <v>65</v>
      </c>
      <c r="N274" t="s">
        <v>107</v>
      </c>
      <c r="O274" t="s">
        <v>108</v>
      </c>
      <c r="P274" t="s">
        <v>76</v>
      </c>
      <c r="Q274">
        <v>30</v>
      </c>
      <c r="R274">
        <v>271.5</v>
      </c>
      <c r="S274">
        <v>8145</v>
      </c>
      <c r="T274">
        <v>8.57</v>
      </c>
      <c r="U274">
        <v>14</v>
      </c>
      <c r="V274">
        <v>19</v>
      </c>
      <c r="W274">
        <v>1669</v>
      </c>
      <c r="X274" t="s">
        <v>188</v>
      </c>
      <c r="Y274" t="s">
        <v>36</v>
      </c>
      <c r="Z274">
        <v>979.21</v>
      </c>
    </row>
    <row r="275" spans="1:26" x14ac:dyDescent="0.25">
      <c r="A275">
        <v>100273</v>
      </c>
      <c r="B275" s="3">
        <v>45574</v>
      </c>
      <c r="C275" s="3">
        <v>45575</v>
      </c>
      <c r="D275" s="3">
        <v>45583</v>
      </c>
      <c r="E275" t="s">
        <v>891</v>
      </c>
      <c r="F275" t="s">
        <v>38</v>
      </c>
      <c r="G275" t="s">
        <v>147</v>
      </c>
      <c r="H275" t="s">
        <v>892</v>
      </c>
      <c r="I275" t="s">
        <v>182</v>
      </c>
      <c r="J275" t="s">
        <v>80</v>
      </c>
      <c r="K275" t="s">
        <v>893</v>
      </c>
      <c r="L275" t="s">
        <v>64</v>
      </c>
      <c r="M275" t="s">
        <v>32</v>
      </c>
      <c r="N275" t="s">
        <v>107</v>
      </c>
      <c r="O275" t="s">
        <v>108</v>
      </c>
      <c r="P275" t="s">
        <v>35</v>
      </c>
      <c r="Q275">
        <v>353</v>
      </c>
      <c r="R275">
        <v>284.68</v>
      </c>
      <c r="S275">
        <v>100492.04</v>
      </c>
      <c r="T275">
        <v>22.48</v>
      </c>
      <c r="U275">
        <v>8</v>
      </c>
      <c r="V275">
        <v>9</v>
      </c>
      <c r="W275">
        <v>1384</v>
      </c>
      <c r="X275" t="s">
        <v>188</v>
      </c>
      <c r="Y275" t="s">
        <v>36</v>
      </c>
      <c r="Z275">
        <v>24680.2</v>
      </c>
    </row>
    <row r="276" spans="1:26" x14ac:dyDescent="0.25">
      <c r="A276">
        <v>100274</v>
      </c>
      <c r="B276" s="3">
        <v>45468</v>
      </c>
      <c r="C276" s="3">
        <v>45469</v>
      </c>
      <c r="D276" s="3">
        <v>45477</v>
      </c>
      <c r="E276" t="s">
        <v>894</v>
      </c>
      <c r="F276" t="s">
        <v>65</v>
      </c>
      <c r="G276" t="s">
        <v>142</v>
      </c>
      <c r="H276" t="s">
        <v>895</v>
      </c>
      <c r="I276" t="s">
        <v>139</v>
      </c>
      <c r="J276" t="s">
        <v>42</v>
      </c>
      <c r="K276" t="s">
        <v>896</v>
      </c>
      <c r="L276" t="s">
        <v>113</v>
      </c>
      <c r="M276" t="s">
        <v>65</v>
      </c>
      <c r="N276" t="s">
        <v>92</v>
      </c>
      <c r="O276" t="s">
        <v>93</v>
      </c>
      <c r="P276" t="s">
        <v>35</v>
      </c>
      <c r="Q276">
        <v>118</v>
      </c>
      <c r="R276">
        <v>256.22000000000003</v>
      </c>
      <c r="S276">
        <v>30233.96</v>
      </c>
      <c r="T276">
        <v>11.72</v>
      </c>
      <c r="U276">
        <v>8</v>
      </c>
      <c r="V276">
        <v>9</v>
      </c>
      <c r="W276">
        <v>711</v>
      </c>
      <c r="X276" t="s">
        <v>188</v>
      </c>
      <c r="Y276" t="s">
        <v>36</v>
      </c>
      <c r="Z276">
        <v>6150.35</v>
      </c>
    </row>
    <row r="277" spans="1:26" x14ac:dyDescent="0.25">
      <c r="A277">
        <v>100275</v>
      </c>
      <c r="B277" s="3">
        <v>45705</v>
      </c>
      <c r="C277" s="3">
        <v>45705</v>
      </c>
      <c r="D277" s="3">
        <v>45729</v>
      </c>
      <c r="E277" t="s">
        <v>897</v>
      </c>
      <c r="F277" t="s">
        <v>32</v>
      </c>
      <c r="G277" t="s">
        <v>180</v>
      </c>
      <c r="H277" t="s">
        <v>898</v>
      </c>
      <c r="I277" t="s">
        <v>134</v>
      </c>
      <c r="J277" t="s">
        <v>52</v>
      </c>
      <c r="K277" t="s">
        <v>899</v>
      </c>
      <c r="L277" t="s">
        <v>118</v>
      </c>
      <c r="M277" t="s">
        <v>65</v>
      </c>
      <c r="N277" t="s">
        <v>66</v>
      </c>
      <c r="O277" t="s">
        <v>67</v>
      </c>
      <c r="P277" t="s">
        <v>76</v>
      </c>
      <c r="Q277">
        <v>381</v>
      </c>
      <c r="R277">
        <v>26.83</v>
      </c>
      <c r="S277">
        <v>10222.23</v>
      </c>
      <c r="T277">
        <v>14.96</v>
      </c>
      <c r="U277">
        <v>24</v>
      </c>
      <c r="V277">
        <v>24</v>
      </c>
      <c r="W277">
        <v>3518</v>
      </c>
      <c r="X277" t="s">
        <v>3742</v>
      </c>
      <c r="Y277" t="s">
        <v>47</v>
      </c>
      <c r="Z277">
        <v>-133.58000000000001</v>
      </c>
    </row>
    <row r="278" spans="1:26" x14ac:dyDescent="0.25">
      <c r="A278">
        <v>100276</v>
      </c>
      <c r="B278" s="3">
        <v>45953</v>
      </c>
      <c r="C278" s="3">
        <v>45958</v>
      </c>
      <c r="D278" s="3">
        <v>45960</v>
      </c>
      <c r="E278" t="s">
        <v>900</v>
      </c>
      <c r="F278" t="s">
        <v>38</v>
      </c>
      <c r="G278" t="s">
        <v>147</v>
      </c>
      <c r="H278" t="s">
        <v>901</v>
      </c>
      <c r="I278" t="s">
        <v>191</v>
      </c>
      <c r="J278" t="s">
        <v>62</v>
      </c>
      <c r="K278" t="s">
        <v>902</v>
      </c>
      <c r="L278" t="s">
        <v>187</v>
      </c>
      <c r="M278" t="s">
        <v>38</v>
      </c>
      <c r="N278" t="s">
        <v>45</v>
      </c>
      <c r="O278" t="s">
        <v>46</v>
      </c>
      <c r="P278" t="s">
        <v>35</v>
      </c>
      <c r="Q278">
        <v>435</v>
      </c>
      <c r="R278">
        <v>44.67</v>
      </c>
      <c r="S278">
        <v>19431.45</v>
      </c>
      <c r="T278">
        <v>18.38</v>
      </c>
      <c r="U278">
        <v>2</v>
      </c>
      <c r="V278">
        <v>7</v>
      </c>
      <c r="W278">
        <v>1973</v>
      </c>
      <c r="X278" t="s">
        <v>3741</v>
      </c>
      <c r="Y278" t="s">
        <v>36</v>
      </c>
      <c r="Z278">
        <v>1252.32</v>
      </c>
    </row>
    <row r="279" spans="1:26" x14ac:dyDescent="0.25">
      <c r="A279">
        <v>100277</v>
      </c>
      <c r="B279" s="3">
        <v>45302</v>
      </c>
      <c r="C279" s="3">
        <v>45307</v>
      </c>
      <c r="D279" s="3">
        <v>45330</v>
      </c>
      <c r="E279" t="s">
        <v>903</v>
      </c>
      <c r="F279" t="s">
        <v>25</v>
      </c>
      <c r="G279" t="s">
        <v>172</v>
      </c>
      <c r="H279" t="s">
        <v>904</v>
      </c>
      <c r="I279" t="s">
        <v>207</v>
      </c>
      <c r="J279" t="s">
        <v>80</v>
      </c>
      <c r="K279" t="s">
        <v>683</v>
      </c>
      <c r="L279" t="s">
        <v>113</v>
      </c>
      <c r="M279" t="s">
        <v>25</v>
      </c>
      <c r="N279" t="s">
        <v>66</v>
      </c>
      <c r="O279" t="s">
        <v>67</v>
      </c>
      <c r="P279" t="s">
        <v>76</v>
      </c>
      <c r="Q279">
        <v>421</v>
      </c>
      <c r="R279">
        <v>217.29</v>
      </c>
      <c r="S279">
        <v>91479.09</v>
      </c>
      <c r="T279">
        <v>11.62</v>
      </c>
      <c r="U279">
        <v>23</v>
      </c>
      <c r="V279">
        <v>28</v>
      </c>
      <c r="W279">
        <v>1582</v>
      </c>
      <c r="X279" t="s">
        <v>3742</v>
      </c>
      <c r="Y279" t="s">
        <v>188</v>
      </c>
      <c r="Z279">
        <v>21999.93</v>
      </c>
    </row>
    <row r="280" spans="1:26" x14ac:dyDescent="0.25">
      <c r="A280">
        <v>100278</v>
      </c>
      <c r="B280" s="3">
        <v>45486</v>
      </c>
      <c r="C280" s="3">
        <v>45487</v>
      </c>
      <c r="D280" s="3">
        <v>45496</v>
      </c>
      <c r="E280" t="s">
        <v>905</v>
      </c>
      <c r="F280" t="s">
        <v>38</v>
      </c>
      <c r="G280" t="s">
        <v>49</v>
      </c>
      <c r="H280" t="s">
        <v>906</v>
      </c>
      <c r="I280" t="s">
        <v>182</v>
      </c>
      <c r="J280" t="s">
        <v>80</v>
      </c>
      <c r="K280" t="s">
        <v>907</v>
      </c>
      <c r="L280" t="s">
        <v>113</v>
      </c>
      <c r="M280" t="s">
        <v>32</v>
      </c>
      <c r="N280" t="s">
        <v>107</v>
      </c>
      <c r="O280" t="s">
        <v>108</v>
      </c>
      <c r="P280" t="s">
        <v>35</v>
      </c>
      <c r="Q280">
        <v>150</v>
      </c>
      <c r="R280">
        <v>309.86</v>
      </c>
      <c r="S280">
        <v>46479</v>
      </c>
      <c r="T280">
        <v>16.73</v>
      </c>
      <c r="U280">
        <v>9</v>
      </c>
      <c r="V280">
        <v>10</v>
      </c>
      <c r="W280">
        <v>142</v>
      </c>
      <c r="X280" t="s">
        <v>188</v>
      </c>
      <c r="Y280" t="s">
        <v>36</v>
      </c>
      <c r="Z280">
        <v>10064.66</v>
      </c>
    </row>
    <row r="281" spans="1:26" x14ac:dyDescent="0.25">
      <c r="A281">
        <v>100279</v>
      </c>
      <c r="B281" s="3">
        <v>45586</v>
      </c>
      <c r="C281" s="3">
        <v>45587</v>
      </c>
      <c r="D281" s="3">
        <v>45588</v>
      </c>
      <c r="E281" t="s">
        <v>908</v>
      </c>
      <c r="F281" t="s">
        <v>65</v>
      </c>
      <c r="G281" t="s">
        <v>142</v>
      </c>
      <c r="H281" t="s">
        <v>909</v>
      </c>
      <c r="I281" t="s">
        <v>41</v>
      </c>
      <c r="J281" t="s">
        <v>42</v>
      </c>
      <c r="K281" t="s">
        <v>910</v>
      </c>
      <c r="L281" t="s">
        <v>212</v>
      </c>
      <c r="M281" t="s">
        <v>32</v>
      </c>
      <c r="N281" t="s">
        <v>102</v>
      </c>
      <c r="O281" t="s">
        <v>103</v>
      </c>
      <c r="P281" t="s">
        <v>68</v>
      </c>
      <c r="Q281">
        <v>112</v>
      </c>
      <c r="R281">
        <v>223.52</v>
      </c>
      <c r="S281">
        <v>25034.240000000002</v>
      </c>
      <c r="T281">
        <v>35.770000000000003</v>
      </c>
      <c r="U281">
        <v>1</v>
      </c>
      <c r="V281">
        <v>2</v>
      </c>
      <c r="W281">
        <v>1647</v>
      </c>
      <c r="X281" t="s">
        <v>3741</v>
      </c>
      <c r="Y281" t="s">
        <v>36</v>
      </c>
      <c r="Z281">
        <v>2208.96</v>
      </c>
    </row>
    <row r="282" spans="1:26" x14ac:dyDescent="0.25">
      <c r="A282">
        <v>100280</v>
      </c>
      <c r="B282" s="3">
        <v>45498</v>
      </c>
      <c r="C282" s="3">
        <v>45502</v>
      </c>
      <c r="D282" s="3">
        <v>45508</v>
      </c>
      <c r="E282" t="s">
        <v>911</v>
      </c>
      <c r="F282" t="s">
        <v>32</v>
      </c>
      <c r="G282" t="s">
        <v>137</v>
      </c>
      <c r="H282" t="s">
        <v>912</v>
      </c>
      <c r="I282" t="s">
        <v>89</v>
      </c>
      <c r="J282" t="s">
        <v>62</v>
      </c>
      <c r="K282" t="s">
        <v>913</v>
      </c>
      <c r="L282" t="s">
        <v>91</v>
      </c>
      <c r="M282" t="s">
        <v>54</v>
      </c>
      <c r="N282" t="s">
        <v>66</v>
      </c>
      <c r="O282" t="s">
        <v>67</v>
      </c>
      <c r="P282" t="s">
        <v>35</v>
      </c>
      <c r="Q282">
        <v>321</v>
      </c>
      <c r="R282">
        <v>42.63</v>
      </c>
      <c r="S282">
        <v>13684.23</v>
      </c>
      <c r="T282">
        <v>21.57</v>
      </c>
      <c r="U282">
        <v>6</v>
      </c>
      <c r="V282">
        <v>10</v>
      </c>
      <c r="W282">
        <v>804</v>
      </c>
      <c r="X282" t="s">
        <v>188</v>
      </c>
      <c r="Y282" t="s">
        <v>36</v>
      </c>
      <c r="Z282">
        <v>889.26</v>
      </c>
    </row>
    <row r="283" spans="1:26" x14ac:dyDescent="0.25">
      <c r="A283">
        <v>100281</v>
      </c>
      <c r="B283" s="3">
        <v>45490</v>
      </c>
      <c r="C283" s="3">
        <v>45495</v>
      </c>
      <c r="D283" s="3">
        <v>45500</v>
      </c>
      <c r="E283" t="s">
        <v>914</v>
      </c>
      <c r="F283" t="s">
        <v>25</v>
      </c>
      <c r="G283" t="s">
        <v>172</v>
      </c>
      <c r="H283" t="s">
        <v>915</v>
      </c>
      <c r="I283" t="s">
        <v>368</v>
      </c>
      <c r="J283" t="s">
        <v>29</v>
      </c>
      <c r="K283" t="s">
        <v>916</v>
      </c>
      <c r="L283" t="s">
        <v>212</v>
      </c>
      <c r="M283" t="s">
        <v>25</v>
      </c>
      <c r="N283" t="s">
        <v>74</v>
      </c>
      <c r="O283" t="s">
        <v>75</v>
      </c>
      <c r="P283" t="s">
        <v>68</v>
      </c>
      <c r="Q283">
        <v>190</v>
      </c>
      <c r="R283">
        <v>55.07</v>
      </c>
      <c r="S283">
        <v>10463.299999999999</v>
      </c>
      <c r="T283">
        <v>30.24</v>
      </c>
      <c r="U283">
        <v>5</v>
      </c>
      <c r="V283">
        <v>10</v>
      </c>
      <c r="W283">
        <v>2254</v>
      </c>
      <c r="X283" t="s">
        <v>188</v>
      </c>
      <c r="Y283" t="s">
        <v>36</v>
      </c>
      <c r="Z283">
        <v>1190.79</v>
      </c>
    </row>
    <row r="284" spans="1:26" x14ac:dyDescent="0.25">
      <c r="A284">
        <v>100282</v>
      </c>
      <c r="B284" s="3">
        <v>46007</v>
      </c>
      <c r="C284" s="3">
        <v>46007</v>
      </c>
      <c r="D284" s="3">
        <v>46011</v>
      </c>
      <c r="E284" t="s">
        <v>917</v>
      </c>
      <c r="F284" t="s">
        <v>54</v>
      </c>
      <c r="G284" t="s">
        <v>225</v>
      </c>
      <c r="H284" t="s">
        <v>918</v>
      </c>
      <c r="I284" t="s">
        <v>51</v>
      </c>
      <c r="J284" t="s">
        <v>52</v>
      </c>
      <c r="K284" t="s">
        <v>919</v>
      </c>
      <c r="L284" t="s">
        <v>122</v>
      </c>
      <c r="M284" t="s">
        <v>38</v>
      </c>
      <c r="N284" t="s">
        <v>92</v>
      </c>
      <c r="O284" t="s">
        <v>93</v>
      </c>
      <c r="P284" t="s">
        <v>68</v>
      </c>
      <c r="Q284">
        <v>342</v>
      </c>
      <c r="R284">
        <v>73.91</v>
      </c>
      <c r="S284">
        <v>25277.22</v>
      </c>
      <c r="T284">
        <v>50.67</v>
      </c>
      <c r="U284">
        <v>4</v>
      </c>
      <c r="V284">
        <v>4</v>
      </c>
      <c r="W284">
        <v>2582</v>
      </c>
      <c r="X284" t="s">
        <v>3741</v>
      </c>
      <c r="Y284" t="s">
        <v>36</v>
      </c>
      <c r="Z284">
        <v>1859.5</v>
      </c>
    </row>
    <row r="285" spans="1:26" x14ac:dyDescent="0.25">
      <c r="A285">
        <v>100283</v>
      </c>
      <c r="B285" s="3">
        <v>45294</v>
      </c>
      <c r="C285" s="3">
        <v>45299</v>
      </c>
      <c r="D285" s="3">
        <v>45302</v>
      </c>
      <c r="E285" t="s">
        <v>920</v>
      </c>
      <c r="F285" t="s">
        <v>32</v>
      </c>
      <c r="G285" t="s">
        <v>180</v>
      </c>
      <c r="H285" t="s">
        <v>921</v>
      </c>
      <c r="I285" t="s">
        <v>139</v>
      </c>
      <c r="J285" t="s">
        <v>42</v>
      </c>
      <c r="K285" t="s">
        <v>922</v>
      </c>
      <c r="L285" t="s">
        <v>122</v>
      </c>
      <c r="M285" t="s">
        <v>54</v>
      </c>
      <c r="N285" t="s">
        <v>107</v>
      </c>
      <c r="O285" t="s">
        <v>108</v>
      </c>
      <c r="P285" t="s">
        <v>68</v>
      </c>
      <c r="Q285">
        <v>340</v>
      </c>
      <c r="R285">
        <v>316.12</v>
      </c>
      <c r="S285">
        <v>107480.8</v>
      </c>
      <c r="T285">
        <v>50.54</v>
      </c>
      <c r="U285">
        <v>3</v>
      </c>
      <c r="V285">
        <v>8</v>
      </c>
      <c r="W285">
        <v>668</v>
      </c>
      <c r="X285" t="s">
        <v>188</v>
      </c>
      <c r="Y285" t="s">
        <v>36</v>
      </c>
      <c r="Z285">
        <v>21057.77</v>
      </c>
    </row>
    <row r="286" spans="1:26" x14ac:dyDescent="0.25">
      <c r="A286">
        <v>100284</v>
      </c>
      <c r="B286" s="3">
        <v>45639</v>
      </c>
      <c r="C286" s="3">
        <v>45642</v>
      </c>
      <c r="D286" s="3">
        <v>45653</v>
      </c>
      <c r="E286" t="s">
        <v>923</v>
      </c>
      <c r="F286" t="s">
        <v>25</v>
      </c>
      <c r="G286" t="s">
        <v>26</v>
      </c>
      <c r="H286" t="s">
        <v>924</v>
      </c>
      <c r="I286" t="s">
        <v>278</v>
      </c>
      <c r="J286" t="s">
        <v>29</v>
      </c>
      <c r="K286" t="s">
        <v>925</v>
      </c>
      <c r="L286" t="s">
        <v>212</v>
      </c>
      <c r="M286" t="s">
        <v>32</v>
      </c>
      <c r="N286" t="s">
        <v>66</v>
      </c>
      <c r="O286" t="s">
        <v>67</v>
      </c>
      <c r="P286" t="s">
        <v>76</v>
      </c>
      <c r="Q286">
        <v>259</v>
      </c>
      <c r="R286">
        <v>70.28</v>
      </c>
      <c r="S286">
        <v>18202.52</v>
      </c>
      <c r="T286">
        <v>12.74</v>
      </c>
      <c r="U286">
        <v>11</v>
      </c>
      <c r="V286">
        <v>14</v>
      </c>
      <c r="W286">
        <v>2003</v>
      </c>
      <c r="X286" t="s">
        <v>188</v>
      </c>
      <c r="Y286" t="s">
        <v>36</v>
      </c>
      <c r="Z286">
        <v>2318.36</v>
      </c>
    </row>
    <row r="287" spans="1:26" x14ac:dyDescent="0.25">
      <c r="A287">
        <v>100285</v>
      </c>
      <c r="B287" s="3">
        <v>45995</v>
      </c>
      <c r="C287" s="3">
        <v>45998</v>
      </c>
      <c r="D287" s="3">
        <v>46012</v>
      </c>
      <c r="E287" t="s">
        <v>926</v>
      </c>
      <c r="F287" t="s">
        <v>54</v>
      </c>
      <c r="G287" t="s">
        <v>225</v>
      </c>
      <c r="H287" t="s">
        <v>927</v>
      </c>
      <c r="I287" t="s">
        <v>246</v>
      </c>
      <c r="J287" t="s">
        <v>29</v>
      </c>
      <c r="K287" t="s">
        <v>928</v>
      </c>
      <c r="L287" t="s">
        <v>91</v>
      </c>
      <c r="M287" t="s">
        <v>25</v>
      </c>
      <c r="N287" t="s">
        <v>66</v>
      </c>
      <c r="O287" t="s">
        <v>67</v>
      </c>
      <c r="P287" t="s">
        <v>123</v>
      </c>
      <c r="Q287">
        <v>410</v>
      </c>
      <c r="R287">
        <v>38.409999999999997</v>
      </c>
      <c r="S287">
        <v>15748.1</v>
      </c>
      <c r="T287">
        <v>20.66</v>
      </c>
      <c r="U287">
        <v>14</v>
      </c>
      <c r="V287">
        <v>17</v>
      </c>
      <c r="W287">
        <v>1140</v>
      </c>
      <c r="X287" t="s">
        <v>188</v>
      </c>
      <c r="Y287" t="s">
        <v>36</v>
      </c>
      <c r="Z287">
        <v>4354.57</v>
      </c>
    </row>
    <row r="288" spans="1:26" x14ac:dyDescent="0.25">
      <c r="A288">
        <v>100286</v>
      </c>
      <c r="B288" s="3">
        <v>45761</v>
      </c>
      <c r="C288" s="3">
        <v>45766</v>
      </c>
      <c r="D288" s="3">
        <v>45785</v>
      </c>
      <c r="E288" t="s">
        <v>929</v>
      </c>
      <c r="F288" t="s">
        <v>54</v>
      </c>
      <c r="G288" t="s">
        <v>165</v>
      </c>
      <c r="H288" t="s">
        <v>930</v>
      </c>
      <c r="I288" t="s">
        <v>89</v>
      </c>
      <c r="J288" t="s">
        <v>62</v>
      </c>
      <c r="K288" t="s">
        <v>931</v>
      </c>
      <c r="L288" t="s">
        <v>98</v>
      </c>
      <c r="M288" t="s">
        <v>54</v>
      </c>
      <c r="N288" t="s">
        <v>45</v>
      </c>
      <c r="O288" t="s">
        <v>46</v>
      </c>
      <c r="P288" t="s">
        <v>76</v>
      </c>
      <c r="Q288">
        <v>25</v>
      </c>
      <c r="R288">
        <v>14.1</v>
      </c>
      <c r="S288">
        <v>352.5</v>
      </c>
      <c r="T288">
        <v>6.28</v>
      </c>
      <c r="U288">
        <v>19</v>
      </c>
      <c r="V288">
        <v>24</v>
      </c>
      <c r="W288">
        <v>1254</v>
      </c>
      <c r="X288" t="s">
        <v>188</v>
      </c>
      <c r="Y288" t="s">
        <v>36</v>
      </c>
      <c r="Z288">
        <v>44.54</v>
      </c>
    </row>
    <row r="289" spans="1:26" x14ac:dyDescent="0.25">
      <c r="A289">
        <v>100287</v>
      </c>
      <c r="B289" s="3">
        <v>45627</v>
      </c>
      <c r="C289" s="3">
        <v>45627</v>
      </c>
      <c r="D289" s="3">
        <v>45640</v>
      </c>
      <c r="E289" t="s">
        <v>932</v>
      </c>
      <c r="F289" t="s">
        <v>65</v>
      </c>
      <c r="G289" t="s">
        <v>154</v>
      </c>
      <c r="H289" t="s">
        <v>933</v>
      </c>
      <c r="I289" t="s">
        <v>368</v>
      </c>
      <c r="J289" t="s">
        <v>29</v>
      </c>
      <c r="K289" t="s">
        <v>778</v>
      </c>
      <c r="L289" t="s">
        <v>212</v>
      </c>
      <c r="M289" t="s">
        <v>25</v>
      </c>
      <c r="N289" t="s">
        <v>107</v>
      </c>
      <c r="O289" t="s">
        <v>108</v>
      </c>
      <c r="P289" t="s">
        <v>123</v>
      </c>
      <c r="Q289">
        <v>288</v>
      </c>
      <c r="R289">
        <v>82.55</v>
      </c>
      <c r="S289">
        <v>23774.400000000001</v>
      </c>
      <c r="T289">
        <v>17.690000000000001</v>
      </c>
      <c r="U289">
        <v>13</v>
      </c>
      <c r="V289">
        <v>13</v>
      </c>
      <c r="W289">
        <v>2933</v>
      </c>
      <c r="X289" t="s">
        <v>188</v>
      </c>
      <c r="Y289" t="s">
        <v>36</v>
      </c>
      <c r="Z289">
        <v>4895.3</v>
      </c>
    </row>
    <row r="290" spans="1:26" x14ac:dyDescent="0.25">
      <c r="A290">
        <v>100288</v>
      </c>
      <c r="B290" s="3">
        <v>45513</v>
      </c>
      <c r="C290" s="3">
        <v>45517</v>
      </c>
      <c r="D290" s="3">
        <v>45518</v>
      </c>
      <c r="E290" t="s">
        <v>934</v>
      </c>
      <c r="F290" t="s">
        <v>32</v>
      </c>
      <c r="G290" t="s">
        <v>364</v>
      </c>
      <c r="H290" t="s">
        <v>935</v>
      </c>
      <c r="I290" t="s">
        <v>72</v>
      </c>
      <c r="J290" t="s">
        <v>42</v>
      </c>
      <c r="K290" t="s">
        <v>936</v>
      </c>
      <c r="L290" t="s">
        <v>98</v>
      </c>
      <c r="M290" t="s">
        <v>32</v>
      </c>
      <c r="N290" t="s">
        <v>203</v>
      </c>
      <c r="O290" t="s">
        <v>204</v>
      </c>
      <c r="P290" t="s">
        <v>68</v>
      </c>
      <c r="Q290">
        <v>119</v>
      </c>
      <c r="R290">
        <v>145.30000000000001</v>
      </c>
      <c r="S290">
        <v>17290.7</v>
      </c>
      <c r="T290">
        <v>26.83</v>
      </c>
      <c r="U290">
        <v>1</v>
      </c>
      <c r="V290">
        <v>5</v>
      </c>
      <c r="W290">
        <v>917</v>
      </c>
      <c r="X290" t="s">
        <v>3741</v>
      </c>
      <c r="Y290" t="s">
        <v>36</v>
      </c>
      <c r="Z290">
        <v>1509.27</v>
      </c>
    </row>
    <row r="291" spans="1:26" x14ac:dyDescent="0.25">
      <c r="A291">
        <v>100289</v>
      </c>
      <c r="B291" s="3">
        <v>45498</v>
      </c>
      <c r="C291" s="3">
        <v>45501</v>
      </c>
      <c r="D291" s="3">
        <v>45505</v>
      </c>
      <c r="E291" t="s">
        <v>937</v>
      </c>
      <c r="F291" t="s">
        <v>25</v>
      </c>
      <c r="G291" t="s">
        <v>26</v>
      </c>
      <c r="H291" t="s">
        <v>938</v>
      </c>
      <c r="I291" t="s">
        <v>278</v>
      </c>
      <c r="J291" t="s">
        <v>29</v>
      </c>
      <c r="K291" t="s">
        <v>939</v>
      </c>
      <c r="L291" t="s">
        <v>212</v>
      </c>
      <c r="M291" t="s">
        <v>32</v>
      </c>
      <c r="N291" t="s">
        <v>45</v>
      </c>
      <c r="O291" t="s">
        <v>46</v>
      </c>
      <c r="P291" t="s">
        <v>68</v>
      </c>
      <c r="Q291">
        <v>37</v>
      </c>
      <c r="R291">
        <v>33.9</v>
      </c>
      <c r="S291">
        <v>1254.3</v>
      </c>
      <c r="T291">
        <v>30.91</v>
      </c>
      <c r="U291">
        <v>4</v>
      </c>
      <c r="V291">
        <v>7</v>
      </c>
      <c r="W291">
        <v>2772</v>
      </c>
      <c r="X291" t="s">
        <v>3741</v>
      </c>
      <c r="Y291" t="s">
        <v>36</v>
      </c>
      <c r="Z291">
        <v>317.39999999999998</v>
      </c>
    </row>
    <row r="292" spans="1:26" x14ac:dyDescent="0.25">
      <c r="A292">
        <v>100290</v>
      </c>
      <c r="B292" s="3">
        <v>45411</v>
      </c>
      <c r="C292" s="3">
        <v>45416</v>
      </c>
      <c r="D292" s="3">
        <v>45427</v>
      </c>
      <c r="E292" t="s">
        <v>940</v>
      </c>
      <c r="F292" t="s">
        <v>54</v>
      </c>
      <c r="G292" t="s">
        <v>193</v>
      </c>
      <c r="H292" t="s">
        <v>941</v>
      </c>
      <c r="I292" t="s">
        <v>79</v>
      </c>
      <c r="J292" t="s">
        <v>80</v>
      </c>
      <c r="K292" t="s">
        <v>942</v>
      </c>
      <c r="L292" t="s">
        <v>64</v>
      </c>
      <c r="M292" t="s">
        <v>54</v>
      </c>
      <c r="N292" t="s">
        <v>102</v>
      </c>
      <c r="O292" t="s">
        <v>103</v>
      </c>
      <c r="P292" t="s">
        <v>76</v>
      </c>
      <c r="Q292">
        <v>241</v>
      </c>
      <c r="R292">
        <v>268.23</v>
      </c>
      <c r="S292">
        <v>64643.43</v>
      </c>
      <c r="T292">
        <v>9.19</v>
      </c>
      <c r="U292">
        <v>11</v>
      </c>
      <c r="V292">
        <v>16</v>
      </c>
      <c r="W292">
        <v>504</v>
      </c>
      <c r="X292" t="s">
        <v>188</v>
      </c>
      <c r="Y292" t="s">
        <v>36</v>
      </c>
      <c r="Z292">
        <v>16486.48</v>
      </c>
    </row>
    <row r="293" spans="1:26" x14ac:dyDescent="0.25">
      <c r="A293">
        <v>100291</v>
      </c>
      <c r="B293" s="3">
        <v>45473</v>
      </c>
      <c r="C293" s="3">
        <v>45477</v>
      </c>
      <c r="D293" s="3">
        <v>45491</v>
      </c>
      <c r="E293" t="s">
        <v>943</v>
      </c>
      <c r="F293" t="s">
        <v>38</v>
      </c>
      <c r="G293" t="s">
        <v>49</v>
      </c>
      <c r="H293" t="s">
        <v>944</v>
      </c>
      <c r="I293" t="s">
        <v>116</v>
      </c>
      <c r="J293" t="s">
        <v>62</v>
      </c>
      <c r="K293" t="s">
        <v>945</v>
      </c>
      <c r="L293" t="s">
        <v>44</v>
      </c>
      <c r="M293" t="s">
        <v>38</v>
      </c>
      <c r="N293" t="s">
        <v>92</v>
      </c>
      <c r="O293" t="s">
        <v>93</v>
      </c>
      <c r="P293" t="s">
        <v>123</v>
      </c>
      <c r="Q293">
        <v>100</v>
      </c>
      <c r="R293">
        <v>41.3</v>
      </c>
      <c r="S293">
        <v>4130</v>
      </c>
      <c r="T293">
        <v>9.7200000000000006</v>
      </c>
      <c r="U293">
        <v>14</v>
      </c>
      <c r="V293">
        <v>18</v>
      </c>
      <c r="W293">
        <v>2805</v>
      </c>
      <c r="X293" t="s">
        <v>3742</v>
      </c>
      <c r="Y293" t="s">
        <v>47</v>
      </c>
      <c r="Z293">
        <v>-82.97</v>
      </c>
    </row>
    <row r="294" spans="1:26" x14ac:dyDescent="0.25">
      <c r="A294">
        <v>100292</v>
      </c>
      <c r="B294" s="3">
        <v>45750</v>
      </c>
      <c r="C294" s="3">
        <v>45752</v>
      </c>
      <c r="D294" s="3">
        <v>45757</v>
      </c>
      <c r="E294" t="s">
        <v>946</v>
      </c>
      <c r="F294" t="s">
        <v>25</v>
      </c>
      <c r="G294" t="s">
        <v>221</v>
      </c>
      <c r="H294" t="s">
        <v>947</v>
      </c>
      <c r="I294" t="s">
        <v>41</v>
      </c>
      <c r="J294" t="s">
        <v>42</v>
      </c>
      <c r="K294" t="s">
        <v>948</v>
      </c>
      <c r="L294" t="s">
        <v>118</v>
      </c>
      <c r="M294" t="s">
        <v>38</v>
      </c>
      <c r="N294" t="s">
        <v>45</v>
      </c>
      <c r="O294" t="s">
        <v>46</v>
      </c>
      <c r="P294" t="s">
        <v>68</v>
      </c>
      <c r="Q294">
        <v>471</v>
      </c>
      <c r="R294">
        <v>417.48</v>
      </c>
      <c r="S294">
        <v>196633.08</v>
      </c>
      <c r="T294">
        <v>59.03</v>
      </c>
      <c r="U294">
        <v>5</v>
      </c>
      <c r="V294">
        <v>7</v>
      </c>
      <c r="W294">
        <v>1506</v>
      </c>
      <c r="X294" t="s">
        <v>3742</v>
      </c>
      <c r="Y294" t="s">
        <v>57</v>
      </c>
      <c r="Z294">
        <v>38716.370000000003</v>
      </c>
    </row>
    <row r="295" spans="1:26" x14ac:dyDescent="0.25">
      <c r="A295">
        <v>100293</v>
      </c>
      <c r="B295" s="3">
        <v>45646</v>
      </c>
      <c r="C295" s="3">
        <v>45648</v>
      </c>
      <c r="D295" s="3">
        <v>45673</v>
      </c>
      <c r="E295" t="s">
        <v>949</v>
      </c>
      <c r="F295" t="s">
        <v>32</v>
      </c>
      <c r="G295" t="s">
        <v>95</v>
      </c>
      <c r="H295" t="s">
        <v>950</v>
      </c>
      <c r="I295" t="s">
        <v>51</v>
      </c>
      <c r="J295" t="s">
        <v>52</v>
      </c>
      <c r="K295" t="s">
        <v>951</v>
      </c>
      <c r="L295" t="s">
        <v>44</v>
      </c>
      <c r="M295" t="s">
        <v>32</v>
      </c>
      <c r="N295" t="s">
        <v>55</v>
      </c>
      <c r="O295" t="s">
        <v>56</v>
      </c>
      <c r="P295" t="s">
        <v>76</v>
      </c>
      <c r="Q295">
        <v>392</v>
      </c>
      <c r="R295">
        <v>68.11</v>
      </c>
      <c r="S295">
        <v>26699.119999999999</v>
      </c>
      <c r="T295">
        <v>11.23</v>
      </c>
      <c r="U295">
        <v>25</v>
      </c>
      <c r="V295">
        <v>27</v>
      </c>
      <c r="W295">
        <v>3721</v>
      </c>
      <c r="X295" t="s">
        <v>188</v>
      </c>
      <c r="Y295" t="s">
        <v>36</v>
      </c>
      <c r="Z295">
        <v>2652.11</v>
      </c>
    </row>
    <row r="296" spans="1:26" x14ac:dyDescent="0.25">
      <c r="A296">
        <v>100294</v>
      </c>
      <c r="B296" s="3">
        <v>45942</v>
      </c>
      <c r="C296" s="3">
        <v>45947</v>
      </c>
      <c r="D296" s="3">
        <v>45952</v>
      </c>
      <c r="E296" t="s">
        <v>952</v>
      </c>
      <c r="F296" t="s">
        <v>25</v>
      </c>
      <c r="G296" t="s">
        <v>221</v>
      </c>
      <c r="H296" t="s">
        <v>953</v>
      </c>
      <c r="I296" t="s">
        <v>416</v>
      </c>
      <c r="J296" t="s">
        <v>80</v>
      </c>
      <c r="K296" t="s">
        <v>954</v>
      </c>
      <c r="L296" t="s">
        <v>113</v>
      </c>
      <c r="M296" t="s">
        <v>32</v>
      </c>
      <c r="N296" t="s">
        <v>102</v>
      </c>
      <c r="O296" t="s">
        <v>103</v>
      </c>
      <c r="P296" t="s">
        <v>123</v>
      </c>
      <c r="Q296">
        <v>398</v>
      </c>
      <c r="R296">
        <v>348.65</v>
      </c>
      <c r="S296">
        <v>138762.70000000001</v>
      </c>
      <c r="T296">
        <v>20.36</v>
      </c>
      <c r="U296">
        <v>5</v>
      </c>
      <c r="V296">
        <v>10</v>
      </c>
      <c r="W296">
        <v>1635</v>
      </c>
      <c r="X296" t="s">
        <v>188</v>
      </c>
      <c r="Y296" t="s">
        <v>36</v>
      </c>
      <c r="Z296">
        <v>32507.84</v>
      </c>
    </row>
    <row r="297" spans="1:26" x14ac:dyDescent="0.25">
      <c r="A297">
        <v>100295</v>
      </c>
      <c r="B297" s="3">
        <v>46006</v>
      </c>
      <c r="C297" s="3">
        <v>46008</v>
      </c>
      <c r="D297" s="3">
        <v>46013</v>
      </c>
      <c r="E297" t="s">
        <v>955</v>
      </c>
      <c r="F297" t="s">
        <v>54</v>
      </c>
      <c r="G297" t="s">
        <v>225</v>
      </c>
      <c r="H297" t="s">
        <v>956</v>
      </c>
      <c r="I297" t="s">
        <v>149</v>
      </c>
      <c r="J297" t="s">
        <v>42</v>
      </c>
      <c r="K297" t="s">
        <v>957</v>
      </c>
      <c r="L297" t="s">
        <v>113</v>
      </c>
      <c r="M297" t="s">
        <v>65</v>
      </c>
      <c r="N297" t="s">
        <v>151</v>
      </c>
      <c r="O297" t="s">
        <v>152</v>
      </c>
      <c r="P297" t="s">
        <v>123</v>
      </c>
      <c r="Q297">
        <v>480</v>
      </c>
      <c r="R297">
        <v>420.77</v>
      </c>
      <c r="S297">
        <v>201969.6</v>
      </c>
      <c r="T297">
        <v>22.36</v>
      </c>
      <c r="U297">
        <v>5</v>
      </c>
      <c r="V297">
        <v>7</v>
      </c>
      <c r="W297">
        <v>989</v>
      </c>
      <c r="X297" t="s">
        <v>3741</v>
      </c>
      <c r="Y297" t="s">
        <v>36</v>
      </c>
      <c r="Z297">
        <v>35847.24</v>
      </c>
    </row>
    <row r="298" spans="1:26" x14ac:dyDescent="0.25">
      <c r="A298">
        <v>100296</v>
      </c>
      <c r="B298" s="3">
        <v>45749</v>
      </c>
      <c r="C298" s="3">
        <v>45754</v>
      </c>
      <c r="D298" s="3">
        <v>45760</v>
      </c>
      <c r="E298" t="s">
        <v>958</v>
      </c>
      <c r="F298" t="s">
        <v>65</v>
      </c>
      <c r="G298" t="s">
        <v>70</v>
      </c>
      <c r="H298" t="s">
        <v>959</v>
      </c>
      <c r="I298" t="s">
        <v>116</v>
      </c>
      <c r="J298" t="s">
        <v>62</v>
      </c>
      <c r="K298" t="s">
        <v>960</v>
      </c>
      <c r="L298" t="s">
        <v>44</v>
      </c>
      <c r="M298" t="s">
        <v>25</v>
      </c>
      <c r="N298" t="s">
        <v>203</v>
      </c>
      <c r="O298" t="s">
        <v>204</v>
      </c>
      <c r="P298" t="s">
        <v>123</v>
      </c>
      <c r="Q298">
        <v>113</v>
      </c>
      <c r="R298">
        <v>36.729999999999997</v>
      </c>
      <c r="S298">
        <v>4150.49</v>
      </c>
      <c r="T298">
        <v>13.44</v>
      </c>
      <c r="U298">
        <v>6</v>
      </c>
      <c r="V298">
        <v>11</v>
      </c>
      <c r="W298">
        <v>2049</v>
      </c>
      <c r="X298" t="s">
        <v>188</v>
      </c>
      <c r="Y298" t="s">
        <v>36</v>
      </c>
      <c r="Z298">
        <v>519.4</v>
      </c>
    </row>
    <row r="299" spans="1:26" x14ac:dyDescent="0.25">
      <c r="A299">
        <v>100297</v>
      </c>
      <c r="B299" s="3">
        <v>45666</v>
      </c>
      <c r="C299" s="3">
        <v>45668</v>
      </c>
      <c r="D299" s="3">
        <v>45671</v>
      </c>
      <c r="E299" t="s">
        <v>961</v>
      </c>
      <c r="F299" t="s">
        <v>25</v>
      </c>
      <c r="G299" t="s">
        <v>221</v>
      </c>
      <c r="H299" t="s">
        <v>962</v>
      </c>
      <c r="I299" t="s">
        <v>41</v>
      </c>
      <c r="J299" t="s">
        <v>42</v>
      </c>
      <c r="K299" t="s">
        <v>235</v>
      </c>
      <c r="L299" t="s">
        <v>113</v>
      </c>
      <c r="M299" t="s">
        <v>25</v>
      </c>
      <c r="N299" t="s">
        <v>107</v>
      </c>
      <c r="O299" t="s">
        <v>108</v>
      </c>
      <c r="P299" t="s">
        <v>68</v>
      </c>
      <c r="Q299">
        <v>231</v>
      </c>
      <c r="R299">
        <v>414.98</v>
      </c>
      <c r="S299">
        <v>95860.38</v>
      </c>
      <c r="T299">
        <v>32.21</v>
      </c>
      <c r="U299">
        <v>3</v>
      </c>
      <c r="V299">
        <v>5</v>
      </c>
      <c r="W299">
        <v>1229</v>
      </c>
      <c r="X299" t="s">
        <v>3741</v>
      </c>
      <c r="Y299" t="s">
        <v>36</v>
      </c>
      <c r="Z299">
        <v>9699.2199999999993</v>
      </c>
    </row>
    <row r="300" spans="1:26" x14ac:dyDescent="0.25">
      <c r="A300">
        <v>100298</v>
      </c>
      <c r="B300" s="3">
        <v>45729</v>
      </c>
      <c r="C300" s="3">
        <v>45730</v>
      </c>
      <c r="D300" s="3">
        <v>45744</v>
      </c>
      <c r="E300" t="s">
        <v>963</v>
      </c>
      <c r="F300" t="s">
        <v>32</v>
      </c>
      <c r="G300" t="s">
        <v>180</v>
      </c>
      <c r="H300" t="s">
        <v>964</v>
      </c>
      <c r="I300" t="s">
        <v>61</v>
      </c>
      <c r="J300" t="s">
        <v>62</v>
      </c>
      <c r="K300" t="s">
        <v>965</v>
      </c>
      <c r="L300" t="s">
        <v>64</v>
      </c>
      <c r="M300" t="s">
        <v>54</v>
      </c>
      <c r="N300" t="s">
        <v>92</v>
      </c>
      <c r="O300" t="s">
        <v>93</v>
      </c>
      <c r="P300" t="s">
        <v>123</v>
      </c>
      <c r="Q300">
        <v>17</v>
      </c>
      <c r="R300">
        <v>7.99</v>
      </c>
      <c r="S300">
        <v>135.83000000000001</v>
      </c>
      <c r="T300">
        <v>11.11</v>
      </c>
      <c r="U300">
        <v>14</v>
      </c>
      <c r="V300">
        <v>15</v>
      </c>
      <c r="W300">
        <v>2687</v>
      </c>
      <c r="X300" t="s">
        <v>188</v>
      </c>
      <c r="Y300" t="s">
        <v>36</v>
      </c>
      <c r="Z300">
        <v>7.32</v>
      </c>
    </row>
    <row r="301" spans="1:26" x14ac:dyDescent="0.25">
      <c r="A301">
        <v>100299</v>
      </c>
      <c r="B301" s="3">
        <v>45336</v>
      </c>
      <c r="C301" s="3">
        <v>45338</v>
      </c>
      <c r="D301" s="3">
        <v>45349</v>
      </c>
      <c r="E301" t="s">
        <v>966</v>
      </c>
      <c r="F301" t="s">
        <v>54</v>
      </c>
      <c r="G301" t="s">
        <v>158</v>
      </c>
      <c r="H301" t="s">
        <v>967</v>
      </c>
      <c r="I301" t="s">
        <v>85</v>
      </c>
      <c r="J301" t="s">
        <v>52</v>
      </c>
      <c r="K301" t="s">
        <v>968</v>
      </c>
      <c r="L301" t="s">
        <v>64</v>
      </c>
      <c r="M301" t="s">
        <v>25</v>
      </c>
      <c r="N301" t="s">
        <v>66</v>
      </c>
      <c r="O301" t="s">
        <v>67</v>
      </c>
      <c r="P301" t="s">
        <v>123</v>
      </c>
      <c r="Q301">
        <v>82</v>
      </c>
      <c r="R301">
        <v>89.77</v>
      </c>
      <c r="S301">
        <v>7361.14</v>
      </c>
      <c r="T301">
        <v>12.68</v>
      </c>
      <c r="U301">
        <v>11</v>
      </c>
      <c r="V301">
        <v>13</v>
      </c>
      <c r="W301">
        <v>2459</v>
      </c>
      <c r="X301" t="s">
        <v>188</v>
      </c>
      <c r="Y301" t="s">
        <v>36</v>
      </c>
      <c r="Z301">
        <v>1079.68</v>
      </c>
    </row>
    <row r="302" spans="1:26" x14ac:dyDescent="0.25">
      <c r="A302">
        <v>100300</v>
      </c>
      <c r="B302" s="3">
        <v>45498</v>
      </c>
      <c r="C302" s="3">
        <v>45502</v>
      </c>
      <c r="D302" s="3">
        <v>45509</v>
      </c>
      <c r="E302" t="s">
        <v>969</v>
      </c>
      <c r="F302" t="s">
        <v>38</v>
      </c>
      <c r="G302" t="s">
        <v>49</v>
      </c>
      <c r="H302" t="s">
        <v>970</v>
      </c>
      <c r="I302" t="s">
        <v>89</v>
      </c>
      <c r="J302" t="s">
        <v>62</v>
      </c>
      <c r="K302" t="s">
        <v>971</v>
      </c>
      <c r="L302" t="s">
        <v>187</v>
      </c>
      <c r="M302" t="s">
        <v>65</v>
      </c>
      <c r="N302" t="s">
        <v>92</v>
      </c>
      <c r="O302" t="s">
        <v>93</v>
      </c>
      <c r="P302" t="s">
        <v>123</v>
      </c>
      <c r="Q302">
        <v>73</v>
      </c>
      <c r="R302">
        <v>45.14</v>
      </c>
      <c r="S302">
        <v>3295.22</v>
      </c>
      <c r="T302">
        <v>12.47</v>
      </c>
      <c r="U302">
        <v>7</v>
      </c>
      <c r="V302">
        <v>11</v>
      </c>
      <c r="W302">
        <v>1224</v>
      </c>
      <c r="X302" t="s">
        <v>188</v>
      </c>
      <c r="Y302" t="s">
        <v>36</v>
      </c>
      <c r="Z302">
        <v>182.72</v>
      </c>
    </row>
    <row r="303" spans="1:26" x14ac:dyDescent="0.25">
      <c r="A303">
        <v>100301</v>
      </c>
      <c r="B303" s="3">
        <v>45567</v>
      </c>
      <c r="C303" s="3">
        <v>45568</v>
      </c>
      <c r="D303" s="3">
        <v>45577</v>
      </c>
      <c r="E303" t="s">
        <v>972</v>
      </c>
      <c r="F303" t="s">
        <v>38</v>
      </c>
      <c r="G303" t="s">
        <v>39</v>
      </c>
      <c r="H303" t="s">
        <v>973</v>
      </c>
      <c r="I303" t="s">
        <v>191</v>
      </c>
      <c r="J303" t="s">
        <v>62</v>
      </c>
      <c r="K303" t="s">
        <v>974</v>
      </c>
      <c r="L303" t="s">
        <v>113</v>
      </c>
      <c r="M303" t="s">
        <v>65</v>
      </c>
      <c r="N303" t="s">
        <v>66</v>
      </c>
      <c r="O303" t="s">
        <v>67</v>
      </c>
      <c r="P303" t="s">
        <v>123</v>
      </c>
      <c r="Q303">
        <v>302</v>
      </c>
      <c r="R303">
        <v>39.17</v>
      </c>
      <c r="S303">
        <v>11829.34</v>
      </c>
      <c r="T303">
        <v>18.03</v>
      </c>
      <c r="U303">
        <v>9</v>
      </c>
      <c r="V303">
        <v>10</v>
      </c>
      <c r="W303">
        <v>883</v>
      </c>
      <c r="X303" t="s">
        <v>188</v>
      </c>
      <c r="Y303" t="s">
        <v>36</v>
      </c>
      <c r="Z303">
        <v>1801.06</v>
      </c>
    </row>
    <row r="304" spans="1:26" x14ac:dyDescent="0.25">
      <c r="A304">
        <v>100302</v>
      </c>
      <c r="B304" s="3">
        <v>45384</v>
      </c>
      <c r="C304" s="3">
        <v>45389</v>
      </c>
      <c r="D304" s="3">
        <v>45393</v>
      </c>
      <c r="E304" t="s">
        <v>975</v>
      </c>
      <c r="F304" t="s">
        <v>32</v>
      </c>
      <c r="G304" t="s">
        <v>255</v>
      </c>
      <c r="H304" t="s">
        <v>976</v>
      </c>
      <c r="I304" t="s">
        <v>41</v>
      </c>
      <c r="J304" t="s">
        <v>42</v>
      </c>
      <c r="K304" t="s">
        <v>977</v>
      </c>
      <c r="L304" t="s">
        <v>91</v>
      </c>
      <c r="M304" t="s">
        <v>38</v>
      </c>
      <c r="N304" t="s">
        <v>151</v>
      </c>
      <c r="O304" t="s">
        <v>152</v>
      </c>
      <c r="P304" t="s">
        <v>68</v>
      </c>
      <c r="Q304">
        <v>489</v>
      </c>
      <c r="R304">
        <v>440.4</v>
      </c>
      <c r="S304">
        <v>215355.6</v>
      </c>
      <c r="T304">
        <v>60.2</v>
      </c>
      <c r="U304">
        <v>4</v>
      </c>
      <c r="V304">
        <v>9</v>
      </c>
      <c r="W304">
        <v>1159</v>
      </c>
      <c r="X304" t="s">
        <v>188</v>
      </c>
      <c r="Y304" t="s">
        <v>36</v>
      </c>
      <c r="Z304">
        <v>19474.099999999999</v>
      </c>
    </row>
    <row r="305" spans="1:26" x14ac:dyDescent="0.25">
      <c r="A305">
        <v>100303</v>
      </c>
      <c r="B305" s="3">
        <v>45667</v>
      </c>
      <c r="C305" s="3">
        <v>45672</v>
      </c>
      <c r="D305" s="3">
        <v>45683</v>
      </c>
      <c r="E305" t="s">
        <v>703</v>
      </c>
      <c r="F305" t="s">
        <v>32</v>
      </c>
      <c r="G305" t="s">
        <v>364</v>
      </c>
      <c r="H305" t="s">
        <v>978</v>
      </c>
      <c r="I305" t="s">
        <v>149</v>
      </c>
      <c r="J305" t="s">
        <v>42</v>
      </c>
      <c r="K305" t="s">
        <v>835</v>
      </c>
      <c r="L305" t="s">
        <v>187</v>
      </c>
      <c r="M305" t="s">
        <v>54</v>
      </c>
      <c r="N305" t="s">
        <v>55</v>
      </c>
      <c r="O305" t="s">
        <v>56</v>
      </c>
      <c r="P305" t="s">
        <v>76</v>
      </c>
      <c r="Q305">
        <v>199</v>
      </c>
      <c r="R305">
        <v>113.49</v>
      </c>
      <c r="S305">
        <v>22584.51</v>
      </c>
      <c r="T305">
        <v>11.65</v>
      </c>
      <c r="U305">
        <v>11</v>
      </c>
      <c r="V305">
        <v>16</v>
      </c>
      <c r="W305">
        <v>535</v>
      </c>
      <c r="X305" t="s">
        <v>188</v>
      </c>
      <c r="Y305" t="s">
        <v>36</v>
      </c>
      <c r="Z305">
        <v>640.9</v>
      </c>
    </row>
    <row r="306" spans="1:26" x14ac:dyDescent="0.25">
      <c r="A306">
        <v>100304</v>
      </c>
      <c r="B306" s="3">
        <v>45634</v>
      </c>
      <c r="C306" s="3">
        <v>45634</v>
      </c>
      <c r="D306" s="3">
        <v>45636</v>
      </c>
      <c r="E306" t="s">
        <v>979</v>
      </c>
      <c r="F306" t="s">
        <v>32</v>
      </c>
      <c r="G306" t="s">
        <v>255</v>
      </c>
      <c r="H306" t="s">
        <v>980</v>
      </c>
      <c r="I306" t="s">
        <v>72</v>
      </c>
      <c r="J306" t="s">
        <v>42</v>
      </c>
      <c r="K306" t="s">
        <v>322</v>
      </c>
      <c r="L306" t="s">
        <v>113</v>
      </c>
      <c r="M306" t="s">
        <v>32</v>
      </c>
      <c r="N306" t="s">
        <v>102</v>
      </c>
      <c r="O306" t="s">
        <v>103</v>
      </c>
      <c r="P306" t="s">
        <v>35</v>
      </c>
      <c r="Q306">
        <v>190</v>
      </c>
      <c r="R306">
        <v>223.26</v>
      </c>
      <c r="S306">
        <v>42419.4</v>
      </c>
      <c r="T306">
        <v>13.23</v>
      </c>
      <c r="U306">
        <v>2</v>
      </c>
      <c r="V306">
        <v>2</v>
      </c>
      <c r="W306">
        <v>826</v>
      </c>
      <c r="X306" t="s">
        <v>3741</v>
      </c>
      <c r="Y306" t="s">
        <v>36</v>
      </c>
      <c r="Z306">
        <v>6630.21</v>
      </c>
    </row>
    <row r="307" spans="1:26" x14ac:dyDescent="0.25">
      <c r="A307">
        <v>100305</v>
      </c>
      <c r="B307" s="3">
        <v>45690</v>
      </c>
      <c r="C307" s="3">
        <v>45691</v>
      </c>
      <c r="D307" s="3">
        <v>45716</v>
      </c>
      <c r="E307" t="s">
        <v>981</v>
      </c>
      <c r="F307" t="s">
        <v>25</v>
      </c>
      <c r="G307" t="s">
        <v>244</v>
      </c>
      <c r="H307" t="s">
        <v>982</v>
      </c>
      <c r="I307" t="s">
        <v>134</v>
      </c>
      <c r="J307" t="s">
        <v>52</v>
      </c>
      <c r="K307" t="s">
        <v>965</v>
      </c>
      <c r="L307" t="s">
        <v>31</v>
      </c>
      <c r="M307" t="s">
        <v>38</v>
      </c>
      <c r="N307" t="s">
        <v>74</v>
      </c>
      <c r="O307" t="s">
        <v>75</v>
      </c>
      <c r="P307" t="s">
        <v>76</v>
      </c>
      <c r="Q307">
        <v>227</v>
      </c>
      <c r="R307">
        <v>24</v>
      </c>
      <c r="S307">
        <v>5448</v>
      </c>
      <c r="T307">
        <v>12.16</v>
      </c>
      <c r="U307">
        <v>25</v>
      </c>
      <c r="V307">
        <v>26</v>
      </c>
      <c r="W307">
        <v>1044</v>
      </c>
      <c r="X307" t="s">
        <v>3742</v>
      </c>
      <c r="Y307" t="s">
        <v>188</v>
      </c>
      <c r="Z307">
        <v>718.06</v>
      </c>
    </row>
    <row r="308" spans="1:26" x14ac:dyDescent="0.25">
      <c r="A308">
        <v>100306</v>
      </c>
      <c r="B308" s="3">
        <v>45502</v>
      </c>
      <c r="C308" s="3">
        <v>45505</v>
      </c>
      <c r="D308" s="3">
        <v>45506</v>
      </c>
      <c r="E308" t="s">
        <v>983</v>
      </c>
      <c r="F308" t="s">
        <v>32</v>
      </c>
      <c r="G308" t="s">
        <v>95</v>
      </c>
      <c r="H308" t="s">
        <v>984</v>
      </c>
      <c r="I308" t="s">
        <v>116</v>
      </c>
      <c r="J308" t="s">
        <v>62</v>
      </c>
      <c r="K308" t="s">
        <v>985</v>
      </c>
      <c r="L308" t="s">
        <v>31</v>
      </c>
      <c r="M308" t="s">
        <v>54</v>
      </c>
      <c r="N308" t="s">
        <v>107</v>
      </c>
      <c r="O308" t="s">
        <v>108</v>
      </c>
      <c r="P308" t="s">
        <v>68</v>
      </c>
      <c r="Q308">
        <v>304</v>
      </c>
      <c r="R308">
        <v>25.43</v>
      </c>
      <c r="S308">
        <v>7730.72</v>
      </c>
      <c r="T308">
        <v>48.21</v>
      </c>
      <c r="U308">
        <v>1</v>
      </c>
      <c r="V308">
        <v>4</v>
      </c>
      <c r="W308">
        <v>3177</v>
      </c>
      <c r="X308" t="s">
        <v>3741</v>
      </c>
      <c r="Y308" t="s">
        <v>36</v>
      </c>
      <c r="Z308">
        <v>1232.6500000000001</v>
      </c>
    </row>
    <row r="309" spans="1:26" x14ac:dyDescent="0.25">
      <c r="A309">
        <v>100307</v>
      </c>
      <c r="B309" s="3">
        <v>45681</v>
      </c>
      <c r="C309" s="3">
        <v>45683</v>
      </c>
      <c r="D309" s="3">
        <v>45688</v>
      </c>
      <c r="E309" t="s">
        <v>986</v>
      </c>
      <c r="F309" t="s">
        <v>25</v>
      </c>
      <c r="G309" t="s">
        <v>221</v>
      </c>
      <c r="H309" t="s">
        <v>987</v>
      </c>
      <c r="I309" t="s">
        <v>85</v>
      </c>
      <c r="J309" t="s">
        <v>52</v>
      </c>
      <c r="K309" t="s">
        <v>988</v>
      </c>
      <c r="L309" t="s">
        <v>91</v>
      </c>
      <c r="M309" t="s">
        <v>38</v>
      </c>
      <c r="N309" t="s">
        <v>92</v>
      </c>
      <c r="O309" t="s">
        <v>93</v>
      </c>
      <c r="P309" t="s">
        <v>68</v>
      </c>
      <c r="Q309">
        <v>319</v>
      </c>
      <c r="R309">
        <v>26.85</v>
      </c>
      <c r="S309">
        <v>8565.15</v>
      </c>
      <c r="T309">
        <v>49.18</v>
      </c>
      <c r="U309">
        <v>5</v>
      </c>
      <c r="V309">
        <v>7</v>
      </c>
      <c r="W309">
        <v>1774</v>
      </c>
      <c r="X309" t="s">
        <v>3741</v>
      </c>
      <c r="Y309" t="s">
        <v>36</v>
      </c>
      <c r="Z309">
        <v>861.5</v>
      </c>
    </row>
    <row r="310" spans="1:26" x14ac:dyDescent="0.25">
      <c r="A310">
        <v>100308</v>
      </c>
      <c r="B310" s="3">
        <v>45411</v>
      </c>
      <c r="C310" s="3">
        <v>45414</v>
      </c>
      <c r="D310" s="3">
        <v>45420</v>
      </c>
      <c r="E310" t="s">
        <v>989</v>
      </c>
      <c r="F310" t="s">
        <v>65</v>
      </c>
      <c r="G310" t="s">
        <v>142</v>
      </c>
      <c r="H310" t="s">
        <v>990</v>
      </c>
      <c r="I310" t="s">
        <v>79</v>
      </c>
      <c r="J310" t="s">
        <v>80</v>
      </c>
      <c r="K310" t="s">
        <v>991</v>
      </c>
      <c r="L310" t="s">
        <v>64</v>
      </c>
      <c r="M310" t="s">
        <v>54</v>
      </c>
      <c r="N310" t="s">
        <v>203</v>
      </c>
      <c r="O310" t="s">
        <v>204</v>
      </c>
      <c r="P310" t="s">
        <v>35</v>
      </c>
      <c r="Q310">
        <v>255</v>
      </c>
      <c r="R310">
        <v>295.97000000000003</v>
      </c>
      <c r="S310">
        <v>75472.350000000006</v>
      </c>
      <c r="T310">
        <v>19.7</v>
      </c>
      <c r="U310">
        <v>6</v>
      </c>
      <c r="V310">
        <v>9</v>
      </c>
      <c r="W310">
        <v>455</v>
      </c>
      <c r="X310" t="s">
        <v>188</v>
      </c>
      <c r="Y310" t="s">
        <v>36</v>
      </c>
      <c r="Z310">
        <v>15784.4</v>
      </c>
    </row>
    <row r="311" spans="1:26" x14ac:dyDescent="0.25">
      <c r="A311">
        <v>100309</v>
      </c>
      <c r="B311" s="3">
        <v>45297</v>
      </c>
      <c r="C311" s="3">
        <v>45302</v>
      </c>
      <c r="D311" s="3">
        <v>45327</v>
      </c>
      <c r="E311" t="s">
        <v>992</v>
      </c>
      <c r="F311" t="s">
        <v>65</v>
      </c>
      <c r="G311" t="s">
        <v>154</v>
      </c>
      <c r="H311" t="s">
        <v>993</v>
      </c>
      <c r="I311" t="s">
        <v>116</v>
      </c>
      <c r="J311" t="s">
        <v>62</v>
      </c>
      <c r="K311" t="s">
        <v>942</v>
      </c>
      <c r="L311" t="s">
        <v>113</v>
      </c>
      <c r="M311" t="s">
        <v>32</v>
      </c>
      <c r="N311" t="s">
        <v>45</v>
      </c>
      <c r="O311" t="s">
        <v>46</v>
      </c>
      <c r="P311" t="s">
        <v>76</v>
      </c>
      <c r="Q311">
        <v>85</v>
      </c>
      <c r="R311">
        <v>30.06</v>
      </c>
      <c r="S311">
        <v>2555.1</v>
      </c>
      <c r="T311">
        <v>9.57</v>
      </c>
      <c r="U311">
        <v>25</v>
      </c>
      <c r="V311">
        <v>30</v>
      </c>
      <c r="W311">
        <v>648</v>
      </c>
      <c r="X311" t="s">
        <v>188</v>
      </c>
      <c r="Y311" t="s">
        <v>36</v>
      </c>
      <c r="Z311">
        <v>341.65</v>
      </c>
    </row>
    <row r="312" spans="1:26" x14ac:dyDescent="0.25">
      <c r="A312">
        <v>100310</v>
      </c>
      <c r="B312" s="3">
        <v>46016</v>
      </c>
      <c r="C312" s="3">
        <v>46017</v>
      </c>
      <c r="D312" s="3">
        <v>46021</v>
      </c>
      <c r="E312" t="s">
        <v>994</v>
      </c>
      <c r="F312" t="s">
        <v>32</v>
      </c>
      <c r="G312" t="s">
        <v>180</v>
      </c>
      <c r="H312" t="s">
        <v>995</v>
      </c>
      <c r="I312" t="s">
        <v>416</v>
      </c>
      <c r="J312" t="s">
        <v>80</v>
      </c>
      <c r="K312" t="s">
        <v>410</v>
      </c>
      <c r="L312" t="s">
        <v>118</v>
      </c>
      <c r="M312" t="s">
        <v>54</v>
      </c>
      <c r="N312" t="s">
        <v>203</v>
      </c>
      <c r="O312" t="s">
        <v>204</v>
      </c>
      <c r="P312" t="s">
        <v>68</v>
      </c>
      <c r="Q312">
        <v>136</v>
      </c>
      <c r="R312">
        <v>226.09</v>
      </c>
      <c r="S312">
        <v>30748.240000000002</v>
      </c>
      <c r="T312">
        <v>37.32</v>
      </c>
      <c r="U312">
        <v>4</v>
      </c>
      <c r="V312">
        <v>5</v>
      </c>
      <c r="W312">
        <v>325</v>
      </c>
      <c r="X312" t="s">
        <v>3741</v>
      </c>
      <c r="Y312" t="s">
        <v>36</v>
      </c>
      <c r="Z312">
        <v>4958.0200000000004</v>
      </c>
    </row>
    <row r="313" spans="1:26" x14ac:dyDescent="0.25">
      <c r="A313">
        <v>100311</v>
      </c>
      <c r="B313" s="3">
        <v>45564</v>
      </c>
      <c r="C313" s="3">
        <v>45565</v>
      </c>
      <c r="D313" s="3">
        <v>45582</v>
      </c>
      <c r="E313" t="s">
        <v>996</v>
      </c>
      <c r="F313" t="s">
        <v>54</v>
      </c>
      <c r="G313" t="s">
        <v>193</v>
      </c>
      <c r="H313" t="s">
        <v>997</v>
      </c>
      <c r="I313" t="s">
        <v>28</v>
      </c>
      <c r="J313" t="s">
        <v>29</v>
      </c>
      <c r="K313" t="s">
        <v>998</v>
      </c>
      <c r="L313" t="s">
        <v>64</v>
      </c>
      <c r="M313" t="s">
        <v>25</v>
      </c>
      <c r="N313" t="s">
        <v>92</v>
      </c>
      <c r="O313" t="s">
        <v>93</v>
      </c>
      <c r="P313" t="s">
        <v>76</v>
      </c>
      <c r="Q313">
        <v>273</v>
      </c>
      <c r="R313">
        <v>111.7</v>
      </c>
      <c r="S313">
        <v>30494.1</v>
      </c>
      <c r="T313">
        <v>12.99</v>
      </c>
      <c r="U313">
        <v>17</v>
      </c>
      <c r="V313">
        <v>18</v>
      </c>
      <c r="W313">
        <v>1284</v>
      </c>
      <c r="X313" t="s">
        <v>188</v>
      </c>
      <c r="Y313" t="s">
        <v>36</v>
      </c>
      <c r="Z313">
        <v>5880.3</v>
      </c>
    </row>
    <row r="314" spans="1:26" x14ac:dyDescent="0.25">
      <c r="A314">
        <v>100312</v>
      </c>
      <c r="B314" s="3">
        <v>45563</v>
      </c>
      <c r="C314" s="3">
        <v>45564</v>
      </c>
      <c r="D314" s="3">
        <v>45566</v>
      </c>
      <c r="E314" t="s">
        <v>999</v>
      </c>
      <c r="F314" t="s">
        <v>25</v>
      </c>
      <c r="G314" t="s">
        <v>221</v>
      </c>
      <c r="H314" t="s">
        <v>1000</v>
      </c>
      <c r="I314" t="s">
        <v>89</v>
      </c>
      <c r="J314" t="s">
        <v>62</v>
      </c>
      <c r="K314" t="s">
        <v>977</v>
      </c>
      <c r="L314" t="s">
        <v>98</v>
      </c>
      <c r="M314" t="s">
        <v>54</v>
      </c>
      <c r="N314" t="s">
        <v>55</v>
      </c>
      <c r="O314" t="s">
        <v>56</v>
      </c>
      <c r="P314" t="s">
        <v>68</v>
      </c>
      <c r="Q314">
        <v>105</v>
      </c>
      <c r="R314">
        <v>21.91</v>
      </c>
      <c r="S314">
        <v>2300.5500000000002</v>
      </c>
      <c r="T314">
        <v>35.32</v>
      </c>
      <c r="U314">
        <v>2</v>
      </c>
      <c r="V314">
        <v>3</v>
      </c>
      <c r="W314">
        <v>1417</v>
      </c>
      <c r="X314" t="s">
        <v>3741</v>
      </c>
      <c r="Y314" t="s">
        <v>36</v>
      </c>
      <c r="Z314">
        <v>281.39999999999998</v>
      </c>
    </row>
    <row r="315" spans="1:26" x14ac:dyDescent="0.25">
      <c r="A315">
        <v>100313</v>
      </c>
      <c r="B315" s="3">
        <v>45915</v>
      </c>
      <c r="C315" s="3">
        <v>45915</v>
      </c>
      <c r="D315" s="3">
        <v>45924</v>
      </c>
      <c r="E315" t="s">
        <v>1001</v>
      </c>
      <c r="F315" t="s">
        <v>25</v>
      </c>
      <c r="G315" t="s">
        <v>244</v>
      </c>
      <c r="H315" t="s">
        <v>1002</v>
      </c>
      <c r="I315" t="s">
        <v>144</v>
      </c>
      <c r="J315" t="s">
        <v>52</v>
      </c>
      <c r="K315" t="s">
        <v>1003</v>
      </c>
      <c r="L315" t="s">
        <v>31</v>
      </c>
      <c r="M315" t="s">
        <v>54</v>
      </c>
      <c r="N315" t="s">
        <v>45</v>
      </c>
      <c r="O315" t="s">
        <v>46</v>
      </c>
      <c r="P315" t="s">
        <v>35</v>
      </c>
      <c r="Q315">
        <v>373</v>
      </c>
      <c r="R315">
        <v>49.1</v>
      </c>
      <c r="S315">
        <v>18314.3</v>
      </c>
      <c r="T315">
        <v>23.05</v>
      </c>
      <c r="U315">
        <v>9</v>
      </c>
      <c r="V315">
        <v>9</v>
      </c>
      <c r="W315">
        <v>2631</v>
      </c>
      <c r="X315" t="s">
        <v>188</v>
      </c>
      <c r="Y315" t="s">
        <v>36</v>
      </c>
      <c r="Z315">
        <v>2302.19</v>
      </c>
    </row>
    <row r="316" spans="1:26" x14ac:dyDescent="0.25">
      <c r="A316">
        <v>100314</v>
      </c>
      <c r="B316" s="3">
        <v>45292</v>
      </c>
      <c r="C316" s="3">
        <v>45295</v>
      </c>
      <c r="D316" s="3">
        <v>45298</v>
      </c>
      <c r="E316" t="s">
        <v>1004</v>
      </c>
      <c r="F316" t="s">
        <v>65</v>
      </c>
      <c r="G316" t="s">
        <v>70</v>
      </c>
      <c r="H316" t="s">
        <v>1005</v>
      </c>
      <c r="I316" t="s">
        <v>191</v>
      </c>
      <c r="J316" t="s">
        <v>62</v>
      </c>
      <c r="K316" t="s">
        <v>649</v>
      </c>
      <c r="L316" t="s">
        <v>44</v>
      </c>
      <c r="M316" t="s">
        <v>54</v>
      </c>
      <c r="N316" t="s">
        <v>45</v>
      </c>
      <c r="O316" t="s">
        <v>46</v>
      </c>
      <c r="P316" t="s">
        <v>68</v>
      </c>
      <c r="Q316">
        <v>149</v>
      </c>
      <c r="R316">
        <v>37.61</v>
      </c>
      <c r="S316">
        <v>5603.89</v>
      </c>
      <c r="T316">
        <v>38.17</v>
      </c>
      <c r="U316">
        <v>3</v>
      </c>
      <c r="V316">
        <v>6</v>
      </c>
      <c r="W316">
        <v>3251</v>
      </c>
      <c r="X316" t="s">
        <v>3741</v>
      </c>
      <c r="Y316" t="s">
        <v>36</v>
      </c>
      <c r="Z316">
        <v>518.67999999999995</v>
      </c>
    </row>
    <row r="317" spans="1:26" x14ac:dyDescent="0.25">
      <c r="A317">
        <v>100315</v>
      </c>
      <c r="B317" s="3">
        <v>45993</v>
      </c>
      <c r="C317" s="3">
        <v>45995</v>
      </c>
      <c r="D317" s="3">
        <v>46015</v>
      </c>
      <c r="E317" t="s">
        <v>1006</v>
      </c>
      <c r="F317" t="s">
        <v>54</v>
      </c>
      <c r="G317" t="s">
        <v>193</v>
      </c>
      <c r="H317" t="s">
        <v>1007</v>
      </c>
      <c r="I317" t="s">
        <v>134</v>
      </c>
      <c r="J317" t="s">
        <v>52</v>
      </c>
      <c r="K317" t="s">
        <v>723</v>
      </c>
      <c r="L317" t="s">
        <v>98</v>
      </c>
      <c r="M317" t="s">
        <v>54</v>
      </c>
      <c r="N317" t="s">
        <v>92</v>
      </c>
      <c r="O317" t="s">
        <v>93</v>
      </c>
      <c r="P317" t="s">
        <v>76</v>
      </c>
      <c r="Q317">
        <v>433</v>
      </c>
      <c r="R317">
        <v>84.19</v>
      </c>
      <c r="S317">
        <v>36454.269999999997</v>
      </c>
      <c r="T317">
        <v>11.79</v>
      </c>
      <c r="U317">
        <v>20</v>
      </c>
      <c r="V317">
        <v>22</v>
      </c>
      <c r="W317">
        <v>692</v>
      </c>
      <c r="X317" t="s">
        <v>188</v>
      </c>
      <c r="Y317" t="s">
        <v>36</v>
      </c>
      <c r="Z317">
        <v>6213.93</v>
      </c>
    </row>
    <row r="318" spans="1:26" x14ac:dyDescent="0.25">
      <c r="A318">
        <v>100316</v>
      </c>
      <c r="B318" s="3">
        <v>45430</v>
      </c>
      <c r="C318" s="3">
        <v>45430</v>
      </c>
      <c r="D318" s="3">
        <v>45435</v>
      </c>
      <c r="E318" t="s">
        <v>1008</v>
      </c>
      <c r="F318" t="s">
        <v>65</v>
      </c>
      <c r="G318" t="s">
        <v>154</v>
      </c>
      <c r="H318" t="s">
        <v>1009</v>
      </c>
      <c r="I318" t="s">
        <v>368</v>
      </c>
      <c r="J318" t="s">
        <v>29</v>
      </c>
      <c r="K318" t="s">
        <v>1010</v>
      </c>
      <c r="L318" t="s">
        <v>113</v>
      </c>
      <c r="M318" t="s">
        <v>54</v>
      </c>
      <c r="N318" t="s">
        <v>33</v>
      </c>
      <c r="O318" t="s">
        <v>34</v>
      </c>
      <c r="P318" t="s">
        <v>68</v>
      </c>
      <c r="Q318">
        <v>282</v>
      </c>
      <c r="R318">
        <v>81.87</v>
      </c>
      <c r="S318">
        <v>23087.34</v>
      </c>
      <c r="T318">
        <v>46.79</v>
      </c>
      <c r="U318">
        <v>5</v>
      </c>
      <c r="V318">
        <v>5</v>
      </c>
      <c r="W318">
        <v>2381</v>
      </c>
      <c r="X318" t="s">
        <v>3741</v>
      </c>
      <c r="Y318" t="s">
        <v>36</v>
      </c>
      <c r="Z318">
        <v>6635.43</v>
      </c>
    </row>
    <row r="319" spans="1:26" x14ac:dyDescent="0.25">
      <c r="A319">
        <v>100317</v>
      </c>
      <c r="B319" s="3">
        <v>45871</v>
      </c>
      <c r="C319" s="3">
        <v>45876</v>
      </c>
      <c r="D319" s="3">
        <v>45889</v>
      </c>
      <c r="E319" t="s">
        <v>1011</v>
      </c>
      <c r="F319" t="s">
        <v>65</v>
      </c>
      <c r="G319" t="s">
        <v>70</v>
      </c>
      <c r="H319" t="s">
        <v>1012</v>
      </c>
      <c r="I319" t="s">
        <v>278</v>
      </c>
      <c r="J319" t="s">
        <v>29</v>
      </c>
      <c r="K319" t="s">
        <v>1013</v>
      </c>
      <c r="L319" t="s">
        <v>91</v>
      </c>
      <c r="M319" t="s">
        <v>25</v>
      </c>
      <c r="N319" t="s">
        <v>55</v>
      </c>
      <c r="O319" t="s">
        <v>56</v>
      </c>
      <c r="P319" t="s">
        <v>123</v>
      </c>
      <c r="Q319">
        <v>297</v>
      </c>
      <c r="R319">
        <v>69.73</v>
      </c>
      <c r="S319">
        <v>20709.810000000001</v>
      </c>
      <c r="T319">
        <v>17.91</v>
      </c>
      <c r="U319">
        <v>13</v>
      </c>
      <c r="V319">
        <v>18</v>
      </c>
      <c r="W319">
        <v>1401</v>
      </c>
      <c r="X319" t="s">
        <v>188</v>
      </c>
      <c r="Y319" t="s">
        <v>36</v>
      </c>
      <c r="Z319">
        <v>3344.86</v>
      </c>
    </row>
    <row r="320" spans="1:26" x14ac:dyDescent="0.25">
      <c r="A320">
        <v>100318</v>
      </c>
      <c r="B320" s="3">
        <v>45987</v>
      </c>
      <c r="C320" s="3">
        <v>45989</v>
      </c>
      <c r="D320" s="3">
        <v>46010</v>
      </c>
      <c r="E320" t="s">
        <v>1014</v>
      </c>
      <c r="F320" t="s">
        <v>32</v>
      </c>
      <c r="G320" t="s">
        <v>364</v>
      </c>
      <c r="H320" t="s">
        <v>1015</v>
      </c>
      <c r="I320" t="s">
        <v>368</v>
      </c>
      <c r="J320" t="s">
        <v>29</v>
      </c>
      <c r="K320" t="s">
        <v>1016</v>
      </c>
      <c r="L320" t="s">
        <v>212</v>
      </c>
      <c r="M320" t="s">
        <v>38</v>
      </c>
      <c r="N320" t="s">
        <v>203</v>
      </c>
      <c r="O320" t="s">
        <v>204</v>
      </c>
      <c r="P320" t="s">
        <v>76</v>
      </c>
      <c r="Q320">
        <v>456</v>
      </c>
      <c r="R320">
        <v>118.33</v>
      </c>
      <c r="S320">
        <v>53958.48</v>
      </c>
      <c r="T320">
        <v>16.329999999999998</v>
      </c>
      <c r="U320">
        <v>21</v>
      </c>
      <c r="V320">
        <v>23</v>
      </c>
      <c r="W320">
        <v>621</v>
      </c>
      <c r="X320" t="s">
        <v>188</v>
      </c>
      <c r="Y320" t="s">
        <v>36</v>
      </c>
      <c r="Z320">
        <v>6046.54</v>
      </c>
    </row>
    <row r="321" spans="1:26" x14ac:dyDescent="0.25">
      <c r="A321">
        <v>100319</v>
      </c>
      <c r="B321" s="3">
        <v>45475</v>
      </c>
      <c r="C321" s="3">
        <v>45478</v>
      </c>
      <c r="D321" s="3">
        <v>45483</v>
      </c>
      <c r="E321" t="s">
        <v>1017</v>
      </c>
      <c r="F321" t="s">
        <v>32</v>
      </c>
      <c r="G321" t="s">
        <v>273</v>
      </c>
      <c r="H321" t="s">
        <v>1018</v>
      </c>
      <c r="I321" t="s">
        <v>28</v>
      </c>
      <c r="J321" t="s">
        <v>29</v>
      </c>
      <c r="K321" t="s">
        <v>1019</v>
      </c>
      <c r="L321" t="s">
        <v>91</v>
      </c>
      <c r="M321" t="s">
        <v>38</v>
      </c>
      <c r="N321" t="s">
        <v>45</v>
      </c>
      <c r="O321" t="s">
        <v>46</v>
      </c>
      <c r="P321" t="s">
        <v>68</v>
      </c>
      <c r="Q321">
        <v>127</v>
      </c>
      <c r="R321">
        <v>82.81</v>
      </c>
      <c r="S321">
        <v>10516.87</v>
      </c>
      <c r="T321">
        <v>36.74</v>
      </c>
      <c r="U321">
        <v>5</v>
      </c>
      <c r="V321">
        <v>8</v>
      </c>
      <c r="W321">
        <v>1455</v>
      </c>
      <c r="X321" t="s">
        <v>188</v>
      </c>
      <c r="Y321" t="s">
        <v>36</v>
      </c>
      <c r="Z321">
        <v>1387.65</v>
      </c>
    </row>
    <row r="322" spans="1:26" x14ac:dyDescent="0.25">
      <c r="A322">
        <v>100320</v>
      </c>
      <c r="B322" s="3">
        <v>45486</v>
      </c>
      <c r="C322" s="3">
        <v>45487</v>
      </c>
      <c r="D322" s="3">
        <v>45505</v>
      </c>
      <c r="E322" t="s">
        <v>1020</v>
      </c>
      <c r="F322" t="s">
        <v>38</v>
      </c>
      <c r="G322" t="s">
        <v>83</v>
      </c>
      <c r="H322" t="s">
        <v>1021</v>
      </c>
      <c r="I322" t="s">
        <v>177</v>
      </c>
      <c r="J322" t="s">
        <v>29</v>
      </c>
      <c r="K322" t="s">
        <v>708</v>
      </c>
      <c r="L322" t="s">
        <v>113</v>
      </c>
      <c r="M322" t="s">
        <v>54</v>
      </c>
      <c r="N322" t="s">
        <v>66</v>
      </c>
      <c r="O322" t="s">
        <v>67</v>
      </c>
      <c r="P322" t="s">
        <v>123</v>
      </c>
      <c r="Q322">
        <v>349</v>
      </c>
      <c r="R322">
        <v>93.32</v>
      </c>
      <c r="S322">
        <v>32568.68</v>
      </c>
      <c r="T322">
        <v>19.170000000000002</v>
      </c>
      <c r="U322">
        <v>18</v>
      </c>
      <c r="V322">
        <v>19</v>
      </c>
      <c r="W322">
        <v>3353</v>
      </c>
      <c r="X322" t="s">
        <v>3742</v>
      </c>
      <c r="Y322" t="s">
        <v>188</v>
      </c>
      <c r="Z322">
        <v>7739.05</v>
      </c>
    </row>
    <row r="323" spans="1:26" x14ac:dyDescent="0.25">
      <c r="A323">
        <v>100321</v>
      </c>
      <c r="B323" s="3">
        <v>45892</v>
      </c>
      <c r="C323" s="3">
        <v>45893</v>
      </c>
      <c r="D323" s="3">
        <v>45896</v>
      </c>
      <c r="E323" t="s">
        <v>1022</v>
      </c>
      <c r="F323" t="s">
        <v>32</v>
      </c>
      <c r="G323" t="s">
        <v>273</v>
      </c>
      <c r="H323" t="s">
        <v>1023</v>
      </c>
      <c r="I323" t="s">
        <v>51</v>
      </c>
      <c r="J323" t="s">
        <v>52</v>
      </c>
      <c r="K323" t="s">
        <v>756</v>
      </c>
      <c r="L323" t="s">
        <v>122</v>
      </c>
      <c r="M323" t="s">
        <v>38</v>
      </c>
      <c r="N323" t="s">
        <v>151</v>
      </c>
      <c r="O323" t="s">
        <v>152</v>
      </c>
      <c r="P323" t="s">
        <v>68</v>
      </c>
      <c r="Q323">
        <v>478</v>
      </c>
      <c r="R323">
        <v>68.260000000000005</v>
      </c>
      <c r="S323">
        <v>32628.28</v>
      </c>
      <c r="T323">
        <v>59.49</v>
      </c>
      <c r="U323">
        <v>3</v>
      </c>
      <c r="V323">
        <v>4</v>
      </c>
      <c r="W323">
        <v>3752</v>
      </c>
      <c r="X323" t="s">
        <v>3741</v>
      </c>
      <c r="Y323" t="s">
        <v>36</v>
      </c>
      <c r="Z323">
        <v>6253.66</v>
      </c>
    </row>
    <row r="324" spans="1:26" x14ac:dyDescent="0.25">
      <c r="A324">
        <v>100322</v>
      </c>
      <c r="B324" s="3">
        <v>45593</v>
      </c>
      <c r="C324" s="3">
        <v>45593</v>
      </c>
      <c r="D324" s="3">
        <v>45599</v>
      </c>
      <c r="E324" t="s">
        <v>1024</v>
      </c>
      <c r="F324" t="s">
        <v>25</v>
      </c>
      <c r="G324" t="s">
        <v>59</v>
      </c>
      <c r="H324" t="s">
        <v>1025</v>
      </c>
      <c r="I324" t="s">
        <v>41</v>
      </c>
      <c r="J324" t="s">
        <v>42</v>
      </c>
      <c r="K324" t="s">
        <v>428</v>
      </c>
      <c r="L324" t="s">
        <v>91</v>
      </c>
      <c r="M324" t="s">
        <v>32</v>
      </c>
      <c r="N324" t="s">
        <v>45</v>
      </c>
      <c r="O324" t="s">
        <v>46</v>
      </c>
      <c r="P324" t="s">
        <v>35</v>
      </c>
      <c r="Q324">
        <v>480</v>
      </c>
      <c r="R324">
        <v>316.88</v>
      </c>
      <c r="S324">
        <v>152102.39999999999</v>
      </c>
      <c r="T324">
        <v>26.08</v>
      </c>
      <c r="U324">
        <v>6</v>
      </c>
      <c r="V324">
        <v>6</v>
      </c>
      <c r="W324">
        <v>579</v>
      </c>
      <c r="X324" t="s">
        <v>3741</v>
      </c>
      <c r="Y324" t="s">
        <v>36</v>
      </c>
      <c r="Z324">
        <v>23282.1</v>
      </c>
    </row>
    <row r="325" spans="1:26" x14ac:dyDescent="0.25">
      <c r="A325">
        <v>100323</v>
      </c>
      <c r="B325" s="3">
        <v>45843</v>
      </c>
      <c r="C325" s="3">
        <v>45844</v>
      </c>
      <c r="D325" s="3">
        <v>45854</v>
      </c>
      <c r="E325" t="s">
        <v>1026</v>
      </c>
      <c r="F325" t="s">
        <v>32</v>
      </c>
      <c r="G325" t="s">
        <v>364</v>
      </c>
      <c r="H325" t="s">
        <v>1027</v>
      </c>
      <c r="I325" t="s">
        <v>116</v>
      </c>
      <c r="J325" t="s">
        <v>62</v>
      </c>
      <c r="K325" t="s">
        <v>121</v>
      </c>
      <c r="L325" t="s">
        <v>113</v>
      </c>
      <c r="M325" t="s">
        <v>65</v>
      </c>
      <c r="N325" t="s">
        <v>151</v>
      </c>
      <c r="O325" t="s">
        <v>152</v>
      </c>
      <c r="P325" t="s">
        <v>35</v>
      </c>
      <c r="Q325">
        <v>70</v>
      </c>
      <c r="R325">
        <v>40.1</v>
      </c>
      <c r="S325">
        <v>2807</v>
      </c>
      <c r="T325">
        <v>14.46</v>
      </c>
      <c r="U325">
        <v>10</v>
      </c>
      <c r="V325">
        <v>11</v>
      </c>
      <c r="W325">
        <v>3608</v>
      </c>
      <c r="X325" t="s">
        <v>188</v>
      </c>
      <c r="Y325" t="s">
        <v>36</v>
      </c>
      <c r="Z325">
        <v>159.52000000000001</v>
      </c>
    </row>
    <row r="326" spans="1:26" x14ac:dyDescent="0.25">
      <c r="A326">
        <v>100324</v>
      </c>
      <c r="B326" s="3">
        <v>45488</v>
      </c>
      <c r="C326" s="3">
        <v>45488</v>
      </c>
      <c r="D326" s="3">
        <v>45502</v>
      </c>
      <c r="E326" t="s">
        <v>1028</v>
      </c>
      <c r="F326" t="s">
        <v>54</v>
      </c>
      <c r="G326" t="s">
        <v>158</v>
      </c>
      <c r="H326" t="s">
        <v>1029</v>
      </c>
      <c r="I326" t="s">
        <v>149</v>
      </c>
      <c r="J326" t="s">
        <v>42</v>
      </c>
      <c r="K326" t="s">
        <v>1030</v>
      </c>
      <c r="L326" t="s">
        <v>118</v>
      </c>
      <c r="M326" t="s">
        <v>54</v>
      </c>
      <c r="N326" t="s">
        <v>151</v>
      </c>
      <c r="O326" t="s">
        <v>152</v>
      </c>
      <c r="P326" t="s">
        <v>123</v>
      </c>
      <c r="Q326">
        <v>39</v>
      </c>
      <c r="R326">
        <v>396.75</v>
      </c>
      <c r="S326">
        <v>15473.25</v>
      </c>
      <c r="T326">
        <v>8.6199999999999992</v>
      </c>
      <c r="U326">
        <v>14</v>
      </c>
      <c r="V326">
        <v>14</v>
      </c>
      <c r="W326">
        <v>157</v>
      </c>
      <c r="X326" t="s">
        <v>188</v>
      </c>
      <c r="Y326" t="s">
        <v>36</v>
      </c>
      <c r="Z326">
        <v>2459.62</v>
      </c>
    </row>
    <row r="327" spans="1:26" x14ac:dyDescent="0.25">
      <c r="A327">
        <v>100325</v>
      </c>
      <c r="B327" s="3">
        <v>45736</v>
      </c>
      <c r="C327" s="3">
        <v>45740</v>
      </c>
      <c r="D327" s="3">
        <v>45747</v>
      </c>
      <c r="E327" t="s">
        <v>1031</v>
      </c>
      <c r="F327" t="s">
        <v>38</v>
      </c>
      <c r="G327" t="s">
        <v>83</v>
      </c>
      <c r="H327" t="s">
        <v>1032</v>
      </c>
      <c r="I327" t="s">
        <v>134</v>
      </c>
      <c r="J327" t="s">
        <v>52</v>
      </c>
      <c r="K327" t="s">
        <v>345</v>
      </c>
      <c r="L327" t="s">
        <v>187</v>
      </c>
      <c r="M327" t="s">
        <v>38</v>
      </c>
      <c r="N327" t="s">
        <v>203</v>
      </c>
      <c r="O327" t="s">
        <v>204</v>
      </c>
      <c r="P327" t="s">
        <v>35</v>
      </c>
      <c r="Q327">
        <v>195</v>
      </c>
      <c r="R327">
        <v>43.36</v>
      </c>
      <c r="S327">
        <v>8455.2000000000007</v>
      </c>
      <c r="T327">
        <v>13.34</v>
      </c>
      <c r="U327">
        <v>7</v>
      </c>
      <c r="V327">
        <v>11</v>
      </c>
      <c r="W327">
        <v>1787</v>
      </c>
      <c r="X327" t="s">
        <v>3742</v>
      </c>
      <c r="Y327" t="s">
        <v>47</v>
      </c>
      <c r="Z327">
        <v>-247.46</v>
      </c>
    </row>
    <row r="328" spans="1:26" x14ac:dyDescent="0.25">
      <c r="A328">
        <v>100326</v>
      </c>
      <c r="B328" s="3">
        <v>45676</v>
      </c>
      <c r="C328" s="3">
        <v>45676</v>
      </c>
      <c r="D328" s="3">
        <v>45694</v>
      </c>
      <c r="E328" t="s">
        <v>955</v>
      </c>
      <c r="F328" t="s">
        <v>25</v>
      </c>
      <c r="G328" t="s">
        <v>172</v>
      </c>
      <c r="H328" t="s">
        <v>1033</v>
      </c>
      <c r="I328" t="s">
        <v>85</v>
      </c>
      <c r="J328" t="s">
        <v>52</v>
      </c>
      <c r="K328" t="s">
        <v>1034</v>
      </c>
      <c r="L328" t="s">
        <v>31</v>
      </c>
      <c r="M328" t="s">
        <v>32</v>
      </c>
      <c r="N328" t="s">
        <v>55</v>
      </c>
      <c r="O328" t="s">
        <v>56</v>
      </c>
      <c r="P328" t="s">
        <v>76</v>
      </c>
      <c r="Q328">
        <v>344</v>
      </c>
      <c r="R328">
        <v>75.3</v>
      </c>
      <c r="S328">
        <v>25903.200000000001</v>
      </c>
      <c r="T328">
        <v>14.29</v>
      </c>
      <c r="U328">
        <v>18</v>
      </c>
      <c r="V328">
        <v>18</v>
      </c>
      <c r="W328">
        <v>877</v>
      </c>
      <c r="X328" t="s">
        <v>188</v>
      </c>
      <c r="Y328" t="s">
        <v>36</v>
      </c>
      <c r="Z328">
        <v>924</v>
      </c>
    </row>
    <row r="329" spans="1:26" x14ac:dyDescent="0.25">
      <c r="A329">
        <v>100327</v>
      </c>
      <c r="B329" s="3">
        <v>45944</v>
      </c>
      <c r="C329" s="3">
        <v>45944</v>
      </c>
      <c r="D329" s="3">
        <v>45945</v>
      </c>
      <c r="E329" t="s">
        <v>1035</v>
      </c>
      <c r="F329" t="s">
        <v>65</v>
      </c>
      <c r="G329" t="s">
        <v>154</v>
      </c>
      <c r="H329" t="s">
        <v>1036</v>
      </c>
      <c r="I329" t="s">
        <v>416</v>
      </c>
      <c r="J329" t="s">
        <v>80</v>
      </c>
      <c r="K329" t="s">
        <v>1037</v>
      </c>
      <c r="L329" t="s">
        <v>64</v>
      </c>
      <c r="M329" t="s">
        <v>54</v>
      </c>
      <c r="N329" t="s">
        <v>92</v>
      </c>
      <c r="O329" t="s">
        <v>93</v>
      </c>
      <c r="P329" t="s">
        <v>68</v>
      </c>
      <c r="Q329">
        <v>23</v>
      </c>
      <c r="R329">
        <v>158.11000000000001</v>
      </c>
      <c r="S329">
        <v>3636.53</v>
      </c>
      <c r="T329">
        <v>30</v>
      </c>
      <c r="U329">
        <v>1</v>
      </c>
      <c r="V329">
        <v>1</v>
      </c>
      <c r="W329">
        <v>704</v>
      </c>
      <c r="X329" t="s">
        <v>3741</v>
      </c>
      <c r="Y329" t="s">
        <v>36</v>
      </c>
      <c r="Z329">
        <v>630.16999999999996</v>
      </c>
    </row>
    <row r="330" spans="1:26" x14ac:dyDescent="0.25">
      <c r="A330">
        <v>100328</v>
      </c>
      <c r="B330" s="3">
        <v>45536</v>
      </c>
      <c r="C330" s="3">
        <v>45538</v>
      </c>
      <c r="D330" s="3">
        <v>45563</v>
      </c>
      <c r="E330" t="s">
        <v>1038</v>
      </c>
      <c r="F330" t="s">
        <v>32</v>
      </c>
      <c r="G330" t="s">
        <v>95</v>
      </c>
      <c r="H330" t="s">
        <v>1039</v>
      </c>
      <c r="I330" t="s">
        <v>41</v>
      </c>
      <c r="J330" t="s">
        <v>42</v>
      </c>
      <c r="K330" t="s">
        <v>81</v>
      </c>
      <c r="L330" t="s">
        <v>44</v>
      </c>
      <c r="M330" t="s">
        <v>54</v>
      </c>
      <c r="N330" t="s">
        <v>203</v>
      </c>
      <c r="O330" t="s">
        <v>204</v>
      </c>
      <c r="P330" t="s">
        <v>76</v>
      </c>
      <c r="Q330">
        <v>427</v>
      </c>
      <c r="R330">
        <v>72.739999999999995</v>
      </c>
      <c r="S330">
        <v>31059.98</v>
      </c>
      <c r="T330">
        <v>15.8</v>
      </c>
      <c r="U330">
        <v>25</v>
      </c>
      <c r="V330">
        <v>27</v>
      </c>
      <c r="W330">
        <v>1078</v>
      </c>
      <c r="X330" t="s">
        <v>3742</v>
      </c>
      <c r="Y330" t="s">
        <v>188</v>
      </c>
      <c r="Z330">
        <v>3555.11</v>
      </c>
    </row>
    <row r="331" spans="1:26" x14ac:dyDescent="0.25">
      <c r="A331">
        <v>100329</v>
      </c>
      <c r="B331" s="3">
        <v>45437</v>
      </c>
      <c r="C331" s="3">
        <v>45440</v>
      </c>
      <c r="D331" s="3">
        <v>45444</v>
      </c>
      <c r="E331" t="s">
        <v>1040</v>
      </c>
      <c r="F331" t="s">
        <v>38</v>
      </c>
      <c r="G331" t="s">
        <v>39</v>
      </c>
      <c r="H331" t="s">
        <v>1041</v>
      </c>
      <c r="I331" t="s">
        <v>41</v>
      </c>
      <c r="J331" t="s">
        <v>42</v>
      </c>
      <c r="K331" t="s">
        <v>1042</v>
      </c>
      <c r="L331" t="s">
        <v>122</v>
      </c>
      <c r="M331" t="s">
        <v>25</v>
      </c>
      <c r="N331" t="s">
        <v>92</v>
      </c>
      <c r="O331" t="s">
        <v>93</v>
      </c>
      <c r="P331" t="s">
        <v>123</v>
      </c>
      <c r="Q331">
        <v>500</v>
      </c>
      <c r="R331">
        <v>77.180000000000007</v>
      </c>
      <c r="S331">
        <v>38590</v>
      </c>
      <c r="T331">
        <v>22.84</v>
      </c>
      <c r="U331">
        <v>4</v>
      </c>
      <c r="V331">
        <v>7</v>
      </c>
      <c r="W331">
        <v>468</v>
      </c>
      <c r="X331" t="s">
        <v>3741</v>
      </c>
      <c r="Y331" t="s">
        <v>36</v>
      </c>
      <c r="Z331">
        <v>6039.37</v>
      </c>
    </row>
    <row r="332" spans="1:26" x14ac:dyDescent="0.25">
      <c r="A332">
        <v>100330</v>
      </c>
      <c r="B332" s="3">
        <v>45723</v>
      </c>
      <c r="C332" s="3">
        <v>45726</v>
      </c>
      <c r="D332" s="3">
        <v>45737</v>
      </c>
      <c r="E332" t="s">
        <v>1043</v>
      </c>
      <c r="F332" t="s">
        <v>65</v>
      </c>
      <c r="G332" t="s">
        <v>142</v>
      </c>
      <c r="H332" t="s">
        <v>1044</v>
      </c>
      <c r="I332" t="s">
        <v>149</v>
      </c>
      <c r="J332" t="s">
        <v>42</v>
      </c>
      <c r="K332" t="s">
        <v>1045</v>
      </c>
      <c r="L332" t="s">
        <v>187</v>
      </c>
      <c r="M332" t="s">
        <v>32</v>
      </c>
      <c r="N332" t="s">
        <v>45</v>
      </c>
      <c r="O332" t="s">
        <v>46</v>
      </c>
      <c r="P332" t="s">
        <v>123</v>
      </c>
      <c r="Q332">
        <v>372</v>
      </c>
      <c r="R332">
        <v>435.28</v>
      </c>
      <c r="S332">
        <v>161924.16</v>
      </c>
      <c r="T332">
        <v>19.73</v>
      </c>
      <c r="U332">
        <v>11</v>
      </c>
      <c r="V332">
        <v>14</v>
      </c>
      <c r="W332">
        <v>404</v>
      </c>
      <c r="X332" t="s">
        <v>188</v>
      </c>
      <c r="Y332" t="s">
        <v>36</v>
      </c>
      <c r="Z332">
        <v>28254.69</v>
      </c>
    </row>
    <row r="333" spans="1:26" x14ac:dyDescent="0.25">
      <c r="A333">
        <v>100331</v>
      </c>
      <c r="B333" s="3">
        <v>45754</v>
      </c>
      <c r="C333" s="3">
        <v>45759</v>
      </c>
      <c r="D333" s="3">
        <v>45766</v>
      </c>
      <c r="E333" t="s">
        <v>1046</v>
      </c>
      <c r="F333" t="s">
        <v>65</v>
      </c>
      <c r="G333" t="s">
        <v>70</v>
      </c>
      <c r="H333" t="s">
        <v>1047</v>
      </c>
      <c r="I333" t="s">
        <v>139</v>
      </c>
      <c r="J333" t="s">
        <v>42</v>
      </c>
      <c r="K333" t="s">
        <v>1048</v>
      </c>
      <c r="L333" t="s">
        <v>118</v>
      </c>
      <c r="M333" t="s">
        <v>38</v>
      </c>
      <c r="N333" t="s">
        <v>151</v>
      </c>
      <c r="O333" t="s">
        <v>152</v>
      </c>
      <c r="P333" t="s">
        <v>123</v>
      </c>
      <c r="Q333">
        <v>438</v>
      </c>
      <c r="R333">
        <v>145.83000000000001</v>
      </c>
      <c r="S333">
        <v>63873.54</v>
      </c>
      <c r="T333">
        <v>21.34</v>
      </c>
      <c r="U333">
        <v>7</v>
      </c>
      <c r="V333">
        <v>12</v>
      </c>
      <c r="W333">
        <v>286</v>
      </c>
      <c r="X333" t="s">
        <v>3742</v>
      </c>
      <c r="Y333" t="s">
        <v>57</v>
      </c>
      <c r="Z333">
        <v>7929.46</v>
      </c>
    </row>
    <row r="334" spans="1:26" x14ac:dyDescent="0.25">
      <c r="A334">
        <v>100332</v>
      </c>
      <c r="B334" s="3">
        <v>45450</v>
      </c>
      <c r="C334" s="3">
        <v>45450</v>
      </c>
      <c r="D334" s="3">
        <v>45466</v>
      </c>
      <c r="E334" t="s">
        <v>1049</v>
      </c>
      <c r="F334" t="s">
        <v>65</v>
      </c>
      <c r="G334" t="s">
        <v>70</v>
      </c>
      <c r="H334" t="s">
        <v>1050</v>
      </c>
      <c r="I334" t="s">
        <v>116</v>
      </c>
      <c r="J334" t="s">
        <v>62</v>
      </c>
      <c r="K334" t="s">
        <v>1051</v>
      </c>
      <c r="L334" t="s">
        <v>122</v>
      </c>
      <c r="M334" t="s">
        <v>54</v>
      </c>
      <c r="N334" t="s">
        <v>33</v>
      </c>
      <c r="O334" t="s">
        <v>34</v>
      </c>
      <c r="P334" t="s">
        <v>76</v>
      </c>
      <c r="Q334">
        <v>373</v>
      </c>
      <c r="R334">
        <v>46.24</v>
      </c>
      <c r="S334">
        <v>17247.52</v>
      </c>
      <c r="T334">
        <v>14.82</v>
      </c>
      <c r="U334">
        <v>16</v>
      </c>
      <c r="V334">
        <v>16</v>
      </c>
      <c r="W334">
        <v>1301</v>
      </c>
      <c r="X334" t="s">
        <v>188</v>
      </c>
      <c r="Y334" t="s">
        <v>36</v>
      </c>
      <c r="Z334">
        <v>1052.43</v>
      </c>
    </row>
    <row r="335" spans="1:26" x14ac:dyDescent="0.25">
      <c r="A335">
        <v>100333</v>
      </c>
      <c r="B335" s="3">
        <v>45488</v>
      </c>
      <c r="C335" s="3">
        <v>45492</v>
      </c>
      <c r="D335" s="3">
        <v>45497</v>
      </c>
      <c r="E335" t="s">
        <v>1052</v>
      </c>
      <c r="F335" t="s">
        <v>32</v>
      </c>
      <c r="G335" t="s">
        <v>110</v>
      </c>
      <c r="H335" t="s">
        <v>1053</v>
      </c>
      <c r="I335" t="s">
        <v>116</v>
      </c>
      <c r="J335" t="s">
        <v>62</v>
      </c>
      <c r="K335" t="s">
        <v>1054</v>
      </c>
      <c r="L335" t="s">
        <v>91</v>
      </c>
      <c r="M335" t="s">
        <v>38</v>
      </c>
      <c r="N335" t="s">
        <v>74</v>
      </c>
      <c r="O335" t="s">
        <v>75</v>
      </c>
      <c r="P335" t="s">
        <v>68</v>
      </c>
      <c r="Q335">
        <v>160</v>
      </c>
      <c r="R335">
        <v>42.48</v>
      </c>
      <c r="S335">
        <v>6796.8</v>
      </c>
      <c r="T335">
        <v>38.880000000000003</v>
      </c>
      <c r="U335">
        <v>5</v>
      </c>
      <c r="V335">
        <v>9</v>
      </c>
      <c r="W335">
        <v>2275</v>
      </c>
      <c r="X335" t="s">
        <v>188</v>
      </c>
      <c r="Y335" t="s">
        <v>36</v>
      </c>
      <c r="Z335">
        <v>635.87</v>
      </c>
    </row>
    <row r="336" spans="1:26" x14ac:dyDescent="0.25">
      <c r="A336">
        <v>100334</v>
      </c>
      <c r="B336" s="3">
        <v>45579</v>
      </c>
      <c r="C336" s="3">
        <v>45580</v>
      </c>
      <c r="D336" s="3">
        <v>45585</v>
      </c>
      <c r="E336" t="s">
        <v>1055</v>
      </c>
      <c r="F336" t="s">
        <v>32</v>
      </c>
      <c r="G336" t="s">
        <v>180</v>
      </c>
      <c r="H336" t="s">
        <v>1056</v>
      </c>
      <c r="I336" t="s">
        <v>149</v>
      </c>
      <c r="J336" t="s">
        <v>42</v>
      </c>
      <c r="K336" t="s">
        <v>1057</v>
      </c>
      <c r="L336" t="s">
        <v>64</v>
      </c>
      <c r="M336" t="s">
        <v>25</v>
      </c>
      <c r="N336" t="s">
        <v>33</v>
      </c>
      <c r="O336" t="s">
        <v>34</v>
      </c>
      <c r="P336" t="s">
        <v>123</v>
      </c>
      <c r="Q336">
        <v>211</v>
      </c>
      <c r="R336">
        <v>283.49</v>
      </c>
      <c r="S336">
        <v>59816.39</v>
      </c>
      <c r="T336">
        <v>15.82</v>
      </c>
      <c r="U336">
        <v>5</v>
      </c>
      <c r="V336">
        <v>6</v>
      </c>
      <c r="W336">
        <v>673</v>
      </c>
      <c r="X336" t="s">
        <v>3741</v>
      </c>
      <c r="Y336" t="s">
        <v>36</v>
      </c>
      <c r="Z336">
        <v>11707.49</v>
      </c>
    </row>
    <row r="337" spans="1:26" x14ac:dyDescent="0.25">
      <c r="A337">
        <v>100335</v>
      </c>
      <c r="B337" s="3">
        <v>45387</v>
      </c>
      <c r="C337" s="3">
        <v>45390</v>
      </c>
      <c r="D337" s="3">
        <v>45397</v>
      </c>
      <c r="E337" t="s">
        <v>1058</v>
      </c>
      <c r="F337" t="s">
        <v>32</v>
      </c>
      <c r="G337" t="s">
        <v>180</v>
      </c>
      <c r="H337" t="s">
        <v>1059</v>
      </c>
      <c r="I337" t="s">
        <v>139</v>
      </c>
      <c r="J337" t="s">
        <v>42</v>
      </c>
      <c r="K337" t="s">
        <v>1060</v>
      </c>
      <c r="L337" t="s">
        <v>212</v>
      </c>
      <c r="M337" t="s">
        <v>38</v>
      </c>
      <c r="N337" t="s">
        <v>55</v>
      </c>
      <c r="O337" t="s">
        <v>56</v>
      </c>
      <c r="P337" t="s">
        <v>123</v>
      </c>
      <c r="Q337">
        <v>31</v>
      </c>
      <c r="R337">
        <v>111.64</v>
      </c>
      <c r="S337">
        <v>3460.84</v>
      </c>
      <c r="T337">
        <v>11.45</v>
      </c>
      <c r="U337">
        <v>7</v>
      </c>
      <c r="V337">
        <v>10</v>
      </c>
      <c r="W337">
        <v>199</v>
      </c>
      <c r="X337" t="s">
        <v>188</v>
      </c>
      <c r="Y337" t="s">
        <v>36</v>
      </c>
      <c r="Z337">
        <v>552.58000000000004</v>
      </c>
    </row>
    <row r="338" spans="1:26" x14ac:dyDescent="0.25">
      <c r="A338">
        <v>100336</v>
      </c>
      <c r="B338" s="3">
        <v>45890</v>
      </c>
      <c r="C338" s="3">
        <v>45895</v>
      </c>
      <c r="D338" s="3">
        <v>45899</v>
      </c>
      <c r="E338" t="s">
        <v>1061</v>
      </c>
      <c r="F338" t="s">
        <v>65</v>
      </c>
      <c r="G338" t="s">
        <v>70</v>
      </c>
      <c r="H338" t="s">
        <v>1062</v>
      </c>
      <c r="I338" t="s">
        <v>177</v>
      </c>
      <c r="J338" t="s">
        <v>29</v>
      </c>
      <c r="K338" t="s">
        <v>1063</v>
      </c>
      <c r="L338" t="s">
        <v>113</v>
      </c>
      <c r="M338" t="s">
        <v>32</v>
      </c>
      <c r="N338" t="s">
        <v>74</v>
      </c>
      <c r="O338" t="s">
        <v>75</v>
      </c>
      <c r="P338" t="s">
        <v>123</v>
      </c>
      <c r="Q338">
        <v>134</v>
      </c>
      <c r="R338">
        <v>34.49</v>
      </c>
      <c r="S338">
        <v>4621.66</v>
      </c>
      <c r="T338">
        <v>13.95</v>
      </c>
      <c r="U338">
        <v>4</v>
      </c>
      <c r="V338">
        <v>9</v>
      </c>
      <c r="W338">
        <v>3268</v>
      </c>
      <c r="X338" t="s">
        <v>188</v>
      </c>
      <c r="Y338" t="s">
        <v>36</v>
      </c>
      <c r="Z338">
        <v>1165.77</v>
      </c>
    </row>
    <row r="339" spans="1:26" x14ac:dyDescent="0.25">
      <c r="A339">
        <v>100337</v>
      </c>
      <c r="B339" s="3">
        <v>45539</v>
      </c>
      <c r="C339" s="3">
        <v>45539</v>
      </c>
      <c r="D339" s="3">
        <v>45552</v>
      </c>
      <c r="E339" t="s">
        <v>1064</v>
      </c>
      <c r="F339" t="s">
        <v>54</v>
      </c>
      <c r="G339" t="s">
        <v>193</v>
      </c>
      <c r="H339" t="s">
        <v>1065</v>
      </c>
      <c r="I339" t="s">
        <v>51</v>
      </c>
      <c r="J339" t="s">
        <v>52</v>
      </c>
      <c r="K339" t="s">
        <v>742</v>
      </c>
      <c r="L339" t="s">
        <v>44</v>
      </c>
      <c r="M339" t="s">
        <v>38</v>
      </c>
      <c r="N339" t="s">
        <v>107</v>
      </c>
      <c r="O339" t="s">
        <v>108</v>
      </c>
      <c r="P339" t="s">
        <v>123</v>
      </c>
      <c r="Q339">
        <v>125</v>
      </c>
      <c r="R339">
        <v>35.520000000000003</v>
      </c>
      <c r="S339">
        <v>4440</v>
      </c>
      <c r="T339">
        <v>13.73</v>
      </c>
      <c r="U339">
        <v>13</v>
      </c>
      <c r="V339">
        <v>13</v>
      </c>
      <c r="W339">
        <v>2001</v>
      </c>
      <c r="X339" t="s">
        <v>3742</v>
      </c>
      <c r="Y339" t="s">
        <v>57</v>
      </c>
      <c r="Z339">
        <v>779</v>
      </c>
    </row>
    <row r="340" spans="1:26" x14ac:dyDescent="0.25">
      <c r="A340">
        <v>100338</v>
      </c>
      <c r="B340" s="3">
        <v>45794</v>
      </c>
      <c r="C340" s="3">
        <v>45794</v>
      </c>
      <c r="D340" s="3">
        <v>45819</v>
      </c>
      <c r="E340" t="s">
        <v>1066</v>
      </c>
      <c r="F340" t="s">
        <v>25</v>
      </c>
      <c r="G340" t="s">
        <v>172</v>
      </c>
      <c r="H340" t="s">
        <v>1067</v>
      </c>
      <c r="I340" t="s">
        <v>28</v>
      </c>
      <c r="J340" t="s">
        <v>29</v>
      </c>
      <c r="K340" t="s">
        <v>1068</v>
      </c>
      <c r="L340" t="s">
        <v>91</v>
      </c>
      <c r="M340" t="s">
        <v>32</v>
      </c>
      <c r="N340" t="s">
        <v>203</v>
      </c>
      <c r="O340" t="s">
        <v>204</v>
      </c>
      <c r="P340" t="s">
        <v>76</v>
      </c>
      <c r="Q340">
        <v>307</v>
      </c>
      <c r="R340">
        <v>111.96</v>
      </c>
      <c r="S340">
        <v>34371.72</v>
      </c>
      <c r="T340">
        <v>13.61</v>
      </c>
      <c r="U340">
        <v>25</v>
      </c>
      <c r="V340">
        <v>25</v>
      </c>
      <c r="W340">
        <v>3216</v>
      </c>
      <c r="X340" t="s">
        <v>188</v>
      </c>
      <c r="Y340" t="s">
        <v>36</v>
      </c>
      <c r="Z340">
        <v>4199.95</v>
      </c>
    </row>
    <row r="341" spans="1:26" x14ac:dyDescent="0.25">
      <c r="A341">
        <v>100339</v>
      </c>
      <c r="B341" s="3">
        <v>45553</v>
      </c>
      <c r="C341" s="3">
        <v>45553</v>
      </c>
      <c r="D341" s="3">
        <v>45557</v>
      </c>
      <c r="E341" t="s">
        <v>1069</v>
      </c>
      <c r="F341" t="s">
        <v>65</v>
      </c>
      <c r="G341" t="s">
        <v>70</v>
      </c>
      <c r="H341" t="s">
        <v>1070</v>
      </c>
      <c r="I341" t="s">
        <v>41</v>
      </c>
      <c r="J341" t="s">
        <v>42</v>
      </c>
      <c r="K341" t="s">
        <v>1071</v>
      </c>
      <c r="L341" t="s">
        <v>98</v>
      </c>
      <c r="M341" t="s">
        <v>54</v>
      </c>
      <c r="N341" t="s">
        <v>74</v>
      </c>
      <c r="O341" t="s">
        <v>75</v>
      </c>
      <c r="P341" t="s">
        <v>68</v>
      </c>
      <c r="Q341">
        <v>85</v>
      </c>
      <c r="R341">
        <v>202</v>
      </c>
      <c r="S341">
        <v>17170</v>
      </c>
      <c r="T341">
        <v>34.020000000000003</v>
      </c>
      <c r="U341">
        <v>4</v>
      </c>
      <c r="V341">
        <v>4</v>
      </c>
      <c r="W341">
        <v>1048</v>
      </c>
      <c r="X341" t="s">
        <v>3742</v>
      </c>
      <c r="Y341" t="s">
        <v>47</v>
      </c>
      <c r="Z341">
        <v>-145.86000000000001</v>
      </c>
    </row>
    <row r="342" spans="1:26" x14ac:dyDescent="0.25">
      <c r="A342">
        <v>100340</v>
      </c>
      <c r="B342" s="3">
        <v>45363</v>
      </c>
      <c r="C342" s="3">
        <v>45368</v>
      </c>
      <c r="D342" s="3">
        <v>45372</v>
      </c>
      <c r="E342" t="s">
        <v>1072</v>
      </c>
      <c r="F342" t="s">
        <v>25</v>
      </c>
      <c r="G342" t="s">
        <v>244</v>
      </c>
      <c r="H342" t="s">
        <v>1073</v>
      </c>
      <c r="I342" t="s">
        <v>126</v>
      </c>
      <c r="J342" t="s">
        <v>42</v>
      </c>
      <c r="K342" t="s">
        <v>371</v>
      </c>
      <c r="L342" t="s">
        <v>91</v>
      </c>
      <c r="M342" t="s">
        <v>54</v>
      </c>
      <c r="N342" t="s">
        <v>102</v>
      </c>
      <c r="O342" t="s">
        <v>103</v>
      </c>
      <c r="P342" t="s">
        <v>68</v>
      </c>
      <c r="Q342">
        <v>72</v>
      </c>
      <c r="R342">
        <v>147.47999999999999</v>
      </c>
      <c r="S342">
        <v>10618.56</v>
      </c>
      <c r="T342">
        <v>33.18</v>
      </c>
      <c r="U342">
        <v>4</v>
      </c>
      <c r="V342">
        <v>9</v>
      </c>
      <c r="W342">
        <v>425</v>
      </c>
      <c r="X342" t="s">
        <v>3742</v>
      </c>
      <c r="Y342" t="s">
        <v>57</v>
      </c>
      <c r="Z342">
        <v>949.97</v>
      </c>
    </row>
    <row r="343" spans="1:26" x14ac:dyDescent="0.25">
      <c r="A343">
        <v>100341</v>
      </c>
      <c r="B343" s="3">
        <v>45921</v>
      </c>
      <c r="C343" s="3">
        <v>45925</v>
      </c>
      <c r="D343" s="3">
        <v>45940</v>
      </c>
      <c r="E343" t="s">
        <v>1074</v>
      </c>
      <c r="F343" t="s">
        <v>25</v>
      </c>
      <c r="G343" t="s">
        <v>172</v>
      </c>
      <c r="H343" t="s">
        <v>1075</v>
      </c>
      <c r="I343" t="s">
        <v>139</v>
      </c>
      <c r="J343" t="s">
        <v>42</v>
      </c>
      <c r="K343" t="s">
        <v>1076</v>
      </c>
      <c r="L343" t="s">
        <v>118</v>
      </c>
      <c r="M343" t="s">
        <v>25</v>
      </c>
      <c r="N343" t="s">
        <v>55</v>
      </c>
      <c r="O343" t="s">
        <v>56</v>
      </c>
      <c r="P343" t="s">
        <v>123</v>
      </c>
      <c r="Q343">
        <v>133</v>
      </c>
      <c r="R343">
        <v>356.04</v>
      </c>
      <c r="S343">
        <v>47353.32</v>
      </c>
      <c r="T343">
        <v>10.31</v>
      </c>
      <c r="U343">
        <v>15</v>
      </c>
      <c r="V343">
        <v>19</v>
      </c>
      <c r="W343">
        <v>846</v>
      </c>
      <c r="X343" t="s">
        <v>3742</v>
      </c>
      <c r="Y343" t="s">
        <v>188</v>
      </c>
      <c r="Z343">
        <v>6393.76</v>
      </c>
    </row>
    <row r="344" spans="1:26" x14ac:dyDescent="0.25">
      <c r="A344">
        <v>100342</v>
      </c>
      <c r="B344" s="3">
        <v>45752</v>
      </c>
      <c r="C344" s="3">
        <v>45753</v>
      </c>
      <c r="D344" s="3">
        <v>45758</v>
      </c>
      <c r="E344" t="s">
        <v>1077</v>
      </c>
      <c r="F344" t="s">
        <v>54</v>
      </c>
      <c r="G344" t="s">
        <v>158</v>
      </c>
      <c r="H344" t="s">
        <v>1078</v>
      </c>
      <c r="I344" t="s">
        <v>177</v>
      </c>
      <c r="J344" t="s">
        <v>29</v>
      </c>
      <c r="K344" t="s">
        <v>1079</v>
      </c>
      <c r="L344" t="s">
        <v>91</v>
      </c>
      <c r="M344" t="s">
        <v>25</v>
      </c>
      <c r="N344" t="s">
        <v>102</v>
      </c>
      <c r="O344" t="s">
        <v>103</v>
      </c>
      <c r="P344" t="s">
        <v>68</v>
      </c>
      <c r="Q344">
        <v>335</v>
      </c>
      <c r="R344">
        <v>48.12</v>
      </c>
      <c r="S344">
        <v>16120.2</v>
      </c>
      <c r="T344">
        <v>50.22</v>
      </c>
      <c r="U344">
        <v>5</v>
      </c>
      <c r="V344">
        <v>6</v>
      </c>
      <c r="W344">
        <v>3115</v>
      </c>
      <c r="X344" t="s">
        <v>3741</v>
      </c>
      <c r="Y344" t="s">
        <v>36</v>
      </c>
      <c r="Z344">
        <v>4229.2299999999996</v>
      </c>
    </row>
    <row r="345" spans="1:26" x14ac:dyDescent="0.25">
      <c r="A345">
        <v>100343</v>
      </c>
      <c r="B345" s="3">
        <v>45762</v>
      </c>
      <c r="C345" s="3">
        <v>45763</v>
      </c>
      <c r="D345" s="3">
        <v>45785</v>
      </c>
      <c r="E345" t="s">
        <v>1080</v>
      </c>
      <c r="F345" t="s">
        <v>38</v>
      </c>
      <c r="G345" t="s">
        <v>147</v>
      </c>
      <c r="H345" t="s">
        <v>1081</v>
      </c>
      <c r="I345" t="s">
        <v>61</v>
      </c>
      <c r="J345" t="s">
        <v>62</v>
      </c>
      <c r="K345" t="s">
        <v>870</v>
      </c>
      <c r="L345" t="s">
        <v>122</v>
      </c>
      <c r="M345" t="s">
        <v>32</v>
      </c>
      <c r="N345" t="s">
        <v>107</v>
      </c>
      <c r="O345" t="s">
        <v>108</v>
      </c>
      <c r="P345" t="s">
        <v>76</v>
      </c>
      <c r="Q345">
        <v>31</v>
      </c>
      <c r="R345">
        <v>20.18</v>
      </c>
      <c r="S345">
        <v>625.58000000000004</v>
      </c>
      <c r="T345">
        <v>8.58</v>
      </c>
      <c r="U345">
        <v>22</v>
      </c>
      <c r="V345">
        <v>23</v>
      </c>
      <c r="W345">
        <v>1231</v>
      </c>
      <c r="X345" t="s">
        <v>188</v>
      </c>
      <c r="Y345" t="s">
        <v>36</v>
      </c>
      <c r="Z345">
        <v>75.41</v>
      </c>
    </row>
    <row r="346" spans="1:26" x14ac:dyDescent="0.25">
      <c r="A346">
        <v>100344</v>
      </c>
      <c r="B346" s="3">
        <v>45626</v>
      </c>
      <c r="C346" s="3">
        <v>45626</v>
      </c>
      <c r="D346" s="3">
        <v>45630</v>
      </c>
      <c r="E346" t="s">
        <v>1082</v>
      </c>
      <c r="F346" t="s">
        <v>65</v>
      </c>
      <c r="G346" t="s">
        <v>154</v>
      </c>
      <c r="H346" t="s">
        <v>1083</v>
      </c>
      <c r="I346" t="s">
        <v>89</v>
      </c>
      <c r="J346" t="s">
        <v>62</v>
      </c>
      <c r="K346" t="s">
        <v>1084</v>
      </c>
      <c r="L346" t="s">
        <v>122</v>
      </c>
      <c r="M346" t="s">
        <v>54</v>
      </c>
      <c r="N346" t="s">
        <v>107</v>
      </c>
      <c r="O346" t="s">
        <v>108</v>
      </c>
      <c r="P346" t="s">
        <v>68</v>
      </c>
      <c r="Q346">
        <v>14</v>
      </c>
      <c r="R346">
        <v>12.03</v>
      </c>
      <c r="S346">
        <v>168.42</v>
      </c>
      <c r="T346">
        <v>29.42</v>
      </c>
      <c r="U346">
        <v>4</v>
      </c>
      <c r="V346">
        <v>4</v>
      </c>
      <c r="W346">
        <v>4048</v>
      </c>
      <c r="X346" t="s">
        <v>3742</v>
      </c>
      <c r="Y346" t="s">
        <v>57</v>
      </c>
      <c r="Z346">
        <v>-11.24</v>
      </c>
    </row>
    <row r="347" spans="1:26" x14ac:dyDescent="0.25">
      <c r="A347">
        <v>100345</v>
      </c>
      <c r="B347" s="3">
        <v>45898</v>
      </c>
      <c r="C347" s="3">
        <v>45901</v>
      </c>
      <c r="D347" s="3">
        <v>45907</v>
      </c>
      <c r="E347" t="s">
        <v>1085</v>
      </c>
      <c r="F347" t="s">
        <v>65</v>
      </c>
      <c r="G347" t="s">
        <v>154</v>
      </c>
      <c r="H347" t="s">
        <v>1086</v>
      </c>
      <c r="I347" t="s">
        <v>139</v>
      </c>
      <c r="J347" t="s">
        <v>42</v>
      </c>
      <c r="K347" t="s">
        <v>988</v>
      </c>
      <c r="L347" t="s">
        <v>98</v>
      </c>
      <c r="M347" t="s">
        <v>32</v>
      </c>
      <c r="N347" t="s">
        <v>92</v>
      </c>
      <c r="O347" t="s">
        <v>93</v>
      </c>
      <c r="P347" t="s">
        <v>123</v>
      </c>
      <c r="Q347">
        <v>190</v>
      </c>
      <c r="R347">
        <v>359.52</v>
      </c>
      <c r="S347">
        <v>68308.800000000003</v>
      </c>
      <c r="T347">
        <v>15.31</v>
      </c>
      <c r="U347">
        <v>6</v>
      </c>
      <c r="V347">
        <v>9</v>
      </c>
      <c r="W347">
        <v>236</v>
      </c>
      <c r="X347" t="s">
        <v>188</v>
      </c>
      <c r="Y347" t="s">
        <v>36</v>
      </c>
      <c r="Z347">
        <v>8607.98</v>
      </c>
    </row>
    <row r="348" spans="1:26" x14ac:dyDescent="0.25">
      <c r="A348">
        <v>100346</v>
      </c>
      <c r="B348" s="3">
        <v>45435</v>
      </c>
      <c r="C348" s="3">
        <v>45440</v>
      </c>
      <c r="D348" s="3">
        <v>45456</v>
      </c>
      <c r="E348" t="s">
        <v>1087</v>
      </c>
      <c r="F348" t="s">
        <v>54</v>
      </c>
      <c r="G348" t="s">
        <v>158</v>
      </c>
      <c r="H348" t="s">
        <v>1088</v>
      </c>
      <c r="I348" t="s">
        <v>238</v>
      </c>
      <c r="J348" t="s">
        <v>62</v>
      </c>
      <c r="K348" t="s">
        <v>581</v>
      </c>
      <c r="L348" t="s">
        <v>187</v>
      </c>
      <c r="M348" t="s">
        <v>54</v>
      </c>
      <c r="N348" t="s">
        <v>74</v>
      </c>
      <c r="O348" t="s">
        <v>75</v>
      </c>
      <c r="P348" t="s">
        <v>76</v>
      </c>
      <c r="Q348">
        <v>404</v>
      </c>
      <c r="R348">
        <v>30.03</v>
      </c>
      <c r="S348">
        <v>12132.12</v>
      </c>
      <c r="T348">
        <v>11.39</v>
      </c>
      <c r="U348">
        <v>16</v>
      </c>
      <c r="V348">
        <v>21</v>
      </c>
      <c r="W348">
        <v>2351</v>
      </c>
      <c r="X348" t="s">
        <v>188</v>
      </c>
      <c r="Y348" t="s">
        <v>36</v>
      </c>
      <c r="Z348">
        <v>995.16</v>
      </c>
    </row>
    <row r="349" spans="1:26" x14ac:dyDescent="0.25">
      <c r="A349">
        <v>100347</v>
      </c>
      <c r="B349" s="3">
        <v>45639</v>
      </c>
      <c r="C349" s="3">
        <v>45639</v>
      </c>
      <c r="D349" s="3">
        <v>45647</v>
      </c>
      <c r="E349" t="s">
        <v>1089</v>
      </c>
      <c r="F349" t="s">
        <v>65</v>
      </c>
      <c r="G349" t="s">
        <v>154</v>
      </c>
      <c r="H349" t="s">
        <v>1090</v>
      </c>
      <c r="I349" t="s">
        <v>177</v>
      </c>
      <c r="J349" t="s">
        <v>29</v>
      </c>
      <c r="K349" t="s">
        <v>1091</v>
      </c>
      <c r="L349" t="s">
        <v>212</v>
      </c>
      <c r="M349" t="s">
        <v>32</v>
      </c>
      <c r="N349" t="s">
        <v>107</v>
      </c>
      <c r="O349" t="s">
        <v>108</v>
      </c>
      <c r="P349" t="s">
        <v>123</v>
      </c>
      <c r="Q349">
        <v>28</v>
      </c>
      <c r="R349">
        <v>23.86</v>
      </c>
      <c r="S349">
        <v>668.08</v>
      </c>
      <c r="T349">
        <v>11.37</v>
      </c>
      <c r="U349">
        <v>8</v>
      </c>
      <c r="V349">
        <v>8</v>
      </c>
      <c r="W349">
        <v>967</v>
      </c>
      <c r="X349" t="s">
        <v>188</v>
      </c>
      <c r="Y349" t="s">
        <v>36</v>
      </c>
      <c r="Z349">
        <v>98.77</v>
      </c>
    </row>
    <row r="350" spans="1:26" x14ac:dyDescent="0.25">
      <c r="A350">
        <v>100348</v>
      </c>
      <c r="B350" s="3">
        <v>45473</v>
      </c>
      <c r="C350" s="3">
        <v>45474</v>
      </c>
      <c r="D350" s="3">
        <v>45475</v>
      </c>
      <c r="E350" t="s">
        <v>1092</v>
      </c>
      <c r="F350" t="s">
        <v>38</v>
      </c>
      <c r="G350" t="s">
        <v>49</v>
      </c>
      <c r="H350" t="s">
        <v>1093</v>
      </c>
      <c r="I350" t="s">
        <v>207</v>
      </c>
      <c r="J350" t="s">
        <v>80</v>
      </c>
      <c r="K350" t="s">
        <v>1094</v>
      </c>
      <c r="L350" t="s">
        <v>122</v>
      </c>
      <c r="M350" t="s">
        <v>54</v>
      </c>
      <c r="N350" t="s">
        <v>74</v>
      </c>
      <c r="O350" t="s">
        <v>75</v>
      </c>
      <c r="P350" t="s">
        <v>68</v>
      </c>
      <c r="Q350">
        <v>293</v>
      </c>
      <c r="R350">
        <v>278.26</v>
      </c>
      <c r="S350">
        <v>81530.179999999993</v>
      </c>
      <c r="T350">
        <v>47.5</v>
      </c>
      <c r="U350">
        <v>1</v>
      </c>
      <c r="V350">
        <v>2</v>
      </c>
      <c r="W350">
        <v>827</v>
      </c>
      <c r="X350" t="s">
        <v>3741</v>
      </c>
      <c r="Y350" t="s">
        <v>36</v>
      </c>
      <c r="Z350">
        <v>12779.91</v>
      </c>
    </row>
    <row r="351" spans="1:26" x14ac:dyDescent="0.25">
      <c r="A351">
        <v>100349</v>
      </c>
      <c r="B351" s="3">
        <v>45652</v>
      </c>
      <c r="C351" s="3">
        <v>45657</v>
      </c>
      <c r="D351" s="3">
        <v>45659</v>
      </c>
      <c r="E351" t="s">
        <v>1095</v>
      </c>
      <c r="F351" t="s">
        <v>54</v>
      </c>
      <c r="G351" t="s">
        <v>225</v>
      </c>
      <c r="H351" t="s">
        <v>1096</v>
      </c>
      <c r="I351" t="s">
        <v>238</v>
      </c>
      <c r="J351" t="s">
        <v>62</v>
      </c>
      <c r="K351" t="s">
        <v>473</v>
      </c>
      <c r="L351" t="s">
        <v>91</v>
      </c>
      <c r="M351" t="s">
        <v>65</v>
      </c>
      <c r="N351" t="s">
        <v>203</v>
      </c>
      <c r="O351" t="s">
        <v>204</v>
      </c>
      <c r="P351" t="s">
        <v>68</v>
      </c>
      <c r="Q351">
        <v>477</v>
      </c>
      <c r="R351">
        <v>36.56</v>
      </c>
      <c r="S351">
        <v>17439.12</v>
      </c>
      <c r="T351">
        <v>59.42</v>
      </c>
      <c r="U351">
        <v>2</v>
      </c>
      <c r="V351">
        <v>7</v>
      </c>
      <c r="W351">
        <v>4731</v>
      </c>
      <c r="X351" t="s">
        <v>3741</v>
      </c>
      <c r="Y351" t="s">
        <v>36</v>
      </c>
      <c r="Z351">
        <v>1897.4</v>
      </c>
    </row>
    <row r="352" spans="1:26" x14ac:dyDescent="0.25">
      <c r="A352">
        <v>100350</v>
      </c>
      <c r="B352" s="3">
        <v>45715</v>
      </c>
      <c r="C352" s="3">
        <v>45715</v>
      </c>
      <c r="D352" s="3">
        <v>45722</v>
      </c>
      <c r="E352" t="s">
        <v>1097</v>
      </c>
      <c r="F352" t="s">
        <v>25</v>
      </c>
      <c r="G352" t="s">
        <v>221</v>
      </c>
      <c r="H352" t="s">
        <v>1098</v>
      </c>
      <c r="I352" t="s">
        <v>116</v>
      </c>
      <c r="J352" t="s">
        <v>62</v>
      </c>
      <c r="K352" t="s">
        <v>1099</v>
      </c>
      <c r="L352" t="s">
        <v>118</v>
      </c>
      <c r="M352" t="s">
        <v>32</v>
      </c>
      <c r="N352" t="s">
        <v>102</v>
      </c>
      <c r="O352" t="s">
        <v>103</v>
      </c>
      <c r="P352" t="s">
        <v>68</v>
      </c>
      <c r="Q352">
        <v>48</v>
      </c>
      <c r="R352">
        <v>33.409999999999997</v>
      </c>
      <c r="S352">
        <v>1603.68</v>
      </c>
      <c r="T352">
        <v>31.62</v>
      </c>
      <c r="U352">
        <v>7</v>
      </c>
      <c r="V352">
        <v>7</v>
      </c>
      <c r="W352">
        <v>4716</v>
      </c>
      <c r="X352" t="s">
        <v>3741</v>
      </c>
      <c r="Y352" t="s">
        <v>36</v>
      </c>
      <c r="Z352">
        <v>151.26</v>
      </c>
    </row>
    <row r="353" spans="1:26" x14ac:dyDescent="0.25">
      <c r="A353">
        <v>100351</v>
      </c>
      <c r="B353" s="3">
        <v>45860</v>
      </c>
      <c r="C353" s="3">
        <v>45865</v>
      </c>
      <c r="D353" s="3">
        <v>45873</v>
      </c>
      <c r="E353" t="s">
        <v>1100</v>
      </c>
      <c r="F353" t="s">
        <v>54</v>
      </c>
      <c r="G353" t="s">
        <v>193</v>
      </c>
      <c r="H353" t="s">
        <v>1101</v>
      </c>
      <c r="I353" t="s">
        <v>207</v>
      </c>
      <c r="J353" t="s">
        <v>80</v>
      </c>
      <c r="K353" t="s">
        <v>1102</v>
      </c>
      <c r="L353" t="s">
        <v>44</v>
      </c>
      <c r="M353" t="s">
        <v>54</v>
      </c>
      <c r="N353" t="s">
        <v>92</v>
      </c>
      <c r="O353" t="s">
        <v>93</v>
      </c>
      <c r="P353" t="s">
        <v>35</v>
      </c>
      <c r="Q353">
        <v>343</v>
      </c>
      <c r="R353">
        <v>300.33999999999997</v>
      </c>
      <c r="S353">
        <v>103016.62</v>
      </c>
      <c r="T353">
        <v>16.440000000000001</v>
      </c>
      <c r="U353">
        <v>8</v>
      </c>
      <c r="V353">
        <v>13</v>
      </c>
      <c r="W353">
        <v>1801</v>
      </c>
      <c r="X353" t="s">
        <v>188</v>
      </c>
      <c r="Y353" t="s">
        <v>36</v>
      </c>
      <c r="Z353">
        <v>19047.25</v>
      </c>
    </row>
    <row r="354" spans="1:26" x14ac:dyDescent="0.25">
      <c r="A354">
        <v>100352</v>
      </c>
      <c r="B354" s="3">
        <v>45327</v>
      </c>
      <c r="C354" s="3">
        <v>45331</v>
      </c>
      <c r="D354" s="3">
        <v>45344</v>
      </c>
      <c r="E354" t="s">
        <v>1103</v>
      </c>
      <c r="F354" t="s">
        <v>65</v>
      </c>
      <c r="G354" t="s">
        <v>70</v>
      </c>
      <c r="H354" t="s">
        <v>1104</v>
      </c>
      <c r="I354" t="s">
        <v>28</v>
      </c>
      <c r="J354" t="s">
        <v>29</v>
      </c>
      <c r="K354" t="s">
        <v>835</v>
      </c>
      <c r="L354" t="s">
        <v>91</v>
      </c>
      <c r="M354" t="s">
        <v>54</v>
      </c>
      <c r="N354" t="s">
        <v>33</v>
      </c>
      <c r="O354" t="s">
        <v>34</v>
      </c>
      <c r="P354" t="s">
        <v>76</v>
      </c>
      <c r="Q354">
        <v>426</v>
      </c>
      <c r="R354">
        <v>102.13</v>
      </c>
      <c r="S354">
        <v>43507.38</v>
      </c>
      <c r="T354">
        <v>15.78</v>
      </c>
      <c r="U354">
        <v>13</v>
      </c>
      <c r="V354">
        <v>17</v>
      </c>
      <c r="W354">
        <v>297</v>
      </c>
      <c r="X354" t="s">
        <v>188</v>
      </c>
      <c r="Y354" t="s">
        <v>36</v>
      </c>
      <c r="Z354">
        <v>4344.63</v>
      </c>
    </row>
    <row r="355" spans="1:26" x14ac:dyDescent="0.25">
      <c r="A355">
        <v>100353</v>
      </c>
      <c r="B355" s="3">
        <v>45990</v>
      </c>
      <c r="C355" s="3">
        <v>45994</v>
      </c>
      <c r="D355" s="3">
        <v>46001</v>
      </c>
      <c r="E355" t="s">
        <v>1105</v>
      </c>
      <c r="F355" t="s">
        <v>38</v>
      </c>
      <c r="G355" t="s">
        <v>39</v>
      </c>
      <c r="H355" t="s">
        <v>1106</v>
      </c>
      <c r="I355" t="s">
        <v>51</v>
      </c>
      <c r="J355" t="s">
        <v>52</v>
      </c>
      <c r="K355" t="s">
        <v>97</v>
      </c>
      <c r="L355" t="s">
        <v>118</v>
      </c>
      <c r="M355" t="s">
        <v>38</v>
      </c>
      <c r="N355" t="s">
        <v>203</v>
      </c>
      <c r="O355" t="s">
        <v>204</v>
      </c>
      <c r="P355" t="s">
        <v>123</v>
      </c>
      <c r="Q355">
        <v>488</v>
      </c>
      <c r="R355">
        <v>11.48</v>
      </c>
      <c r="S355">
        <v>5602.24</v>
      </c>
      <c r="T355">
        <v>16.7</v>
      </c>
      <c r="U355">
        <v>7</v>
      </c>
      <c r="V355">
        <v>11</v>
      </c>
      <c r="W355">
        <v>2643</v>
      </c>
      <c r="X355" t="s">
        <v>188</v>
      </c>
      <c r="Y355" t="s">
        <v>36</v>
      </c>
      <c r="Z355">
        <v>780.81</v>
      </c>
    </row>
    <row r="356" spans="1:26" x14ac:dyDescent="0.25">
      <c r="A356">
        <v>100354</v>
      </c>
      <c r="B356" s="3">
        <v>45818</v>
      </c>
      <c r="C356" s="3">
        <v>45821</v>
      </c>
      <c r="D356" s="3">
        <v>45823</v>
      </c>
      <c r="E356" t="s">
        <v>1107</v>
      </c>
      <c r="F356" t="s">
        <v>65</v>
      </c>
      <c r="G356" t="s">
        <v>142</v>
      </c>
      <c r="H356" t="s">
        <v>1108</v>
      </c>
      <c r="I356" t="s">
        <v>144</v>
      </c>
      <c r="J356" t="s">
        <v>52</v>
      </c>
      <c r="K356" t="s">
        <v>401</v>
      </c>
      <c r="L356" t="s">
        <v>44</v>
      </c>
      <c r="M356" t="s">
        <v>25</v>
      </c>
      <c r="N356" t="s">
        <v>45</v>
      </c>
      <c r="O356" t="s">
        <v>46</v>
      </c>
      <c r="P356" t="s">
        <v>35</v>
      </c>
      <c r="Q356">
        <v>270</v>
      </c>
      <c r="R356">
        <v>16.48</v>
      </c>
      <c r="S356">
        <v>4449.6000000000004</v>
      </c>
      <c r="T356">
        <v>20.13</v>
      </c>
      <c r="U356">
        <v>2</v>
      </c>
      <c r="V356">
        <v>5</v>
      </c>
      <c r="W356">
        <v>571</v>
      </c>
      <c r="X356" t="s">
        <v>3741</v>
      </c>
      <c r="Y356" t="s">
        <v>36</v>
      </c>
      <c r="Z356">
        <v>464.17</v>
      </c>
    </row>
    <row r="357" spans="1:26" x14ac:dyDescent="0.25">
      <c r="A357">
        <v>100355</v>
      </c>
      <c r="B357" s="3">
        <v>45536</v>
      </c>
      <c r="C357" s="3">
        <v>45538</v>
      </c>
      <c r="D357" s="3">
        <v>45539</v>
      </c>
      <c r="E357" t="s">
        <v>1109</v>
      </c>
      <c r="F357" t="s">
        <v>32</v>
      </c>
      <c r="G357" t="s">
        <v>255</v>
      </c>
      <c r="H357" t="s">
        <v>1110</v>
      </c>
      <c r="I357" t="s">
        <v>198</v>
      </c>
      <c r="J357" t="s">
        <v>52</v>
      </c>
      <c r="K357" t="s">
        <v>542</v>
      </c>
      <c r="L357" t="s">
        <v>212</v>
      </c>
      <c r="M357" t="s">
        <v>54</v>
      </c>
      <c r="N357" t="s">
        <v>74</v>
      </c>
      <c r="O357" t="s">
        <v>75</v>
      </c>
      <c r="P357" t="s">
        <v>68</v>
      </c>
      <c r="Q357">
        <v>480</v>
      </c>
      <c r="R357">
        <v>74.849999999999994</v>
      </c>
      <c r="S357">
        <v>35928</v>
      </c>
      <c r="T357">
        <v>59.62</v>
      </c>
      <c r="U357">
        <v>1</v>
      </c>
      <c r="V357">
        <v>3</v>
      </c>
      <c r="W357">
        <v>4180</v>
      </c>
      <c r="X357" t="s">
        <v>3741</v>
      </c>
      <c r="Y357" t="s">
        <v>36</v>
      </c>
      <c r="Z357">
        <v>5097.7299999999996</v>
      </c>
    </row>
    <row r="358" spans="1:26" x14ac:dyDescent="0.25">
      <c r="A358">
        <v>100356</v>
      </c>
      <c r="B358" s="3">
        <v>45617</v>
      </c>
      <c r="C358" s="3">
        <v>45617</v>
      </c>
      <c r="D358" s="3">
        <v>45626</v>
      </c>
      <c r="E358" t="s">
        <v>1111</v>
      </c>
      <c r="F358" t="s">
        <v>25</v>
      </c>
      <c r="G358" t="s">
        <v>172</v>
      </c>
      <c r="H358" t="s">
        <v>1112</v>
      </c>
      <c r="I358" t="s">
        <v>139</v>
      </c>
      <c r="J358" t="s">
        <v>42</v>
      </c>
      <c r="K358" t="s">
        <v>1113</v>
      </c>
      <c r="L358" t="s">
        <v>31</v>
      </c>
      <c r="M358" t="s">
        <v>38</v>
      </c>
      <c r="N358" t="s">
        <v>102</v>
      </c>
      <c r="O358" t="s">
        <v>103</v>
      </c>
      <c r="P358" t="s">
        <v>123</v>
      </c>
      <c r="Q358">
        <v>81</v>
      </c>
      <c r="R358">
        <v>97.04</v>
      </c>
      <c r="S358">
        <v>7860.24</v>
      </c>
      <c r="T358">
        <v>12.66</v>
      </c>
      <c r="U358">
        <v>9</v>
      </c>
      <c r="V358">
        <v>9</v>
      </c>
      <c r="W358">
        <v>1797</v>
      </c>
      <c r="X358" t="s">
        <v>3742</v>
      </c>
      <c r="Y358" t="s">
        <v>57</v>
      </c>
      <c r="Z358">
        <v>1529.21</v>
      </c>
    </row>
    <row r="359" spans="1:26" x14ac:dyDescent="0.25">
      <c r="A359">
        <v>100357</v>
      </c>
      <c r="B359" s="3">
        <v>45345</v>
      </c>
      <c r="C359" s="3">
        <v>45346</v>
      </c>
      <c r="D359" s="3">
        <v>45371</v>
      </c>
      <c r="E359" t="s">
        <v>1114</v>
      </c>
      <c r="F359" t="s">
        <v>54</v>
      </c>
      <c r="G359" t="s">
        <v>165</v>
      </c>
      <c r="H359" t="s">
        <v>1115</v>
      </c>
      <c r="I359" t="s">
        <v>182</v>
      </c>
      <c r="J359" t="s">
        <v>80</v>
      </c>
      <c r="K359" t="s">
        <v>1116</v>
      </c>
      <c r="L359" t="s">
        <v>212</v>
      </c>
      <c r="M359" t="s">
        <v>38</v>
      </c>
      <c r="N359" t="s">
        <v>66</v>
      </c>
      <c r="O359" t="s">
        <v>67</v>
      </c>
      <c r="P359" t="s">
        <v>76</v>
      </c>
      <c r="Q359">
        <v>392</v>
      </c>
      <c r="R359">
        <v>141.35</v>
      </c>
      <c r="S359">
        <v>55409.2</v>
      </c>
      <c r="T359">
        <v>15.16</v>
      </c>
      <c r="U359">
        <v>25</v>
      </c>
      <c r="V359">
        <v>26</v>
      </c>
      <c r="W359">
        <v>178</v>
      </c>
      <c r="X359" t="s">
        <v>188</v>
      </c>
      <c r="Y359" t="s">
        <v>36</v>
      </c>
      <c r="Z359">
        <v>12681.9</v>
      </c>
    </row>
    <row r="360" spans="1:26" x14ac:dyDescent="0.25">
      <c r="A360">
        <v>100358</v>
      </c>
      <c r="B360" s="3">
        <v>45964</v>
      </c>
      <c r="C360" s="3">
        <v>45966</v>
      </c>
      <c r="D360" s="3">
        <v>45970</v>
      </c>
      <c r="E360" t="s">
        <v>1117</v>
      </c>
      <c r="F360" t="s">
        <v>25</v>
      </c>
      <c r="G360" t="s">
        <v>233</v>
      </c>
      <c r="H360" t="s">
        <v>1118</v>
      </c>
      <c r="I360" t="s">
        <v>139</v>
      </c>
      <c r="J360" t="s">
        <v>42</v>
      </c>
      <c r="K360" t="s">
        <v>285</v>
      </c>
      <c r="L360" t="s">
        <v>91</v>
      </c>
      <c r="M360" t="s">
        <v>25</v>
      </c>
      <c r="N360" t="s">
        <v>33</v>
      </c>
      <c r="O360" t="s">
        <v>34</v>
      </c>
      <c r="P360" t="s">
        <v>68</v>
      </c>
      <c r="Q360">
        <v>118</v>
      </c>
      <c r="R360">
        <v>160.13</v>
      </c>
      <c r="S360">
        <v>18895.34</v>
      </c>
      <c r="T360">
        <v>26.78</v>
      </c>
      <c r="U360">
        <v>4</v>
      </c>
      <c r="V360">
        <v>6</v>
      </c>
      <c r="W360">
        <v>1752</v>
      </c>
      <c r="X360" t="s">
        <v>3741</v>
      </c>
      <c r="Y360" t="s">
        <v>36</v>
      </c>
      <c r="Z360">
        <v>3416.61</v>
      </c>
    </row>
    <row r="361" spans="1:26" x14ac:dyDescent="0.25">
      <c r="A361">
        <v>100359</v>
      </c>
      <c r="B361" s="3">
        <v>45944</v>
      </c>
      <c r="C361" s="3">
        <v>45948</v>
      </c>
      <c r="D361" s="3">
        <v>45969</v>
      </c>
      <c r="E361" t="s">
        <v>1119</v>
      </c>
      <c r="F361" t="s">
        <v>65</v>
      </c>
      <c r="G361" t="s">
        <v>154</v>
      </c>
      <c r="H361" t="s">
        <v>1120</v>
      </c>
      <c r="I361" t="s">
        <v>177</v>
      </c>
      <c r="J361" t="s">
        <v>29</v>
      </c>
      <c r="K361" t="s">
        <v>1121</v>
      </c>
      <c r="L361" t="s">
        <v>31</v>
      </c>
      <c r="M361" t="s">
        <v>38</v>
      </c>
      <c r="N361" t="s">
        <v>92</v>
      </c>
      <c r="O361" t="s">
        <v>93</v>
      </c>
      <c r="P361" t="s">
        <v>76</v>
      </c>
      <c r="Q361">
        <v>446</v>
      </c>
      <c r="R361">
        <v>97.62</v>
      </c>
      <c r="S361">
        <v>43538.52</v>
      </c>
      <c r="T361">
        <v>16.149999999999999</v>
      </c>
      <c r="U361">
        <v>21</v>
      </c>
      <c r="V361">
        <v>25</v>
      </c>
      <c r="W361">
        <v>1216</v>
      </c>
      <c r="X361" t="s">
        <v>188</v>
      </c>
      <c r="Y361" t="s">
        <v>36</v>
      </c>
      <c r="Z361">
        <v>12727.4</v>
      </c>
    </row>
    <row r="362" spans="1:26" x14ac:dyDescent="0.25">
      <c r="A362">
        <v>100360</v>
      </c>
      <c r="B362" s="3">
        <v>45317</v>
      </c>
      <c r="C362" s="3">
        <v>45319</v>
      </c>
      <c r="D362" s="3">
        <v>45324</v>
      </c>
      <c r="E362" t="s">
        <v>1122</v>
      </c>
      <c r="F362" t="s">
        <v>54</v>
      </c>
      <c r="G362" t="s">
        <v>158</v>
      </c>
      <c r="H362" t="s">
        <v>1123</v>
      </c>
      <c r="I362" t="s">
        <v>182</v>
      </c>
      <c r="J362" t="s">
        <v>80</v>
      </c>
      <c r="K362" t="s">
        <v>1124</v>
      </c>
      <c r="L362" t="s">
        <v>64</v>
      </c>
      <c r="M362" t="s">
        <v>25</v>
      </c>
      <c r="N362" t="s">
        <v>107</v>
      </c>
      <c r="O362" t="s">
        <v>108</v>
      </c>
      <c r="P362" t="s">
        <v>68</v>
      </c>
      <c r="Q362">
        <v>444</v>
      </c>
      <c r="R362">
        <v>221.53</v>
      </c>
      <c r="S362">
        <v>98359.32</v>
      </c>
      <c r="T362">
        <v>57.28</v>
      </c>
      <c r="U362">
        <v>5</v>
      </c>
      <c r="V362">
        <v>7</v>
      </c>
      <c r="W362">
        <v>1852</v>
      </c>
      <c r="X362" t="s">
        <v>3741</v>
      </c>
      <c r="Y362" t="s">
        <v>36</v>
      </c>
      <c r="Z362">
        <v>12400.19</v>
      </c>
    </row>
    <row r="363" spans="1:26" x14ac:dyDescent="0.25">
      <c r="A363">
        <v>100361</v>
      </c>
      <c r="B363" s="3">
        <v>45739</v>
      </c>
      <c r="C363" s="3">
        <v>45744</v>
      </c>
      <c r="D363" s="3">
        <v>45749</v>
      </c>
      <c r="E363" t="s">
        <v>1125</v>
      </c>
      <c r="F363" t="s">
        <v>25</v>
      </c>
      <c r="G363" t="s">
        <v>172</v>
      </c>
      <c r="H363" t="s">
        <v>1126</v>
      </c>
      <c r="I363" t="s">
        <v>246</v>
      </c>
      <c r="J363" t="s">
        <v>29</v>
      </c>
      <c r="K363" t="s">
        <v>1127</v>
      </c>
      <c r="L363" t="s">
        <v>122</v>
      </c>
      <c r="M363" t="s">
        <v>32</v>
      </c>
      <c r="N363" t="s">
        <v>102</v>
      </c>
      <c r="O363" t="s">
        <v>103</v>
      </c>
      <c r="P363" t="s">
        <v>35</v>
      </c>
      <c r="Q363">
        <v>364</v>
      </c>
      <c r="R363">
        <v>99.09</v>
      </c>
      <c r="S363">
        <v>36068.76</v>
      </c>
      <c r="T363">
        <v>22.79</v>
      </c>
      <c r="U363">
        <v>5</v>
      </c>
      <c r="V363">
        <v>10</v>
      </c>
      <c r="W363">
        <v>1616</v>
      </c>
      <c r="X363" t="s">
        <v>188</v>
      </c>
      <c r="Y363" t="s">
        <v>36</v>
      </c>
      <c r="Z363">
        <v>4122.51</v>
      </c>
    </row>
    <row r="364" spans="1:26" x14ac:dyDescent="0.25">
      <c r="A364">
        <v>100362</v>
      </c>
      <c r="B364" s="3">
        <v>45615</v>
      </c>
      <c r="C364" s="3">
        <v>45615</v>
      </c>
      <c r="D364" s="3">
        <v>45636</v>
      </c>
      <c r="E364" t="s">
        <v>1128</v>
      </c>
      <c r="F364" t="s">
        <v>38</v>
      </c>
      <c r="G364" t="s">
        <v>49</v>
      </c>
      <c r="H364" t="s">
        <v>1129</v>
      </c>
      <c r="I364" t="s">
        <v>368</v>
      </c>
      <c r="J364" t="s">
        <v>29</v>
      </c>
      <c r="K364" t="s">
        <v>1130</v>
      </c>
      <c r="L364" t="s">
        <v>91</v>
      </c>
      <c r="M364" t="s">
        <v>54</v>
      </c>
      <c r="N364" t="s">
        <v>45</v>
      </c>
      <c r="O364" t="s">
        <v>46</v>
      </c>
      <c r="P364" t="s">
        <v>76</v>
      </c>
      <c r="Q364">
        <v>430</v>
      </c>
      <c r="R364">
        <v>12.3</v>
      </c>
      <c r="S364">
        <v>5289</v>
      </c>
      <c r="T364">
        <v>15.86</v>
      </c>
      <c r="U364">
        <v>21</v>
      </c>
      <c r="V364">
        <v>21</v>
      </c>
      <c r="W364">
        <v>749</v>
      </c>
      <c r="X364" t="s">
        <v>188</v>
      </c>
      <c r="Y364" t="s">
        <v>36</v>
      </c>
      <c r="Z364">
        <v>1394.4</v>
      </c>
    </row>
    <row r="365" spans="1:26" x14ac:dyDescent="0.25">
      <c r="A365">
        <v>100363</v>
      </c>
      <c r="B365" s="3">
        <v>45407</v>
      </c>
      <c r="C365" s="3">
        <v>45412</v>
      </c>
      <c r="D365" s="3">
        <v>45419</v>
      </c>
      <c r="E365" t="s">
        <v>1131</v>
      </c>
      <c r="F365" t="s">
        <v>32</v>
      </c>
      <c r="G365" t="s">
        <v>273</v>
      </c>
      <c r="H365" t="s">
        <v>1132</v>
      </c>
      <c r="I365" t="s">
        <v>182</v>
      </c>
      <c r="J365" t="s">
        <v>80</v>
      </c>
      <c r="K365" t="s">
        <v>1037</v>
      </c>
      <c r="L365" t="s">
        <v>187</v>
      </c>
      <c r="M365" t="s">
        <v>38</v>
      </c>
      <c r="N365" t="s">
        <v>45</v>
      </c>
      <c r="O365" t="s">
        <v>46</v>
      </c>
      <c r="P365" t="s">
        <v>123</v>
      </c>
      <c r="Q365">
        <v>131</v>
      </c>
      <c r="R365">
        <v>167.81</v>
      </c>
      <c r="S365">
        <v>21983.11</v>
      </c>
      <c r="T365">
        <v>13.88</v>
      </c>
      <c r="U365">
        <v>7</v>
      </c>
      <c r="V365">
        <v>12</v>
      </c>
      <c r="W365">
        <v>1511</v>
      </c>
      <c r="X365" t="s">
        <v>188</v>
      </c>
      <c r="Y365" t="s">
        <v>36</v>
      </c>
      <c r="Z365">
        <v>3742.53</v>
      </c>
    </row>
    <row r="366" spans="1:26" x14ac:dyDescent="0.25">
      <c r="A366">
        <v>100364</v>
      </c>
      <c r="B366" s="3">
        <v>45604</v>
      </c>
      <c r="C366" s="3">
        <v>45605</v>
      </c>
      <c r="D366" s="3">
        <v>45621</v>
      </c>
      <c r="E366" t="s">
        <v>1133</v>
      </c>
      <c r="F366" t="s">
        <v>38</v>
      </c>
      <c r="G366" t="s">
        <v>39</v>
      </c>
      <c r="H366" t="s">
        <v>1134</v>
      </c>
      <c r="I366" t="s">
        <v>416</v>
      </c>
      <c r="J366" t="s">
        <v>80</v>
      </c>
      <c r="K366" t="s">
        <v>1135</v>
      </c>
      <c r="L366" t="s">
        <v>31</v>
      </c>
      <c r="M366" t="s">
        <v>32</v>
      </c>
      <c r="N366" t="s">
        <v>107</v>
      </c>
      <c r="O366" t="s">
        <v>108</v>
      </c>
      <c r="P366" t="s">
        <v>123</v>
      </c>
      <c r="Q366">
        <v>343</v>
      </c>
      <c r="R366">
        <v>58.94</v>
      </c>
      <c r="S366">
        <v>20216.419999999998</v>
      </c>
      <c r="T366">
        <v>19.03</v>
      </c>
      <c r="U366">
        <v>16</v>
      </c>
      <c r="V366">
        <v>17</v>
      </c>
      <c r="W366">
        <v>397</v>
      </c>
      <c r="X366" t="s">
        <v>3742</v>
      </c>
      <c r="Y366" t="s">
        <v>188</v>
      </c>
      <c r="Z366">
        <v>3868.15</v>
      </c>
    </row>
    <row r="367" spans="1:26" x14ac:dyDescent="0.25">
      <c r="A367">
        <v>100365</v>
      </c>
      <c r="B367" s="3">
        <v>45384</v>
      </c>
      <c r="C367" s="3">
        <v>45388</v>
      </c>
      <c r="D367" s="3">
        <v>45397</v>
      </c>
      <c r="E367" t="s">
        <v>1136</v>
      </c>
      <c r="F367" t="s">
        <v>38</v>
      </c>
      <c r="G367" t="s">
        <v>217</v>
      </c>
      <c r="H367" t="s">
        <v>1137</v>
      </c>
      <c r="I367" t="s">
        <v>85</v>
      </c>
      <c r="J367" t="s">
        <v>52</v>
      </c>
      <c r="K367" t="s">
        <v>1138</v>
      </c>
      <c r="L367" t="s">
        <v>64</v>
      </c>
      <c r="M367" t="s">
        <v>65</v>
      </c>
      <c r="N367" t="s">
        <v>45</v>
      </c>
      <c r="O367" t="s">
        <v>46</v>
      </c>
      <c r="P367" t="s">
        <v>35</v>
      </c>
      <c r="Q367">
        <v>255</v>
      </c>
      <c r="R367">
        <v>61.16</v>
      </c>
      <c r="S367">
        <v>15595.8</v>
      </c>
      <c r="T367">
        <v>19.7</v>
      </c>
      <c r="U367">
        <v>9</v>
      </c>
      <c r="V367">
        <v>13</v>
      </c>
      <c r="W367">
        <v>3358</v>
      </c>
      <c r="X367" t="s">
        <v>188</v>
      </c>
      <c r="Y367" t="s">
        <v>36</v>
      </c>
      <c r="Z367">
        <v>1346.43</v>
      </c>
    </row>
    <row r="368" spans="1:26" x14ac:dyDescent="0.25">
      <c r="A368">
        <v>100366</v>
      </c>
      <c r="B368" s="3">
        <v>45621</v>
      </c>
      <c r="C368" s="3">
        <v>45622</v>
      </c>
      <c r="D368" s="3">
        <v>45634</v>
      </c>
      <c r="E368" t="s">
        <v>1139</v>
      </c>
      <c r="F368" t="s">
        <v>25</v>
      </c>
      <c r="G368" t="s">
        <v>169</v>
      </c>
      <c r="H368" t="s">
        <v>1140</v>
      </c>
      <c r="I368" t="s">
        <v>79</v>
      </c>
      <c r="J368" t="s">
        <v>80</v>
      </c>
      <c r="K368" t="s">
        <v>300</v>
      </c>
      <c r="L368" t="s">
        <v>64</v>
      </c>
      <c r="M368" t="s">
        <v>38</v>
      </c>
      <c r="N368" t="s">
        <v>203</v>
      </c>
      <c r="O368" t="s">
        <v>204</v>
      </c>
      <c r="P368" t="s">
        <v>123</v>
      </c>
      <c r="Q368">
        <v>10</v>
      </c>
      <c r="R368">
        <v>90.39</v>
      </c>
      <c r="S368">
        <v>903.9</v>
      </c>
      <c r="T368">
        <v>10.94</v>
      </c>
      <c r="U368">
        <v>12</v>
      </c>
      <c r="V368">
        <v>13</v>
      </c>
      <c r="W368">
        <v>1261</v>
      </c>
      <c r="X368" t="s">
        <v>188</v>
      </c>
      <c r="Y368" t="s">
        <v>36</v>
      </c>
      <c r="Z368">
        <v>75.3</v>
      </c>
    </row>
    <row r="369" spans="1:26" x14ac:dyDescent="0.25">
      <c r="A369">
        <v>100367</v>
      </c>
      <c r="B369" s="3">
        <v>45769</v>
      </c>
      <c r="C369" s="3">
        <v>45770</v>
      </c>
      <c r="D369" s="3">
        <v>45788</v>
      </c>
      <c r="E369" t="s">
        <v>1141</v>
      </c>
      <c r="F369" t="s">
        <v>38</v>
      </c>
      <c r="G369" t="s">
        <v>217</v>
      </c>
      <c r="H369" t="s">
        <v>1142</v>
      </c>
      <c r="I369" t="s">
        <v>278</v>
      </c>
      <c r="J369" t="s">
        <v>29</v>
      </c>
      <c r="K369" t="s">
        <v>1143</v>
      </c>
      <c r="L369" t="s">
        <v>113</v>
      </c>
      <c r="M369" t="s">
        <v>38</v>
      </c>
      <c r="N369" t="s">
        <v>66</v>
      </c>
      <c r="O369" t="s">
        <v>67</v>
      </c>
      <c r="P369" t="s">
        <v>123</v>
      </c>
      <c r="Q369">
        <v>443</v>
      </c>
      <c r="R369">
        <v>68.3</v>
      </c>
      <c r="S369">
        <v>30256.9</v>
      </c>
      <c r="T369">
        <v>15.89</v>
      </c>
      <c r="U369">
        <v>18</v>
      </c>
      <c r="V369">
        <v>19</v>
      </c>
      <c r="W369">
        <v>1984</v>
      </c>
      <c r="X369" t="s">
        <v>3742</v>
      </c>
      <c r="Y369" t="s">
        <v>188</v>
      </c>
      <c r="Z369">
        <v>8504.57</v>
      </c>
    </row>
    <row r="370" spans="1:26" x14ac:dyDescent="0.25">
      <c r="A370">
        <v>100368</v>
      </c>
      <c r="B370" s="3">
        <v>45799</v>
      </c>
      <c r="C370" s="3">
        <v>45803</v>
      </c>
      <c r="D370" s="3">
        <v>45806</v>
      </c>
      <c r="E370" t="s">
        <v>1144</v>
      </c>
      <c r="F370" t="s">
        <v>38</v>
      </c>
      <c r="G370" t="s">
        <v>147</v>
      </c>
      <c r="H370" t="s">
        <v>1145</v>
      </c>
      <c r="I370" t="s">
        <v>126</v>
      </c>
      <c r="J370" t="s">
        <v>42</v>
      </c>
      <c r="K370" t="s">
        <v>578</v>
      </c>
      <c r="L370" t="s">
        <v>64</v>
      </c>
      <c r="M370" t="s">
        <v>25</v>
      </c>
      <c r="N370" t="s">
        <v>45</v>
      </c>
      <c r="O370" t="s">
        <v>46</v>
      </c>
      <c r="P370" t="s">
        <v>68</v>
      </c>
      <c r="Q370">
        <v>26</v>
      </c>
      <c r="R370">
        <v>264.23</v>
      </c>
      <c r="S370">
        <v>6869.98</v>
      </c>
      <c r="T370">
        <v>30.2</v>
      </c>
      <c r="U370">
        <v>3</v>
      </c>
      <c r="V370">
        <v>7</v>
      </c>
      <c r="W370">
        <v>991</v>
      </c>
      <c r="X370" t="s">
        <v>3741</v>
      </c>
      <c r="Y370" t="s">
        <v>36</v>
      </c>
      <c r="Z370">
        <v>1316.19</v>
      </c>
    </row>
    <row r="371" spans="1:26" x14ac:dyDescent="0.25">
      <c r="A371">
        <v>100369</v>
      </c>
      <c r="B371" s="3">
        <v>45494</v>
      </c>
      <c r="C371" s="3">
        <v>45495</v>
      </c>
      <c r="D371" s="3">
        <v>45499</v>
      </c>
      <c r="E371" t="s">
        <v>1146</v>
      </c>
      <c r="F371" t="s">
        <v>25</v>
      </c>
      <c r="G371" t="s">
        <v>244</v>
      </c>
      <c r="H371" t="s">
        <v>1147</v>
      </c>
      <c r="I371" t="s">
        <v>28</v>
      </c>
      <c r="J371" t="s">
        <v>29</v>
      </c>
      <c r="K371" t="s">
        <v>63</v>
      </c>
      <c r="L371" t="s">
        <v>118</v>
      </c>
      <c r="M371" t="s">
        <v>54</v>
      </c>
      <c r="N371" t="s">
        <v>203</v>
      </c>
      <c r="O371" t="s">
        <v>204</v>
      </c>
      <c r="P371" t="s">
        <v>68</v>
      </c>
      <c r="Q371">
        <v>262</v>
      </c>
      <c r="R371">
        <v>23.68</v>
      </c>
      <c r="S371">
        <v>6204.16</v>
      </c>
      <c r="T371">
        <v>45.49</v>
      </c>
      <c r="U371">
        <v>4</v>
      </c>
      <c r="V371">
        <v>5</v>
      </c>
      <c r="W371">
        <v>591</v>
      </c>
      <c r="X371" t="s">
        <v>3741</v>
      </c>
      <c r="Y371" t="s">
        <v>36</v>
      </c>
      <c r="Z371">
        <v>1063.98</v>
      </c>
    </row>
    <row r="372" spans="1:26" x14ac:dyDescent="0.25">
      <c r="A372">
        <v>100370</v>
      </c>
      <c r="B372" s="3">
        <v>45955</v>
      </c>
      <c r="C372" s="3">
        <v>45960</v>
      </c>
      <c r="D372" s="3">
        <v>45972</v>
      </c>
      <c r="E372" t="s">
        <v>1148</v>
      </c>
      <c r="F372" t="s">
        <v>38</v>
      </c>
      <c r="G372" t="s">
        <v>39</v>
      </c>
      <c r="H372" t="s">
        <v>1149</v>
      </c>
      <c r="I372" t="s">
        <v>230</v>
      </c>
      <c r="J372" t="s">
        <v>80</v>
      </c>
      <c r="K372" t="s">
        <v>1150</v>
      </c>
      <c r="L372" t="s">
        <v>113</v>
      </c>
      <c r="M372" t="s">
        <v>38</v>
      </c>
      <c r="N372" t="s">
        <v>66</v>
      </c>
      <c r="O372" t="s">
        <v>67</v>
      </c>
      <c r="P372" t="s">
        <v>76</v>
      </c>
      <c r="Q372">
        <v>467</v>
      </c>
      <c r="R372">
        <v>291</v>
      </c>
      <c r="S372">
        <v>135897</v>
      </c>
      <c r="T372">
        <v>12.24</v>
      </c>
      <c r="U372">
        <v>12</v>
      </c>
      <c r="V372">
        <v>17</v>
      </c>
      <c r="W372">
        <v>911</v>
      </c>
      <c r="X372" t="s">
        <v>3742</v>
      </c>
      <c r="Y372" t="s">
        <v>47</v>
      </c>
      <c r="Z372">
        <v>-205.45</v>
      </c>
    </row>
    <row r="373" spans="1:26" x14ac:dyDescent="0.25">
      <c r="A373">
        <v>100371</v>
      </c>
      <c r="B373" s="3">
        <v>45452</v>
      </c>
      <c r="C373" s="3">
        <v>45454</v>
      </c>
      <c r="D373" s="3">
        <v>45477</v>
      </c>
      <c r="E373" t="s">
        <v>1151</v>
      </c>
      <c r="F373" t="s">
        <v>54</v>
      </c>
      <c r="G373" t="s">
        <v>165</v>
      </c>
      <c r="H373" t="s">
        <v>1152</v>
      </c>
      <c r="I373" t="s">
        <v>191</v>
      </c>
      <c r="J373" t="s">
        <v>62</v>
      </c>
      <c r="K373" t="s">
        <v>1153</v>
      </c>
      <c r="L373" t="s">
        <v>64</v>
      </c>
      <c r="M373" t="s">
        <v>54</v>
      </c>
      <c r="N373" t="s">
        <v>55</v>
      </c>
      <c r="O373" t="s">
        <v>56</v>
      </c>
      <c r="P373" t="s">
        <v>76</v>
      </c>
      <c r="Q373">
        <v>181</v>
      </c>
      <c r="R373">
        <v>7.46</v>
      </c>
      <c r="S373">
        <v>1350.26</v>
      </c>
      <c r="T373">
        <v>8.3800000000000008</v>
      </c>
      <c r="U373">
        <v>23</v>
      </c>
      <c r="V373">
        <v>25</v>
      </c>
      <c r="W373">
        <v>2606</v>
      </c>
      <c r="X373" t="s">
        <v>188</v>
      </c>
      <c r="Y373" t="s">
        <v>36</v>
      </c>
      <c r="Z373">
        <v>191.16</v>
      </c>
    </row>
    <row r="374" spans="1:26" x14ac:dyDescent="0.25">
      <c r="A374">
        <v>100372</v>
      </c>
      <c r="B374" s="3">
        <v>45655</v>
      </c>
      <c r="C374" s="3">
        <v>45657</v>
      </c>
      <c r="D374" s="3">
        <v>45662</v>
      </c>
      <c r="E374" t="s">
        <v>1154</v>
      </c>
      <c r="F374" t="s">
        <v>65</v>
      </c>
      <c r="G374" t="s">
        <v>70</v>
      </c>
      <c r="H374" t="s">
        <v>1155</v>
      </c>
      <c r="I374" t="s">
        <v>230</v>
      </c>
      <c r="J374" t="s">
        <v>80</v>
      </c>
      <c r="K374" t="s">
        <v>156</v>
      </c>
      <c r="L374" t="s">
        <v>31</v>
      </c>
      <c r="M374" t="s">
        <v>54</v>
      </c>
      <c r="N374" t="s">
        <v>102</v>
      </c>
      <c r="O374" t="s">
        <v>103</v>
      </c>
      <c r="P374" t="s">
        <v>35</v>
      </c>
      <c r="Q374">
        <v>392</v>
      </c>
      <c r="R374">
        <v>235.75</v>
      </c>
      <c r="S374">
        <v>92414</v>
      </c>
      <c r="T374">
        <v>23.59</v>
      </c>
      <c r="U374">
        <v>5</v>
      </c>
      <c r="V374">
        <v>7</v>
      </c>
      <c r="W374">
        <v>1640</v>
      </c>
      <c r="X374" t="s">
        <v>3741</v>
      </c>
      <c r="Y374" t="s">
        <v>36</v>
      </c>
      <c r="Z374">
        <v>13500.33</v>
      </c>
    </row>
    <row r="375" spans="1:26" x14ac:dyDescent="0.25">
      <c r="A375">
        <v>100373</v>
      </c>
      <c r="B375" s="3">
        <v>45470</v>
      </c>
      <c r="C375" s="3">
        <v>45470</v>
      </c>
      <c r="D375" s="3">
        <v>45489</v>
      </c>
      <c r="E375" t="s">
        <v>1156</v>
      </c>
      <c r="F375" t="s">
        <v>54</v>
      </c>
      <c r="G375" t="s">
        <v>129</v>
      </c>
      <c r="H375" t="s">
        <v>1157</v>
      </c>
      <c r="I375" t="s">
        <v>182</v>
      </c>
      <c r="J375" t="s">
        <v>80</v>
      </c>
      <c r="K375" t="s">
        <v>1158</v>
      </c>
      <c r="L375" t="s">
        <v>113</v>
      </c>
      <c r="M375" t="s">
        <v>32</v>
      </c>
      <c r="N375" t="s">
        <v>33</v>
      </c>
      <c r="O375" t="s">
        <v>34</v>
      </c>
      <c r="P375" t="s">
        <v>123</v>
      </c>
      <c r="Q375">
        <v>51</v>
      </c>
      <c r="R375">
        <v>127.84</v>
      </c>
      <c r="S375">
        <v>6519.84</v>
      </c>
      <c r="T375">
        <v>11.93</v>
      </c>
      <c r="U375">
        <v>19</v>
      </c>
      <c r="V375">
        <v>19</v>
      </c>
      <c r="W375">
        <v>1403</v>
      </c>
      <c r="X375" t="s">
        <v>3742</v>
      </c>
      <c r="Y375" t="s">
        <v>188</v>
      </c>
      <c r="Z375">
        <v>1160.4000000000001</v>
      </c>
    </row>
    <row r="376" spans="1:26" x14ac:dyDescent="0.25">
      <c r="A376">
        <v>100374</v>
      </c>
      <c r="B376" s="3">
        <v>45414</v>
      </c>
      <c r="C376" s="3">
        <v>45416</v>
      </c>
      <c r="D376" s="3">
        <v>45420</v>
      </c>
      <c r="E376" t="s">
        <v>1159</v>
      </c>
      <c r="F376" t="s">
        <v>32</v>
      </c>
      <c r="G376" t="s">
        <v>95</v>
      </c>
      <c r="H376" t="s">
        <v>1160</v>
      </c>
      <c r="I376" t="s">
        <v>139</v>
      </c>
      <c r="J376" t="s">
        <v>42</v>
      </c>
      <c r="K376" t="s">
        <v>1161</v>
      </c>
      <c r="L376" t="s">
        <v>31</v>
      </c>
      <c r="M376" t="s">
        <v>38</v>
      </c>
      <c r="N376" t="s">
        <v>107</v>
      </c>
      <c r="O376" t="s">
        <v>108</v>
      </c>
      <c r="P376" t="s">
        <v>35</v>
      </c>
      <c r="Q376">
        <v>15</v>
      </c>
      <c r="R376">
        <v>210.19</v>
      </c>
      <c r="S376">
        <v>3152.85</v>
      </c>
      <c r="T376">
        <v>12.9</v>
      </c>
      <c r="U376">
        <v>4</v>
      </c>
      <c r="V376">
        <v>6</v>
      </c>
      <c r="W376">
        <v>1367</v>
      </c>
      <c r="X376" t="s">
        <v>3741</v>
      </c>
      <c r="Y376" t="s">
        <v>36</v>
      </c>
      <c r="Z376">
        <v>408.29</v>
      </c>
    </row>
    <row r="377" spans="1:26" x14ac:dyDescent="0.25">
      <c r="A377">
        <v>100375</v>
      </c>
      <c r="B377" s="3">
        <v>45631</v>
      </c>
      <c r="C377" s="3">
        <v>45634</v>
      </c>
      <c r="D377" s="3">
        <v>45652</v>
      </c>
      <c r="E377" t="s">
        <v>1162</v>
      </c>
      <c r="F377" t="s">
        <v>54</v>
      </c>
      <c r="G377" t="s">
        <v>225</v>
      </c>
      <c r="H377" t="s">
        <v>1163</v>
      </c>
      <c r="I377" t="s">
        <v>79</v>
      </c>
      <c r="J377" t="s">
        <v>80</v>
      </c>
      <c r="K377" t="s">
        <v>685</v>
      </c>
      <c r="L377" t="s">
        <v>118</v>
      </c>
      <c r="M377" t="s">
        <v>25</v>
      </c>
      <c r="N377" t="s">
        <v>55</v>
      </c>
      <c r="O377" t="s">
        <v>56</v>
      </c>
      <c r="P377" t="s">
        <v>76</v>
      </c>
      <c r="Q377">
        <v>204</v>
      </c>
      <c r="R377">
        <v>312.19</v>
      </c>
      <c r="S377">
        <v>63686.76</v>
      </c>
      <c r="T377">
        <v>11.74</v>
      </c>
      <c r="U377">
        <v>18</v>
      </c>
      <c r="V377">
        <v>21</v>
      </c>
      <c r="W377">
        <v>1066</v>
      </c>
      <c r="X377" t="s">
        <v>3742</v>
      </c>
      <c r="Y377" t="s">
        <v>188</v>
      </c>
      <c r="Z377">
        <v>15556.48</v>
      </c>
    </row>
    <row r="378" spans="1:26" x14ac:dyDescent="0.25">
      <c r="A378">
        <v>100376</v>
      </c>
      <c r="B378" s="3">
        <v>45699</v>
      </c>
      <c r="C378" s="3">
        <v>45699</v>
      </c>
      <c r="D378" s="3">
        <v>45705</v>
      </c>
      <c r="E378" t="s">
        <v>1164</v>
      </c>
      <c r="F378" t="s">
        <v>65</v>
      </c>
      <c r="G378" t="s">
        <v>142</v>
      </c>
      <c r="H378" t="s">
        <v>1165</v>
      </c>
      <c r="I378" t="s">
        <v>368</v>
      </c>
      <c r="J378" t="s">
        <v>29</v>
      </c>
      <c r="K378" t="s">
        <v>1166</v>
      </c>
      <c r="L378" t="s">
        <v>187</v>
      </c>
      <c r="M378" t="s">
        <v>54</v>
      </c>
      <c r="N378" t="s">
        <v>102</v>
      </c>
      <c r="O378" t="s">
        <v>103</v>
      </c>
      <c r="P378" t="s">
        <v>35</v>
      </c>
      <c r="Q378">
        <v>119</v>
      </c>
      <c r="R378">
        <v>59.97</v>
      </c>
      <c r="S378">
        <v>7136.43</v>
      </c>
      <c r="T378">
        <v>15.85</v>
      </c>
      <c r="U378">
        <v>6</v>
      </c>
      <c r="V378">
        <v>6</v>
      </c>
      <c r="W378">
        <v>455</v>
      </c>
      <c r="X378" t="s">
        <v>3741</v>
      </c>
      <c r="Y378" t="s">
        <v>36</v>
      </c>
      <c r="Z378">
        <v>873.75</v>
      </c>
    </row>
    <row r="379" spans="1:26" x14ac:dyDescent="0.25">
      <c r="A379">
        <v>100377</v>
      </c>
      <c r="B379" s="3">
        <v>45711</v>
      </c>
      <c r="C379" s="3">
        <v>45711</v>
      </c>
      <c r="D379" s="3">
        <v>45727</v>
      </c>
      <c r="E379" t="s">
        <v>1167</v>
      </c>
      <c r="F379" t="s">
        <v>54</v>
      </c>
      <c r="G379" t="s">
        <v>158</v>
      </c>
      <c r="H379" t="s">
        <v>1168</v>
      </c>
      <c r="I379" t="s">
        <v>238</v>
      </c>
      <c r="J379" t="s">
        <v>62</v>
      </c>
      <c r="K379" t="s">
        <v>1169</v>
      </c>
      <c r="L379" t="s">
        <v>187</v>
      </c>
      <c r="M379" t="s">
        <v>54</v>
      </c>
      <c r="N379" t="s">
        <v>107</v>
      </c>
      <c r="O379" t="s">
        <v>108</v>
      </c>
      <c r="P379" t="s">
        <v>76</v>
      </c>
      <c r="Q379">
        <v>52</v>
      </c>
      <c r="R379">
        <v>29.96</v>
      </c>
      <c r="S379">
        <v>1557.92</v>
      </c>
      <c r="T379">
        <v>6.64</v>
      </c>
      <c r="U379">
        <v>16</v>
      </c>
      <c r="V379">
        <v>16</v>
      </c>
      <c r="W379">
        <v>3005</v>
      </c>
      <c r="X379" t="s">
        <v>188</v>
      </c>
      <c r="Y379" t="s">
        <v>36</v>
      </c>
      <c r="Z379">
        <v>82.48</v>
      </c>
    </row>
    <row r="380" spans="1:26" x14ac:dyDescent="0.25">
      <c r="A380">
        <v>100378</v>
      </c>
      <c r="B380" s="3">
        <v>45963</v>
      </c>
      <c r="C380" s="3">
        <v>45963</v>
      </c>
      <c r="D380" s="3">
        <v>45967</v>
      </c>
      <c r="E380" t="s">
        <v>1170</v>
      </c>
      <c r="F380" t="s">
        <v>25</v>
      </c>
      <c r="G380" t="s">
        <v>233</v>
      </c>
      <c r="H380" t="s">
        <v>1171</v>
      </c>
      <c r="I380" t="s">
        <v>126</v>
      </c>
      <c r="J380" t="s">
        <v>42</v>
      </c>
      <c r="K380" t="s">
        <v>275</v>
      </c>
      <c r="L380" t="s">
        <v>31</v>
      </c>
      <c r="M380" t="s">
        <v>38</v>
      </c>
      <c r="N380" t="s">
        <v>74</v>
      </c>
      <c r="O380" t="s">
        <v>75</v>
      </c>
      <c r="P380" t="s">
        <v>68</v>
      </c>
      <c r="Q380">
        <v>491</v>
      </c>
      <c r="R380">
        <v>76.16</v>
      </c>
      <c r="S380">
        <v>37394.559999999998</v>
      </c>
      <c r="T380">
        <v>60.33</v>
      </c>
      <c r="U380">
        <v>4</v>
      </c>
      <c r="V380">
        <v>4</v>
      </c>
      <c r="W380">
        <v>971</v>
      </c>
      <c r="X380" t="s">
        <v>3741</v>
      </c>
      <c r="Y380" t="s">
        <v>36</v>
      </c>
      <c r="Z380">
        <v>4582.24</v>
      </c>
    </row>
    <row r="381" spans="1:26" x14ac:dyDescent="0.25">
      <c r="A381">
        <v>100379</v>
      </c>
      <c r="B381" s="3">
        <v>45560</v>
      </c>
      <c r="C381" s="3">
        <v>45564</v>
      </c>
      <c r="D381" s="3">
        <v>45579</v>
      </c>
      <c r="E381" t="s">
        <v>1172</v>
      </c>
      <c r="F381" t="s">
        <v>32</v>
      </c>
      <c r="G381" t="s">
        <v>110</v>
      </c>
      <c r="H381" t="s">
        <v>1173</v>
      </c>
      <c r="I381" t="s">
        <v>191</v>
      </c>
      <c r="J381" t="s">
        <v>62</v>
      </c>
      <c r="K381" t="s">
        <v>1174</v>
      </c>
      <c r="L381" t="s">
        <v>31</v>
      </c>
      <c r="M381" t="s">
        <v>25</v>
      </c>
      <c r="N381" t="s">
        <v>55</v>
      </c>
      <c r="O381" t="s">
        <v>56</v>
      </c>
      <c r="P381" t="s">
        <v>123</v>
      </c>
      <c r="Q381">
        <v>467</v>
      </c>
      <c r="R381">
        <v>29.61</v>
      </c>
      <c r="S381">
        <v>13827.87</v>
      </c>
      <c r="T381">
        <v>22.04</v>
      </c>
      <c r="U381">
        <v>15</v>
      </c>
      <c r="V381">
        <v>19</v>
      </c>
      <c r="W381">
        <v>4570</v>
      </c>
      <c r="X381" t="s">
        <v>3742</v>
      </c>
      <c r="Y381" t="s">
        <v>188</v>
      </c>
      <c r="Z381">
        <v>800.1</v>
      </c>
    </row>
    <row r="382" spans="1:26" x14ac:dyDescent="0.25">
      <c r="A382">
        <v>100380</v>
      </c>
      <c r="B382" s="3">
        <v>45730</v>
      </c>
      <c r="C382" s="3">
        <v>45732</v>
      </c>
      <c r="D382" s="3">
        <v>45735</v>
      </c>
      <c r="E382" t="s">
        <v>1175</v>
      </c>
      <c r="F382" t="s">
        <v>38</v>
      </c>
      <c r="G382" t="s">
        <v>83</v>
      </c>
      <c r="H382" t="s">
        <v>1176</v>
      </c>
      <c r="I382" t="s">
        <v>144</v>
      </c>
      <c r="J382" t="s">
        <v>52</v>
      </c>
      <c r="K382" t="s">
        <v>1177</v>
      </c>
      <c r="L382" t="s">
        <v>122</v>
      </c>
      <c r="M382" t="s">
        <v>65</v>
      </c>
      <c r="N382" t="s">
        <v>107</v>
      </c>
      <c r="O382" t="s">
        <v>108</v>
      </c>
      <c r="P382" t="s">
        <v>68</v>
      </c>
      <c r="Q382">
        <v>23</v>
      </c>
      <c r="R382">
        <v>76.11</v>
      </c>
      <c r="S382">
        <v>1750.53</v>
      </c>
      <c r="T382">
        <v>30</v>
      </c>
      <c r="U382">
        <v>3</v>
      </c>
      <c r="V382">
        <v>5</v>
      </c>
      <c r="W382">
        <v>1651</v>
      </c>
      <c r="X382" t="s">
        <v>3741</v>
      </c>
      <c r="Y382" t="s">
        <v>36</v>
      </c>
      <c r="Z382">
        <v>260.87</v>
      </c>
    </row>
    <row r="383" spans="1:26" x14ac:dyDescent="0.25">
      <c r="A383">
        <v>100381</v>
      </c>
      <c r="B383" s="3">
        <v>45731</v>
      </c>
      <c r="C383" s="3">
        <v>45736</v>
      </c>
      <c r="D383" s="3">
        <v>45739</v>
      </c>
      <c r="E383" t="s">
        <v>1178</v>
      </c>
      <c r="F383" t="s">
        <v>38</v>
      </c>
      <c r="G383" t="s">
        <v>83</v>
      </c>
      <c r="H383" t="s">
        <v>1179</v>
      </c>
      <c r="I383" t="s">
        <v>198</v>
      </c>
      <c r="J383" t="s">
        <v>52</v>
      </c>
      <c r="K383" t="s">
        <v>447</v>
      </c>
      <c r="L383" t="s">
        <v>122</v>
      </c>
      <c r="M383" t="s">
        <v>54</v>
      </c>
      <c r="N383" t="s">
        <v>151</v>
      </c>
      <c r="O383" t="s">
        <v>152</v>
      </c>
      <c r="P383" t="s">
        <v>68</v>
      </c>
      <c r="Q383">
        <v>453</v>
      </c>
      <c r="R383">
        <v>55.43</v>
      </c>
      <c r="S383">
        <v>25109.79</v>
      </c>
      <c r="T383">
        <v>57.87</v>
      </c>
      <c r="U383">
        <v>3</v>
      </c>
      <c r="V383">
        <v>8</v>
      </c>
      <c r="W383">
        <v>3162</v>
      </c>
      <c r="X383" t="s">
        <v>3742</v>
      </c>
      <c r="Y383" t="s">
        <v>57</v>
      </c>
      <c r="Z383">
        <v>2291.38</v>
      </c>
    </row>
    <row r="384" spans="1:26" x14ac:dyDescent="0.25">
      <c r="A384">
        <v>100382</v>
      </c>
      <c r="B384" s="3">
        <v>45902</v>
      </c>
      <c r="C384" s="3">
        <v>45903</v>
      </c>
      <c r="D384" s="3">
        <v>45906</v>
      </c>
      <c r="E384" t="s">
        <v>1180</v>
      </c>
      <c r="F384" t="s">
        <v>32</v>
      </c>
      <c r="G384" t="s">
        <v>255</v>
      </c>
      <c r="H384" t="s">
        <v>1181</v>
      </c>
      <c r="I384" t="s">
        <v>191</v>
      </c>
      <c r="J384" t="s">
        <v>62</v>
      </c>
      <c r="K384" t="s">
        <v>830</v>
      </c>
      <c r="L384" t="s">
        <v>122</v>
      </c>
      <c r="M384" t="s">
        <v>65</v>
      </c>
      <c r="N384" t="s">
        <v>45</v>
      </c>
      <c r="O384" t="s">
        <v>46</v>
      </c>
      <c r="P384" t="s">
        <v>68</v>
      </c>
      <c r="Q384">
        <v>159</v>
      </c>
      <c r="R384">
        <v>11.08</v>
      </c>
      <c r="S384">
        <v>1761.72</v>
      </c>
      <c r="T384">
        <v>38.82</v>
      </c>
      <c r="U384">
        <v>3</v>
      </c>
      <c r="V384">
        <v>4</v>
      </c>
      <c r="W384">
        <v>4379</v>
      </c>
      <c r="X384" t="s">
        <v>3741</v>
      </c>
      <c r="Y384" t="s">
        <v>36</v>
      </c>
      <c r="Z384">
        <v>51.8</v>
      </c>
    </row>
    <row r="385" spans="1:26" x14ac:dyDescent="0.25">
      <c r="A385">
        <v>100383</v>
      </c>
      <c r="B385" s="3">
        <v>45505</v>
      </c>
      <c r="C385" s="3">
        <v>45509</v>
      </c>
      <c r="D385" s="3">
        <v>45522</v>
      </c>
      <c r="E385" t="s">
        <v>1182</v>
      </c>
      <c r="F385" t="s">
        <v>54</v>
      </c>
      <c r="G385" t="s">
        <v>193</v>
      </c>
      <c r="H385" t="s">
        <v>1183</v>
      </c>
      <c r="I385" t="s">
        <v>134</v>
      </c>
      <c r="J385" t="s">
        <v>52</v>
      </c>
      <c r="K385" t="s">
        <v>1184</v>
      </c>
      <c r="L385" t="s">
        <v>91</v>
      </c>
      <c r="M385" t="s">
        <v>54</v>
      </c>
      <c r="N385" t="s">
        <v>92</v>
      </c>
      <c r="O385" t="s">
        <v>93</v>
      </c>
      <c r="P385" t="s">
        <v>123</v>
      </c>
      <c r="Q385">
        <v>160</v>
      </c>
      <c r="R385">
        <v>32.83</v>
      </c>
      <c r="S385">
        <v>5252.8</v>
      </c>
      <c r="T385">
        <v>10.8</v>
      </c>
      <c r="U385">
        <v>13</v>
      </c>
      <c r="V385">
        <v>17</v>
      </c>
      <c r="W385">
        <v>3614</v>
      </c>
      <c r="X385" t="s">
        <v>188</v>
      </c>
      <c r="Y385" t="s">
        <v>36</v>
      </c>
      <c r="Z385">
        <v>601.23</v>
      </c>
    </row>
    <row r="386" spans="1:26" x14ac:dyDescent="0.25">
      <c r="A386">
        <v>100384</v>
      </c>
      <c r="B386" s="3">
        <v>45754</v>
      </c>
      <c r="C386" s="3">
        <v>45754</v>
      </c>
      <c r="D386" s="3">
        <v>45760</v>
      </c>
      <c r="E386" t="s">
        <v>1185</v>
      </c>
      <c r="F386" t="s">
        <v>25</v>
      </c>
      <c r="G386" t="s">
        <v>233</v>
      </c>
      <c r="H386" t="s">
        <v>1186</v>
      </c>
      <c r="I386" t="s">
        <v>134</v>
      </c>
      <c r="J386" t="s">
        <v>52</v>
      </c>
      <c r="K386" t="s">
        <v>1187</v>
      </c>
      <c r="L386" t="s">
        <v>64</v>
      </c>
      <c r="M386" t="s">
        <v>54</v>
      </c>
      <c r="N386" t="s">
        <v>92</v>
      </c>
      <c r="O386" t="s">
        <v>93</v>
      </c>
      <c r="P386" t="s">
        <v>35</v>
      </c>
      <c r="Q386">
        <v>437</v>
      </c>
      <c r="R386">
        <v>25.23</v>
      </c>
      <c r="S386">
        <v>11025.51</v>
      </c>
      <c r="T386">
        <v>24.86</v>
      </c>
      <c r="U386">
        <v>6</v>
      </c>
      <c r="V386">
        <v>6</v>
      </c>
      <c r="W386">
        <v>881</v>
      </c>
      <c r="X386" t="s">
        <v>3742</v>
      </c>
      <c r="Y386" t="s">
        <v>57</v>
      </c>
      <c r="Z386">
        <v>1749.3</v>
      </c>
    </row>
    <row r="387" spans="1:26" x14ac:dyDescent="0.25">
      <c r="A387">
        <v>100385</v>
      </c>
      <c r="B387" s="3">
        <v>45536</v>
      </c>
      <c r="C387" s="3">
        <v>45540</v>
      </c>
      <c r="D387" s="3">
        <v>45541</v>
      </c>
      <c r="E387" t="s">
        <v>1188</v>
      </c>
      <c r="F387" t="s">
        <v>38</v>
      </c>
      <c r="G387" t="s">
        <v>217</v>
      </c>
      <c r="H387" t="s">
        <v>1189</v>
      </c>
      <c r="I387" t="s">
        <v>72</v>
      </c>
      <c r="J387" t="s">
        <v>42</v>
      </c>
      <c r="K387" t="s">
        <v>1187</v>
      </c>
      <c r="L387" t="s">
        <v>64</v>
      </c>
      <c r="M387" t="s">
        <v>25</v>
      </c>
      <c r="N387" t="s">
        <v>102</v>
      </c>
      <c r="O387" t="s">
        <v>103</v>
      </c>
      <c r="P387" t="s">
        <v>68</v>
      </c>
      <c r="Q387">
        <v>86</v>
      </c>
      <c r="R387">
        <v>231.81</v>
      </c>
      <c r="S387">
        <v>19935.66</v>
      </c>
      <c r="T387">
        <v>34.08</v>
      </c>
      <c r="U387">
        <v>1</v>
      </c>
      <c r="V387">
        <v>5</v>
      </c>
      <c r="W387">
        <v>1733</v>
      </c>
      <c r="X387" t="s">
        <v>3741</v>
      </c>
      <c r="Y387" t="s">
        <v>36</v>
      </c>
      <c r="Z387">
        <v>2730.48</v>
      </c>
    </row>
    <row r="388" spans="1:26" x14ac:dyDescent="0.25">
      <c r="A388">
        <v>100386</v>
      </c>
      <c r="B388" s="3">
        <v>45828</v>
      </c>
      <c r="C388" s="3">
        <v>45829</v>
      </c>
      <c r="D388" s="3">
        <v>45834</v>
      </c>
      <c r="E388" t="s">
        <v>1190</v>
      </c>
      <c r="F388" t="s">
        <v>32</v>
      </c>
      <c r="G388" t="s">
        <v>137</v>
      </c>
      <c r="H388" t="s">
        <v>1191</v>
      </c>
      <c r="I388" t="s">
        <v>61</v>
      </c>
      <c r="J388" t="s">
        <v>62</v>
      </c>
      <c r="K388" t="s">
        <v>1192</v>
      </c>
      <c r="L388" t="s">
        <v>98</v>
      </c>
      <c r="M388" t="s">
        <v>65</v>
      </c>
      <c r="N388" t="s">
        <v>107</v>
      </c>
      <c r="O388" t="s">
        <v>108</v>
      </c>
      <c r="P388" t="s">
        <v>123</v>
      </c>
      <c r="Q388">
        <v>151</v>
      </c>
      <c r="R388">
        <v>9.7100000000000009</v>
      </c>
      <c r="S388">
        <v>1466.21</v>
      </c>
      <c r="T388">
        <v>14.36</v>
      </c>
      <c r="U388">
        <v>5</v>
      </c>
      <c r="V388">
        <v>6</v>
      </c>
      <c r="W388">
        <v>1678</v>
      </c>
      <c r="X388" t="s">
        <v>3742</v>
      </c>
      <c r="Y388" t="s">
        <v>57</v>
      </c>
      <c r="Z388">
        <v>195.12</v>
      </c>
    </row>
    <row r="389" spans="1:26" x14ac:dyDescent="0.25">
      <c r="A389">
        <v>100387</v>
      </c>
      <c r="B389" s="3">
        <v>45635</v>
      </c>
      <c r="C389" s="3">
        <v>45639</v>
      </c>
      <c r="D389" s="3">
        <v>45642</v>
      </c>
      <c r="E389" t="s">
        <v>1193</v>
      </c>
      <c r="F389" t="s">
        <v>38</v>
      </c>
      <c r="G389" t="s">
        <v>147</v>
      </c>
      <c r="H389" t="s">
        <v>1194</v>
      </c>
      <c r="I389" t="s">
        <v>116</v>
      </c>
      <c r="J389" t="s">
        <v>62</v>
      </c>
      <c r="K389" t="s">
        <v>1195</v>
      </c>
      <c r="L389" t="s">
        <v>113</v>
      </c>
      <c r="M389" t="s">
        <v>65</v>
      </c>
      <c r="N389" t="s">
        <v>151</v>
      </c>
      <c r="O389" t="s">
        <v>152</v>
      </c>
      <c r="P389" t="s">
        <v>68</v>
      </c>
      <c r="Q389">
        <v>135</v>
      </c>
      <c r="R389">
        <v>30.97</v>
      </c>
      <c r="S389">
        <v>4180.95</v>
      </c>
      <c r="T389">
        <v>37.26</v>
      </c>
      <c r="U389">
        <v>3</v>
      </c>
      <c r="V389">
        <v>7</v>
      </c>
      <c r="W389">
        <v>4740</v>
      </c>
      <c r="X389" t="s">
        <v>3741</v>
      </c>
      <c r="Y389" t="s">
        <v>36</v>
      </c>
      <c r="Z389">
        <v>611.16999999999996</v>
      </c>
    </row>
    <row r="390" spans="1:26" x14ac:dyDescent="0.25">
      <c r="A390">
        <v>100388</v>
      </c>
      <c r="B390" s="3">
        <v>45473</v>
      </c>
      <c r="C390" s="3">
        <v>45475</v>
      </c>
      <c r="D390" s="3">
        <v>45485</v>
      </c>
      <c r="E390" t="s">
        <v>1196</v>
      </c>
      <c r="F390" t="s">
        <v>25</v>
      </c>
      <c r="G390" t="s">
        <v>26</v>
      </c>
      <c r="H390" t="s">
        <v>1197</v>
      </c>
      <c r="I390" t="s">
        <v>416</v>
      </c>
      <c r="J390" t="s">
        <v>80</v>
      </c>
      <c r="K390" t="s">
        <v>1198</v>
      </c>
      <c r="L390" t="s">
        <v>44</v>
      </c>
      <c r="M390" t="s">
        <v>32</v>
      </c>
      <c r="N390" t="s">
        <v>92</v>
      </c>
      <c r="O390" t="s">
        <v>93</v>
      </c>
      <c r="P390" t="s">
        <v>35</v>
      </c>
      <c r="Q390">
        <v>369</v>
      </c>
      <c r="R390">
        <v>116.53</v>
      </c>
      <c r="S390">
        <v>42999.57</v>
      </c>
      <c r="T390">
        <v>22.94</v>
      </c>
      <c r="U390">
        <v>10</v>
      </c>
      <c r="V390">
        <v>12</v>
      </c>
      <c r="W390">
        <v>394</v>
      </c>
      <c r="X390" t="s">
        <v>188</v>
      </c>
      <c r="Y390" t="s">
        <v>36</v>
      </c>
      <c r="Z390">
        <v>8071.3</v>
      </c>
    </row>
    <row r="391" spans="1:26" x14ac:dyDescent="0.25">
      <c r="A391">
        <v>100389</v>
      </c>
      <c r="B391" s="3">
        <v>45339</v>
      </c>
      <c r="C391" s="3">
        <v>45341</v>
      </c>
      <c r="D391" s="3">
        <v>45351</v>
      </c>
      <c r="E391" t="s">
        <v>1199</v>
      </c>
      <c r="F391" t="s">
        <v>25</v>
      </c>
      <c r="G391" t="s">
        <v>233</v>
      </c>
      <c r="H391" t="s">
        <v>1200</v>
      </c>
      <c r="I391" t="s">
        <v>191</v>
      </c>
      <c r="J391" t="s">
        <v>62</v>
      </c>
      <c r="K391" t="s">
        <v>1201</v>
      </c>
      <c r="L391" t="s">
        <v>98</v>
      </c>
      <c r="M391" t="s">
        <v>32</v>
      </c>
      <c r="N391" t="s">
        <v>107</v>
      </c>
      <c r="O391" t="s">
        <v>108</v>
      </c>
      <c r="P391" t="s">
        <v>123</v>
      </c>
      <c r="Q391">
        <v>283</v>
      </c>
      <c r="R391">
        <v>17.75</v>
      </c>
      <c r="S391">
        <v>5023.25</v>
      </c>
      <c r="T391">
        <v>17.57</v>
      </c>
      <c r="U391">
        <v>10</v>
      </c>
      <c r="V391">
        <v>12</v>
      </c>
      <c r="W391">
        <v>2079</v>
      </c>
      <c r="X391" t="s">
        <v>188</v>
      </c>
      <c r="Y391" t="s">
        <v>36</v>
      </c>
      <c r="Z391">
        <v>486.61</v>
      </c>
    </row>
    <row r="392" spans="1:26" x14ac:dyDescent="0.25">
      <c r="A392">
        <v>100390</v>
      </c>
      <c r="B392" s="3">
        <v>45912</v>
      </c>
      <c r="C392" s="3">
        <v>45912</v>
      </c>
      <c r="D392" s="3">
        <v>45917</v>
      </c>
      <c r="E392" t="s">
        <v>1202</v>
      </c>
      <c r="F392" t="s">
        <v>65</v>
      </c>
      <c r="G392" t="s">
        <v>154</v>
      </c>
      <c r="H392" t="s">
        <v>1203</v>
      </c>
      <c r="I392" t="s">
        <v>139</v>
      </c>
      <c r="J392" t="s">
        <v>42</v>
      </c>
      <c r="K392" t="s">
        <v>844</v>
      </c>
      <c r="L392" t="s">
        <v>122</v>
      </c>
      <c r="M392" t="s">
        <v>25</v>
      </c>
      <c r="N392" t="s">
        <v>203</v>
      </c>
      <c r="O392" t="s">
        <v>204</v>
      </c>
      <c r="P392" t="s">
        <v>35</v>
      </c>
      <c r="Q392">
        <v>317</v>
      </c>
      <c r="R392">
        <v>335.74</v>
      </c>
      <c r="S392">
        <v>106429.58</v>
      </c>
      <c r="T392">
        <v>21.46</v>
      </c>
      <c r="U392">
        <v>5</v>
      </c>
      <c r="V392">
        <v>5</v>
      </c>
      <c r="W392">
        <v>1334</v>
      </c>
      <c r="X392" t="s">
        <v>3741</v>
      </c>
      <c r="Y392" t="s">
        <v>36</v>
      </c>
      <c r="Z392">
        <v>18611.09</v>
      </c>
    </row>
    <row r="393" spans="1:26" x14ac:dyDescent="0.25">
      <c r="A393">
        <v>100391</v>
      </c>
      <c r="B393" s="3">
        <v>45912</v>
      </c>
      <c r="C393" s="3">
        <v>45913</v>
      </c>
      <c r="D393" s="3">
        <v>45918</v>
      </c>
      <c r="E393" t="s">
        <v>1204</v>
      </c>
      <c r="F393" t="s">
        <v>32</v>
      </c>
      <c r="G393" t="s">
        <v>137</v>
      </c>
      <c r="H393" t="s">
        <v>1205</v>
      </c>
      <c r="I393" t="s">
        <v>41</v>
      </c>
      <c r="J393" t="s">
        <v>42</v>
      </c>
      <c r="K393" t="s">
        <v>1037</v>
      </c>
      <c r="L393" t="s">
        <v>187</v>
      </c>
      <c r="M393" t="s">
        <v>32</v>
      </c>
      <c r="N393" t="s">
        <v>92</v>
      </c>
      <c r="O393" t="s">
        <v>93</v>
      </c>
      <c r="P393" t="s">
        <v>68</v>
      </c>
      <c r="Q393">
        <v>265</v>
      </c>
      <c r="R393">
        <v>409.98</v>
      </c>
      <c r="S393">
        <v>108644.7</v>
      </c>
      <c r="T393">
        <v>33.840000000000003</v>
      </c>
      <c r="U393">
        <v>5</v>
      </c>
      <c r="V393">
        <v>6</v>
      </c>
      <c r="W393">
        <v>1190</v>
      </c>
      <c r="X393" t="s">
        <v>3742</v>
      </c>
      <c r="Y393" t="s">
        <v>47</v>
      </c>
      <c r="Z393">
        <v>-109.9</v>
      </c>
    </row>
    <row r="394" spans="1:26" x14ac:dyDescent="0.25">
      <c r="A394">
        <v>100392</v>
      </c>
      <c r="B394" s="3">
        <v>45840</v>
      </c>
      <c r="C394" s="3">
        <v>45841</v>
      </c>
      <c r="D394" s="3">
        <v>45853</v>
      </c>
      <c r="E394" t="s">
        <v>1206</v>
      </c>
      <c r="F394" t="s">
        <v>32</v>
      </c>
      <c r="G394" t="s">
        <v>110</v>
      </c>
      <c r="H394" t="s">
        <v>1207</v>
      </c>
      <c r="I394" t="s">
        <v>116</v>
      </c>
      <c r="J394" t="s">
        <v>62</v>
      </c>
      <c r="K394" t="s">
        <v>1208</v>
      </c>
      <c r="L394" t="s">
        <v>113</v>
      </c>
      <c r="M394" t="s">
        <v>25</v>
      </c>
      <c r="N394" t="s">
        <v>151</v>
      </c>
      <c r="O394" t="s">
        <v>152</v>
      </c>
      <c r="P394" t="s">
        <v>35</v>
      </c>
      <c r="Q394">
        <v>305</v>
      </c>
      <c r="R394">
        <v>41.17</v>
      </c>
      <c r="S394">
        <v>12556.85</v>
      </c>
      <c r="T394">
        <v>21.12</v>
      </c>
      <c r="U394">
        <v>12</v>
      </c>
      <c r="V394">
        <v>13</v>
      </c>
      <c r="W394">
        <v>1474</v>
      </c>
      <c r="X394" t="s">
        <v>3742</v>
      </c>
      <c r="Y394" t="s">
        <v>188</v>
      </c>
      <c r="Z394">
        <v>1217.1500000000001</v>
      </c>
    </row>
    <row r="395" spans="1:26" x14ac:dyDescent="0.25">
      <c r="A395">
        <v>100393</v>
      </c>
      <c r="B395" s="3">
        <v>45380</v>
      </c>
      <c r="C395" s="3">
        <v>45381</v>
      </c>
      <c r="D395" s="3">
        <v>45385</v>
      </c>
      <c r="E395" t="s">
        <v>1209</v>
      </c>
      <c r="F395" t="s">
        <v>25</v>
      </c>
      <c r="G395" t="s">
        <v>59</v>
      </c>
      <c r="H395" t="s">
        <v>1210</v>
      </c>
      <c r="I395" t="s">
        <v>230</v>
      </c>
      <c r="J395" t="s">
        <v>80</v>
      </c>
      <c r="K395" t="s">
        <v>570</v>
      </c>
      <c r="L395" t="s">
        <v>113</v>
      </c>
      <c r="M395" t="s">
        <v>25</v>
      </c>
      <c r="N395" t="s">
        <v>45</v>
      </c>
      <c r="O395" t="s">
        <v>46</v>
      </c>
      <c r="P395" t="s">
        <v>68</v>
      </c>
      <c r="Q395">
        <v>22</v>
      </c>
      <c r="R395">
        <v>172.74</v>
      </c>
      <c r="S395">
        <v>3800.28</v>
      </c>
      <c r="T395">
        <v>22.18</v>
      </c>
      <c r="U395">
        <v>4</v>
      </c>
      <c r="V395">
        <v>5</v>
      </c>
      <c r="W395">
        <v>781</v>
      </c>
      <c r="X395" t="s">
        <v>3741</v>
      </c>
      <c r="Y395" t="s">
        <v>36</v>
      </c>
      <c r="Z395">
        <v>623.67999999999995</v>
      </c>
    </row>
    <row r="396" spans="1:26" x14ac:dyDescent="0.25">
      <c r="A396">
        <v>100394</v>
      </c>
      <c r="B396" s="3">
        <v>45483</v>
      </c>
      <c r="C396" s="3">
        <v>45487</v>
      </c>
      <c r="D396" s="3">
        <v>45493</v>
      </c>
      <c r="E396" t="s">
        <v>435</v>
      </c>
      <c r="F396" t="s">
        <v>25</v>
      </c>
      <c r="G396" t="s">
        <v>26</v>
      </c>
      <c r="H396" t="s">
        <v>1211</v>
      </c>
      <c r="I396" t="s">
        <v>41</v>
      </c>
      <c r="J396" t="s">
        <v>42</v>
      </c>
      <c r="K396" t="s">
        <v>1212</v>
      </c>
      <c r="L396" t="s">
        <v>64</v>
      </c>
      <c r="M396" t="s">
        <v>65</v>
      </c>
      <c r="N396" t="s">
        <v>107</v>
      </c>
      <c r="O396" t="s">
        <v>108</v>
      </c>
      <c r="P396" t="s">
        <v>123</v>
      </c>
      <c r="Q396">
        <v>327</v>
      </c>
      <c r="R396">
        <v>365.52</v>
      </c>
      <c r="S396">
        <v>119525.04</v>
      </c>
      <c r="T396">
        <v>18.64</v>
      </c>
      <c r="U396">
        <v>6</v>
      </c>
      <c r="V396">
        <v>10</v>
      </c>
      <c r="W396">
        <v>265</v>
      </c>
      <c r="X396" t="s">
        <v>188</v>
      </c>
      <c r="Y396" t="s">
        <v>36</v>
      </c>
      <c r="Z396">
        <v>14960.51</v>
      </c>
    </row>
    <row r="397" spans="1:26" x14ac:dyDescent="0.25">
      <c r="A397">
        <v>100395</v>
      </c>
      <c r="B397" s="3">
        <v>45561</v>
      </c>
      <c r="C397" s="3">
        <v>45561</v>
      </c>
      <c r="D397" s="3">
        <v>45573</v>
      </c>
      <c r="E397" t="s">
        <v>1213</v>
      </c>
      <c r="F397" t="s">
        <v>54</v>
      </c>
      <c r="G397" t="s">
        <v>193</v>
      </c>
      <c r="H397" t="s">
        <v>1214</v>
      </c>
      <c r="I397" t="s">
        <v>89</v>
      </c>
      <c r="J397" t="s">
        <v>62</v>
      </c>
      <c r="K397" t="s">
        <v>1215</v>
      </c>
      <c r="L397" t="s">
        <v>118</v>
      </c>
      <c r="M397" t="s">
        <v>38</v>
      </c>
      <c r="N397" t="s">
        <v>151</v>
      </c>
      <c r="O397" t="s">
        <v>152</v>
      </c>
      <c r="P397" t="s">
        <v>76</v>
      </c>
      <c r="Q397">
        <v>482</v>
      </c>
      <c r="R397">
        <v>45.65</v>
      </c>
      <c r="S397">
        <v>22003.3</v>
      </c>
      <c r="T397">
        <v>16.8</v>
      </c>
      <c r="U397">
        <v>12</v>
      </c>
      <c r="V397">
        <v>12</v>
      </c>
      <c r="W397">
        <v>4627</v>
      </c>
      <c r="X397" t="s">
        <v>3742</v>
      </c>
      <c r="Y397" t="s">
        <v>57</v>
      </c>
      <c r="Z397">
        <v>2799.53</v>
      </c>
    </row>
    <row r="398" spans="1:26" x14ac:dyDescent="0.25">
      <c r="A398">
        <v>100396</v>
      </c>
      <c r="B398" s="3">
        <v>45564</v>
      </c>
      <c r="C398" s="3">
        <v>45568</v>
      </c>
      <c r="D398" s="3">
        <v>45590</v>
      </c>
      <c r="E398" t="s">
        <v>1216</v>
      </c>
      <c r="F398" t="s">
        <v>54</v>
      </c>
      <c r="G398" t="s">
        <v>165</v>
      </c>
      <c r="H398" t="s">
        <v>1217</v>
      </c>
      <c r="I398" t="s">
        <v>191</v>
      </c>
      <c r="J398" t="s">
        <v>62</v>
      </c>
      <c r="K398" t="s">
        <v>1218</v>
      </c>
      <c r="L398" t="s">
        <v>91</v>
      </c>
      <c r="M398" t="s">
        <v>38</v>
      </c>
      <c r="N398" t="s">
        <v>92</v>
      </c>
      <c r="O398" t="s">
        <v>93</v>
      </c>
      <c r="P398" t="s">
        <v>76</v>
      </c>
      <c r="Q398">
        <v>143</v>
      </c>
      <c r="R398">
        <v>35.71</v>
      </c>
      <c r="S398">
        <v>5106.53</v>
      </c>
      <c r="T398">
        <v>10.63</v>
      </c>
      <c r="U398">
        <v>22</v>
      </c>
      <c r="V398">
        <v>26</v>
      </c>
      <c r="W398">
        <v>1762</v>
      </c>
      <c r="X398" t="s">
        <v>188</v>
      </c>
      <c r="Y398" t="s">
        <v>36</v>
      </c>
      <c r="Z398">
        <v>583.64</v>
      </c>
    </row>
    <row r="399" spans="1:26" x14ac:dyDescent="0.25">
      <c r="A399">
        <v>100397</v>
      </c>
      <c r="B399" s="3">
        <v>45773</v>
      </c>
      <c r="C399" s="3">
        <v>45776</v>
      </c>
      <c r="D399" s="3">
        <v>45788</v>
      </c>
      <c r="E399" t="s">
        <v>1085</v>
      </c>
      <c r="F399" t="s">
        <v>25</v>
      </c>
      <c r="G399" t="s">
        <v>172</v>
      </c>
      <c r="H399" t="s">
        <v>1219</v>
      </c>
      <c r="I399" t="s">
        <v>89</v>
      </c>
      <c r="J399" t="s">
        <v>62</v>
      </c>
      <c r="K399" t="s">
        <v>1220</v>
      </c>
      <c r="L399" t="s">
        <v>212</v>
      </c>
      <c r="M399" t="s">
        <v>54</v>
      </c>
      <c r="N399" t="s">
        <v>74</v>
      </c>
      <c r="O399" t="s">
        <v>75</v>
      </c>
      <c r="P399" t="s">
        <v>76</v>
      </c>
      <c r="Q399">
        <v>185</v>
      </c>
      <c r="R399">
        <v>19.8</v>
      </c>
      <c r="S399">
        <v>3663</v>
      </c>
      <c r="T399">
        <v>11.39</v>
      </c>
      <c r="U399">
        <v>12</v>
      </c>
      <c r="V399">
        <v>15</v>
      </c>
      <c r="W399">
        <v>1507</v>
      </c>
      <c r="X399" t="s">
        <v>188</v>
      </c>
      <c r="Y399" t="s">
        <v>36</v>
      </c>
      <c r="Z399">
        <v>586.64</v>
      </c>
    </row>
    <row r="400" spans="1:26" x14ac:dyDescent="0.25">
      <c r="A400">
        <v>100398</v>
      </c>
      <c r="B400" s="3">
        <v>46017</v>
      </c>
      <c r="C400" s="3">
        <v>46019</v>
      </c>
      <c r="D400" s="3">
        <v>46029</v>
      </c>
      <c r="E400" t="s">
        <v>1221</v>
      </c>
      <c r="F400" t="s">
        <v>65</v>
      </c>
      <c r="G400" t="s">
        <v>70</v>
      </c>
      <c r="H400" t="s">
        <v>1222</v>
      </c>
      <c r="I400" t="s">
        <v>238</v>
      </c>
      <c r="J400" t="s">
        <v>62</v>
      </c>
      <c r="K400" t="s">
        <v>1223</v>
      </c>
      <c r="L400" t="s">
        <v>44</v>
      </c>
      <c r="M400" t="s">
        <v>32</v>
      </c>
      <c r="N400" t="s">
        <v>102</v>
      </c>
      <c r="O400" t="s">
        <v>103</v>
      </c>
      <c r="P400" t="s">
        <v>123</v>
      </c>
      <c r="Q400">
        <v>209</v>
      </c>
      <c r="R400">
        <v>35.5</v>
      </c>
      <c r="S400">
        <v>7419.5</v>
      </c>
      <c r="T400">
        <v>15.77</v>
      </c>
      <c r="U400">
        <v>10</v>
      </c>
      <c r="V400">
        <v>12</v>
      </c>
      <c r="W400">
        <v>3406</v>
      </c>
      <c r="X400" t="s">
        <v>188</v>
      </c>
      <c r="Y400" t="s">
        <v>36</v>
      </c>
      <c r="Z400">
        <v>406.94</v>
      </c>
    </row>
    <row r="401" spans="1:26" x14ac:dyDescent="0.25">
      <c r="A401">
        <v>100399</v>
      </c>
      <c r="B401" s="3">
        <v>46022</v>
      </c>
      <c r="C401" s="3">
        <v>46027</v>
      </c>
      <c r="D401" s="3">
        <v>46031</v>
      </c>
      <c r="E401" t="s">
        <v>1224</v>
      </c>
      <c r="F401" t="s">
        <v>25</v>
      </c>
      <c r="G401" t="s">
        <v>59</v>
      </c>
      <c r="H401" t="s">
        <v>1225</v>
      </c>
      <c r="I401" t="s">
        <v>28</v>
      </c>
      <c r="J401" t="s">
        <v>29</v>
      </c>
      <c r="K401" t="s">
        <v>1153</v>
      </c>
      <c r="L401" t="s">
        <v>118</v>
      </c>
      <c r="M401" t="s">
        <v>38</v>
      </c>
      <c r="N401" t="s">
        <v>102</v>
      </c>
      <c r="O401" t="s">
        <v>103</v>
      </c>
      <c r="P401" t="s">
        <v>68</v>
      </c>
      <c r="Q401">
        <v>426</v>
      </c>
      <c r="R401">
        <v>30.81</v>
      </c>
      <c r="S401">
        <v>13125.06</v>
      </c>
      <c r="T401">
        <v>56.12</v>
      </c>
      <c r="U401">
        <v>4</v>
      </c>
      <c r="V401">
        <v>9</v>
      </c>
      <c r="W401">
        <v>1657</v>
      </c>
      <c r="X401" t="s">
        <v>188</v>
      </c>
      <c r="Y401" t="s">
        <v>36</v>
      </c>
      <c r="Z401">
        <v>2509.04</v>
      </c>
    </row>
    <row r="402" spans="1:26" x14ac:dyDescent="0.25">
      <c r="A402">
        <v>100400</v>
      </c>
      <c r="B402" s="3">
        <v>45851</v>
      </c>
      <c r="C402" s="3">
        <v>45853</v>
      </c>
      <c r="D402" s="3">
        <v>45866</v>
      </c>
      <c r="E402" t="s">
        <v>1226</v>
      </c>
      <c r="F402" t="s">
        <v>54</v>
      </c>
      <c r="G402" t="s">
        <v>165</v>
      </c>
      <c r="H402" t="s">
        <v>1227</v>
      </c>
      <c r="I402" t="s">
        <v>126</v>
      </c>
      <c r="J402" t="s">
        <v>42</v>
      </c>
      <c r="K402" t="s">
        <v>1228</v>
      </c>
      <c r="L402" t="s">
        <v>113</v>
      </c>
      <c r="M402" t="s">
        <v>54</v>
      </c>
      <c r="N402" t="s">
        <v>33</v>
      </c>
      <c r="O402" t="s">
        <v>34</v>
      </c>
      <c r="P402" t="s">
        <v>76</v>
      </c>
      <c r="Q402">
        <v>456</v>
      </c>
      <c r="R402">
        <v>335.2</v>
      </c>
      <c r="S402">
        <v>152851.20000000001</v>
      </c>
      <c r="T402">
        <v>12.1</v>
      </c>
      <c r="U402">
        <v>13</v>
      </c>
      <c r="V402">
        <v>15</v>
      </c>
      <c r="W402">
        <v>1390</v>
      </c>
      <c r="X402" t="s">
        <v>188</v>
      </c>
      <c r="Y402" t="s">
        <v>36</v>
      </c>
      <c r="Z402">
        <v>27738.34</v>
      </c>
    </row>
    <row r="403" spans="1:26" x14ac:dyDescent="0.25">
      <c r="A403">
        <v>100401</v>
      </c>
      <c r="B403" s="3">
        <v>45341</v>
      </c>
      <c r="C403" s="3">
        <v>45346</v>
      </c>
      <c r="D403" s="3">
        <v>45369</v>
      </c>
      <c r="E403" t="s">
        <v>1229</v>
      </c>
      <c r="F403" t="s">
        <v>54</v>
      </c>
      <c r="G403" t="s">
        <v>225</v>
      </c>
      <c r="H403" t="s">
        <v>1230</v>
      </c>
      <c r="I403" t="s">
        <v>149</v>
      </c>
      <c r="J403" t="s">
        <v>42</v>
      </c>
      <c r="K403" t="s">
        <v>1231</v>
      </c>
      <c r="L403" t="s">
        <v>187</v>
      </c>
      <c r="M403" t="s">
        <v>65</v>
      </c>
      <c r="N403" t="s">
        <v>74</v>
      </c>
      <c r="O403" t="s">
        <v>75</v>
      </c>
      <c r="P403" t="s">
        <v>76</v>
      </c>
      <c r="Q403">
        <v>59</v>
      </c>
      <c r="R403">
        <v>306.24</v>
      </c>
      <c r="S403">
        <v>18068.16</v>
      </c>
      <c r="T403">
        <v>9.09</v>
      </c>
      <c r="U403">
        <v>23</v>
      </c>
      <c r="V403">
        <v>28</v>
      </c>
      <c r="W403">
        <v>1664</v>
      </c>
      <c r="X403" t="s">
        <v>188</v>
      </c>
      <c r="Y403" t="s">
        <v>36</v>
      </c>
      <c r="Z403">
        <v>2190.86</v>
      </c>
    </row>
    <row r="404" spans="1:26" x14ac:dyDescent="0.25">
      <c r="A404">
        <v>100402</v>
      </c>
      <c r="B404" s="3">
        <v>45643</v>
      </c>
      <c r="C404" s="3">
        <v>45647</v>
      </c>
      <c r="D404" s="3">
        <v>45672</v>
      </c>
      <c r="E404" t="s">
        <v>1232</v>
      </c>
      <c r="F404" t="s">
        <v>54</v>
      </c>
      <c r="G404" t="s">
        <v>225</v>
      </c>
      <c r="H404" t="s">
        <v>1233</v>
      </c>
      <c r="I404" t="s">
        <v>207</v>
      </c>
      <c r="J404" t="s">
        <v>80</v>
      </c>
      <c r="K404" t="s">
        <v>1234</v>
      </c>
      <c r="L404" t="s">
        <v>118</v>
      </c>
      <c r="M404" t="s">
        <v>32</v>
      </c>
      <c r="N404" t="s">
        <v>92</v>
      </c>
      <c r="O404" t="s">
        <v>93</v>
      </c>
      <c r="P404" t="s">
        <v>76</v>
      </c>
      <c r="Q404">
        <v>10</v>
      </c>
      <c r="R404">
        <v>57.41</v>
      </c>
      <c r="S404">
        <v>574.1</v>
      </c>
      <c r="T404">
        <v>8.1999999999999993</v>
      </c>
      <c r="U404">
        <v>25</v>
      </c>
      <c r="V404">
        <v>29</v>
      </c>
      <c r="W404">
        <v>128</v>
      </c>
      <c r="X404" t="s">
        <v>188</v>
      </c>
      <c r="Y404" t="s">
        <v>36</v>
      </c>
      <c r="Z404">
        <v>108.51</v>
      </c>
    </row>
    <row r="405" spans="1:26" x14ac:dyDescent="0.25">
      <c r="A405">
        <v>100403</v>
      </c>
      <c r="B405" s="3">
        <v>45768</v>
      </c>
      <c r="C405" s="3">
        <v>45772</v>
      </c>
      <c r="D405" s="3">
        <v>45782</v>
      </c>
      <c r="E405" t="s">
        <v>1235</v>
      </c>
      <c r="F405" t="s">
        <v>25</v>
      </c>
      <c r="G405" t="s">
        <v>221</v>
      </c>
      <c r="H405" t="s">
        <v>1236</v>
      </c>
      <c r="I405" t="s">
        <v>41</v>
      </c>
      <c r="J405" t="s">
        <v>42</v>
      </c>
      <c r="K405" t="s">
        <v>1237</v>
      </c>
      <c r="L405" t="s">
        <v>98</v>
      </c>
      <c r="M405" t="s">
        <v>32</v>
      </c>
      <c r="N405" t="s">
        <v>151</v>
      </c>
      <c r="O405" t="s">
        <v>152</v>
      </c>
      <c r="P405" t="s">
        <v>35</v>
      </c>
      <c r="Q405">
        <v>218</v>
      </c>
      <c r="R405">
        <v>235.99</v>
      </c>
      <c r="S405">
        <v>51445.82</v>
      </c>
      <c r="T405">
        <v>18.649999999999999</v>
      </c>
      <c r="U405">
        <v>10</v>
      </c>
      <c r="V405">
        <v>14</v>
      </c>
      <c r="W405">
        <v>1674</v>
      </c>
      <c r="X405" t="s">
        <v>188</v>
      </c>
      <c r="Y405" t="s">
        <v>36</v>
      </c>
      <c r="Z405">
        <v>7137.82</v>
      </c>
    </row>
    <row r="406" spans="1:26" x14ac:dyDescent="0.25">
      <c r="A406">
        <v>100404</v>
      </c>
      <c r="B406" s="3">
        <v>45582</v>
      </c>
      <c r="C406" s="3">
        <v>45586</v>
      </c>
      <c r="D406" s="3">
        <v>45589</v>
      </c>
      <c r="E406" t="s">
        <v>1238</v>
      </c>
      <c r="F406" t="s">
        <v>54</v>
      </c>
      <c r="G406" t="s">
        <v>225</v>
      </c>
      <c r="H406" t="s">
        <v>1239</v>
      </c>
      <c r="I406" t="s">
        <v>368</v>
      </c>
      <c r="J406" t="s">
        <v>29</v>
      </c>
      <c r="K406" t="s">
        <v>1240</v>
      </c>
      <c r="L406" t="s">
        <v>91</v>
      </c>
      <c r="M406" t="s">
        <v>54</v>
      </c>
      <c r="N406" t="s">
        <v>203</v>
      </c>
      <c r="O406" t="s">
        <v>204</v>
      </c>
      <c r="P406" t="s">
        <v>35</v>
      </c>
      <c r="Q406">
        <v>345</v>
      </c>
      <c r="R406">
        <v>38.229999999999997</v>
      </c>
      <c r="S406">
        <v>13189.35</v>
      </c>
      <c r="T406">
        <v>16.48</v>
      </c>
      <c r="U406">
        <v>3</v>
      </c>
      <c r="V406">
        <v>7</v>
      </c>
      <c r="W406">
        <v>279</v>
      </c>
      <c r="X406" t="s">
        <v>3741</v>
      </c>
      <c r="Y406" t="s">
        <v>36</v>
      </c>
      <c r="Z406">
        <v>3271.26</v>
      </c>
    </row>
    <row r="407" spans="1:26" x14ac:dyDescent="0.25">
      <c r="A407">
        <v>100405</v>
      </c>
      <c r="B407" s="3">
        <v>45616</v>
      </c>
      <c r="C407" s="3">
        <v>45620</v>
      </c>
      <c r="D407" s="3">
        <v>45629</v>
      </c>
      <c r="E407" t="s">
        <v>346</v>
      </c>
      <c r="F407" t="s">
        <v>38</v>
      </c>
      <c r="G407" t="s">
        <v>147</v>
      </c>
      <c r="H407" t="s">
        <v>1241</v>
      </c>
      <c r="I407" t="s">
        <v>85</v>
      </c>
      <c r="J407" t="s">
        <v>52</v>
      </c>
      <c r="K407" t="s">
        <v>1242</v>
      </c>
      <c r="L407" t="s">
        <v>98</v>
      </c>
      <c r="M407" t="s">
        <v>25</v>
      </c>
      <c r="N407" t="s">
        <v>107</v>
      </c>
      <c r="O407" t="s">
        <v>108</v>
      </c>
      <c r="P407" t="s">
        <v>35</v>
      </c>
      <c r="Q407">
        <v>331</v>
      </c>
      <c r="R407">
        <v>8.02</v>
      </c>
      <c r="S407">
        <v>2654.62</v>
      </c>
      <c r="T407">
        <v>21.86</v>
      </c>
      <c r="U407">
        <v>9</v>
      </c>
      <c r="V407">
        <v>13</v>
      </c>
      <c r="W407">
        <v>2859</v>
      </c>
      <c r="X407" t="s">
        <v>188</v>
      </c>
      <c r="Y407" t="s">
        <v>36</v>
      </c>
      <c r="Z407">
        <v>447.71</v>
      </c>
    </row>
    <row r="408" spans="1:26" x14ac:dyDescent="0.25">
      <c r="A408">
        <v>100406</v>
      </c>
      <c r="B408" s="3">
        <v>45542</v>
      </c>
      <c r="C408" s="3">
        <v>45547</v>
      </c>
      <c r="D408" s="3">
        <v>45549</v>
      </c>
      <c r="E408" t="s">
        <v>1243</v>
      </c>
      <c r="F408" t="s">
        <v>38</v>
      </c>
      <c r="G408" t="s">
        <v>49</v>
      </c>
      <c r="H408" t="s">
        <v>1244</v>
      </c>
      <c r="I408" t="s">
        <v>116</v>
      </c>
      <c r="J408" t="s">
        <v>62</v>
      </c>
      <c r="K408" t="s">
        <v>1245</v>
      </c>
      <c r="L408" t="s">
        <v>64</v>
      </c>
      <c r="M408" t="s">
        <v>54</v>
      </c>
      <c r="N408" t="s">
        <v>55</v>
      </c>
      <c r="O408" t="s">
        <v>56</v>
      </c>
      <c r="P408" t="s">
        <v>35</v>
      </c>
      <c r="Q408">
        <v>269</v>
      </c>
      <c r="R408">
        <v>15.9</v>
      </c>
      <c r="S408">
        <v>4277.1000000000004</v>
      </c>
      <c r="T408">
        <v>20.100000000000001</v>
      </c>
      <c r="U408">
        <v>2</v>
      </c>
      <c r="V408">
        <v>7</v>
      </c>
      <c r="W408">
        <v>2006</v>
      </c>
      <c r="X408" t="s">
        <v>3741</v>
      </c>
      <c r="Y408" t="s">
        <v>36</v>
      </c>
      <c r="Z408">
        <v>324.14</v>
      </c>
    </row>
    <row r="409" spans="1:26" x14ac:dyDescent="0.25">
      <c r="A409">
        <v>100407</v>
      </c>
      <c r="B409" s="3">
        <v>45991</v>
      </c>
      <c r="C409" s="3">
        <v>45996</v>
      </c>
      <c r="D409" s="3">
        <v>46002</v>
      </c>
      <c r="E409" t="s">
        <v>1246</v>
      </c>
      <c r="F409" t="s">
        <v>65</v>
      </c>
      <c r="G409" t="s">
        <v>142</v>
      </c>
      <c r="H409" t="s">
        <v>1247</v>
      </c>
      <c r="I409" t="s">
        <v>230</v>
      </c>
      <c r="J409" t="s">
        <v>80</v>
      </c>
      <c r="K409" t="s">
        <v>1248</v>
      </c>
      <c r="L409" t="s">
        <v>187</v>
      </c>
      <c r="M409" t="s">
        <v>32</v>
      </c>
      <c r="N409" t="s">
        <v>33</v>
      </c>
      <c r="O409" t="s">
        <v>34</v>
      </c>
      <c r="P409" t="s">
        <v>35</v>
      </c>
      <c r="Q409">
        <v>22</v>
      </c>
      <c r="R409">
        <v>65.16</v>
      </c>
      <c r="S409">
        <v>1433.52</v>
      </c>
      <c r="T409">
        <v>13.1</v>
      </c>
      <c r="U409">
        <v>6</v>
      </c>
      <c r="V409">
        <v>11</v>
      </c>
      <c r="W409">
        <v>278</v>
      </c>
      <c r="X409" t="s">
        <v>188</v>
      </c>
      <c r="Y409" t="s">
        <v>36</v>
      </c>
      <c r="Z409">
        <v>360.18</v>
      </c>
    </row>
    <row r="410" spans="1:26" x14ac:dyDescent="0.25">
      <c r="A410">
        <v>100408</v>
      </c>
      <c r="B410" s="3">
        <v>45473</v>
      </c>
      <c r="C410" s="3">
        <v>45475</v>
      </c>
      <c r="D410" s="3">
        <v>45488</v>
      </c>
      <c r="E410" t="s">
        <v>1249</v>
      </c>
      <c r="F410" t="s">
        <v>25</v>
      </c>
      <c r="G410" t="s">
        <v>233</v>
      </c>
      <c r="H410" t="s">
        <v>1250</v>
      </c>
      <c r="I410" t="s">
        <v>144</v>
      </c>
      <c r="J410" t="s">
        <v>52</v>
      </c>
      <c r="K410" t="s">
        <v>1251</v>
      </c>
      <c r="L410" t="s">
        <v>187</v>
      </c>
      <c r="M410" t="s">
        <v>65</v>
      </c>
      <c r="N410" t="s">
        <v>66</v>
      </c>
      <c r="O410" t="s">
        <v>67</v>
      </c>
      <c r="P410" t="s">
        <v>123</v>
      </c>
      <c r="Q410">
        <v>257</v>
      </c>
      <c r="R410">
        <v>34.299999999999997</v>
      </c>
      <c r="S410">
        <v>8815.1</v>
      </c>
      <c r="T410">
        <v>16.940000000000001</v>
      </c>
      <c r="U410">
        <v>13</v>
      </c>
      <c r="V410">
        <v>15</v>
      </c>
      <c r="W410">
        <v>3777</v>
      </c>
      <c r="X410" t="s">
        <v>188</v>
      </c>
      <c r="Y410" t="s">
        <v>36</v>
      </c>
      <c r="Z410">
        <v>1582.82</v>
      </c>
    </row>
    <row r="411" spans="1:26" x14ac:dyDescent="0.25">
      <c r="A411">
        <v>100409</v>
      </c>
      <c r="B411" s="3">
        <v>45765</v>
      </c>
      <c r="C411" s="3">
        <v>45770</v>
      </c>
      <c r="D411" s="3">
        <v>45785</v>
      </c>
      <c r="E411" t="s">
        <v>1252</v>
      </c>
      <c r="F411" t="s">
        <v>25</v>
      </c>
      <c r="G411" t="s">
        <v>26</v>
      </c>
      <c r="H411" t="s">
        <v>1253</v>
      </c>
      <c r="I411" t="s">
        <v>89</v>
      </c>
      <c r="J411" t="s">
        <v>62</v>
      </c>
      <c r="K411" t="s">
        <v>1254</v>
      </c>
      <c r="L411" t="s">
        <v>122</v>
      </c>
      <c r="M411" t="s">
        <v>54</v>
      </c>
      <c r="N411" t="s">
        <v>74</v>
      </c>
      <c r="O411" t="s">
        <v>75</v>
      </c>
      <c r="P411" t="s">
        <v>35</v>
      </c>
      <c r="Q411">
        <v>188</v>
      </c>
      <c r="R411">
        <v>5.82</v>
      </c>
      <c r="S411">
        <v>1094.1600000000001</v>
      </c>
      <c r="T411">
        <v>17.8</v>
      </c>
      <c r="U411">
        <v>15</v>
      </c>
      <c r="V411">
        <v>20</v>
      </c>
      <c r="W411">
        <v>2879</v>
      </c>
      <c r="X411" t="s">
        <v>3742</v>
      </c>
      <c r="Y411" t="s">
        <v>188</v>
      </c>
      <c r="Z411">
        <v>36.99</v>
      </c>
    </row>
    <row r="412" spans="1:26" x14ac:dyDescent="0.25">
      <c r="A412">
        <v>100410</v>
      </c>
      <c r="B412" s="3">
        <v>45532</v>
      </c>
      <c r="C412" s="3">
        <v>45532</v>
      </c>
      <c r="D412" s="3">
        <v>45535</v>
      </c>
      <c r="E412" t="s">
        <v>1255</v>
      </c>
      <c r="F412" t="s">
        <v>32</v>
      </c>
      <c r="G412" t="s">
        <v>95</v>
      </c>
      <c r="H412" t="s">
        <v>1256</v>
      </c>
      <c r="I412" t="s">
        <v>238</v>
      </c>
      <c r="J412" t="s">
        <v>62</v>
      </c>
      <c r="K412" t="s">
        <v>486</v>
      </c>
      <c r="L412" t="s">
        <v>44</v>
      </c>
      <c r="M412" t="s">
        <v>25</v>
      </c>
      <c r="N412" t="s">
        <v>74</v>
      </c>
      <c r="O412" t="s">
        <v>75</v>
      </c>
      <c r="P412" t="s">
        <v>68</v>
      </c>
      <c r="Q412">
        <v>108</v>
      </c>
      <c r="R412">
        <v>21.35</v>
      </c>
      <c r="S412">
        <v>2305.8000000000002</v>
      </c>
      <c r="T412">
        <v>35.51</v>
      </c>
      <c r="U412">
        <v>3</v>
      </c>
      <c r="V412">
        <v>3</v>
      </c>
      <c r="W412">
        <v>3905</v>
      </c>
      <c r="X412" t="s">
        <v>3741</v>
      </c>
      <c r="Y412" t="s">
        <v>36</v>
      </c>
      <c r="Z412">
        <v>300.82</v>
      </c>
    </row>
    <row r="413" spans="1:26" x14ac:dyDescent="0.25">
      <c r="A413">
        <v>100411</v>
      </c>
      <c r="B413" s="3">
        <v>45834</v>
      </c>
      <c r="C413" s="3">
        <v>45839</v>
      </c>
      <c r="D413" s="3">
        <v>45844</v>
      </c>
      <c r="E413" t="s">
        <v>1257</v>
      </c>
      <c r="F413" t="s">
        <v>65</v>
      </c>
      <c r="G413" t="s">
        <v>142</v>
      </c>
      <c r="H413" t="s">
        <v>1258</v>
      </c>
      <c r="I413" t="s">
        <v>139</v>
      </c>
      <c r="J413" t="s">
        <v>42</v>
      </c>
      <c r="K413" t="s">
        <v>1259</v>
      </c>
      <c r="L413" t="s">
        <v>212</v>
      </c>
      <c r="M413" t="s">
        <v>25</v>
      </c>
      <c r="N413" t="s">
        <v>92</v>
      </c>
      <c r="O413" t="s">
        <v>93</v>
      </c>
      <c r="P413" t="s">
        <v>123</v>
      </c>
      <c r="Q413">
        <v>119</v>
      </c>
      <c r="R413">
        <v>417.16</v>
      </c>
      <c r="S413">
        <v>49642.04</v>
      </c>
      <c r="T413">
        <v>13.58</v>
      </c>
      <c r="U413">
        <v>5</v>
      </c>
      <c r="V413">
        <v>10</v>
      </c>
      <c r="W413">
        <v>1641</v>
      </c>
      <c r="X413" t="s">
        <v>188</v>
      </c>
      <c r="Y413" t="s">
        <v>36</v>
      </c>
      <c r="Z413">
        <v>4102.05</v>
      </c>
    </row>
    <row r="414" spans="1:26" x14ac:dyDescent="0.25">
      <c r="A414">
        <v>100412</v>
      </c>
      <c r="B414" s="3">
        <v>45768</v>
      </c>
      <c r="C414" s="3">
        <v>45773</v>
      </c>
      <c r="D414" s="3">
        <v>45781</v>
      </c>
      <c r="E414" t="s">
        <v>1260</v>
      </c>
      <c r="F414" t="s">
        <v>38</v>
      </c>
      <c r="G414" t="s">
        <v>83</v>
      </c>
      <c r="H414" t="s">
        <v>1261</v>
      </c>
      <c r="I414" t="s">
        <v>72</v>
      </c>
      <c r="J414" t="s">
        <v>42</v>
      </c>
      <c r="K414" t="s">
        <v>1262</v>
      </c>
      <c r="L414" t="s">
        <v>212</v>
      </c>
      <c r="M414" t="s">
        <v>32</v>
      </c>
      <c r="N414" t="s">
        <v>74</v>
      </c>
      <c r="O414" t="s">
        <v>75</v>
      </c>
      <c r="P414" t="s">
        <v>123</v>
      </c>
      <c r="Q414">
        <v>70</v>
      </c>
      <c r="R414">
        <v>248.31</v>
      </c>
      <c r="S414">
        <v>17381.7</v>
      </c>
      <c r="T414">
        <v>12.39</v>
      </c>
      <c r="U414">
        <v>8</v>
      </c>
      <c r="V414">
        <v>13</v>
      </c>
      <c r="W414">
        <v>587</v>
      </c>
      <c r="X414" t="s">
        <v>188</v>
      </c>
      <c r="Y414" t="s">
        <v>36</v>
      </c>
      <c r="Z414">
        <v>3652.91</v>
      </c>
    </row>
    <row r="415" spans="1:26" x14ac:dyDescent="0.25">
      <c r="A415">
        <v>100413</v>
      </c>
      <c r="B415" s="3">
        <v>45990</v>
      </c>
      <c r="C415" s="3">
        <v>45993</v>
      </c>
      <c r="D415" s="3">
        <v>46007</v>
      </c>
      <c r="E415" t="s">
        <v>1263</v>
      </c>
      <c r="F415" t="s">
        <v>65</v>
      </c>
      <c r="G415" t="s">
        <v>70</v>
      </c>
      <c r="H415" t="s">
        <v>1264</v>
      </c>
      <c r="I415" t="s">
        <v>198</v>
      </c>
      <c r="J415" t="s">
        <v>52</v>
      </c>
      <c r="K415" t="s">
        <v>1265</v>
      </c>
      <c r="L415" t="s">
        <v>31</v>
      </c>
      <c r="M415" t="s">
        <v>38</v>
      </c>
      <c r="N415" t="s">
        <v>151</v>
      </c>
      <c r="O415" t="s">
        <v>152</v>
      </c>
      <c r="P415" t="s">
        <v>76</v>
      </c>
      <c r="Q415">
        <v>215</v>
      </c>
      <c r="R415">
        <v>52.65</v>
      </c>
      <c r="S415">
        <v>11319.75</v>
      </c>
      <c r="T415">
        <v>11.94</v>
      </c>
      <c r="U415">
        <v>14</v>
      </c>
      <c r="V415">
        <v>17</v>
      </c>
      <c r="W415">
        <v>526</v>
      </c>
      <c r="X415" t="s">
        <v>188</v>
      </c>
      <c r="Y415" t="s">
        <v>36</v>
      </c>
      <c r="Z415">
        <v>1066.33</v>
      </c>
    </row>
    <row r="416" spans="1:26" x14ac:dyDescent="0.25">
      <c r="A416">
        <v>100414</v>
      </c>
      <c r="B416" s="3">
        <v>45943</v>
      </c>
      <c r="C416" s="3">
        <v>45948</v>
      </c>
      <c r="D416" s="3">
        <v>45955</v>
      </c>
      <c r="E416" t="s">
        <v>1266</v>
      </c>
      <c r="F416" t="s">
        <v>25</v>
      </c>
      <c r="G416" t="s">
        <v>244</v>
      </c>
      <c r="H416" t="s">
        <v>1267</v>
      </c>
      <c r="I416" t="s">
        <v>72</v>
      </c>
      <c r="J416" t="s">
        <v>42</v>
      </c>
      <c r="K416" t="s">
        <v>1268</v>
      </c>
      <c r="L416" t="s">
        <v>64</v>
      </c>
      <c r="M416" t="s">
        <v>54</v>
      </c>
      <c r="N416" t="s">
        <v>66</v>
      </c>
      <c r="O416" t="s">
        <v>67</v>
      </c>
      <c r="P416" t="s">
        <v>35</v>
      </c>
      <c r="Q416">
        <v>67</v>
      </c>
      <c r="R416">
        <v>94.1</v>
      </c>
      <c r="S416">
        <v>6304.7</v>
      </c>
      <c r="T416">
        <v>14.37</v>
      </c>
      <c r="U416">
        <v>7</v>
      </c>
      <c r="V416">
        <v>12</v>
      </c>
      <c r="W416">
        <v>951</v>
      </c>
      <c r="X416" t="s">
        <v>3742</v>
      </c>
      <c r="Y416" t="s">
        <v>57</v>
      </c>
      <c r="Z416">
        <v>731.84</v>
      </c>
    </row>
    <row r="417" spans="1:26" x14ac:dyDescent="0.25">
      <c r="A417">
        <v>100415</v>
      </c>
      <c r="B417" s="3">
        <v>45335</v>
      </c>
      <c r="C417" s="3">
        <v>45337</v>
      </c>
      <c r="D417" s="3">
        <v>45356</v>
      </c>
      <c r="E417" t="s">
        <v>1269</v>
      </c>
      <c r="F417" t="s">
        <v>25</v>
      </c>
      <c r="G417" t="s">
        <v>221</v>
      </c>
      <c r="H417" t="s">
        <v>1270</v>
      </c>
      <c r="I417" t="s">
        <v>230</v>
      </c>
      <c r="J417" t="s">
        <v>80</v>
      </c>
      <c r="K417" t="s">
        <v>748</v>
      </c>
      <c r="L417" t="s">
        <v>64</v>
      </c>
      <c r="M417" t="s">
        <v>32</v>
      </c>
      <c r="N417" t="s">
        <v>203</v>
      </c>
      <c r="O417" t="s">
        <v>204</v>
      </c>
      <c r="P417" t="s">
        <v>76</v>
      </c>
      <c r="Q417">
        <v>201</v>
      </c>
      <c r="R417">
        <v>75.91</v>
      </c>
      <c r="S417">
        <v>15257.91</v>
      </c>
      <c r="T417">
        <v>11.68</v>
      </c>
      <c r="U417">
        <v>19</v>
      </c>
      <c r="V417">
        <v>21</v>
      </c>
      <c r="W417">
        <v>1640</v>
      </c>
      <c r="X417" t="s">
        <v>188</v>
      </c>
      <c r="Y417" t="s">
        <v>36</v>
      </c>
      <c r="Z417">
        <v>3333.44</v>
      </c>
    </row>
    <row r="418" spans="1:26" x14ac:dyDescent="0.25">
      <c r="A418">
        <v>100416</v>
      </c>
      <c r="B418" s="3">
        <v>45445</v>
      </c>
      <c r="C418" s="3">
        <v>45447</v>
      </c>
      <c r="D418" s="3">
        <v>45450</v>
      </c>
      <c r="E418" t="s">
        <v>1271</v>
      </c>
      <c r="F418" t="s">
        <v>65</v>
      </c>
      <c r="G418" t="s">
        <v>70</v>
      </c>
      <c r="H418" t="s">
        <v>1272</v>
      </c>
      <c r="I418" t="s">
        <v>134</v>
      </c>
      <c r="J418" t="s">
        <v>52</v>
      </c>
      <c r="K418" t="s">
        <v>1273</v>
      </c>
      <c r="L418" t="s">
        <v>44</v>
      </c>
      <c r="M418" t="s">
        <v>38</v>
      </c>
      <c r="N418" t="s">
        <v>151</v>
      </c>
      <c r="O418" t="s">
        <v>152</v>
      </c>
      <c r="P418" t="s">
        <v>68</v>
      </c>
      <c r="Q418">
        <v>160</v>
      </c>
      <c r="R418">
        <v>69.150000000000006</v>
      </c>
      <c r="S418">
        <v>11064</v>
      </c>
      <c r="T418">
        <v>38.880000000000003</v>
      </c>
      <c r="U418">
        <v>3</v>
      </c>
      <c r="V418">
        <v>5</v>
      </c>
      <c r="W418">
        <v>2279</v>
      </c>
      <c r="X418" t="s">
        <v>3741</v>
      </c>
      <c r="Y418" t="s">
        <v>36</v>
      </c>
      <c r="Z418">
        <v>1915.49</v>
      </c>
    </row>
    <row r="419" spans="1:26" x14ac:dyDescent="0.25">
      <c r="A419">
        <v>100417</v>
      </c>
      <c r="B419" s="3">
        <v>45471</v>
      </c>
      <c r="C419" s="3">
        <v>45476</v>
      </c>
      <c r="D419" s="3">
        <v>45492</v>
      </c>
      <c r="E419" t="s">
        <v>1274</v>
      </c>
      <c r="F419" t="s">
        <v>32</v>
      </c>
      <c r="G419" t="s">
        <v>180</v>
      </c>
      <c r="H419" t="s">
        <v>1275</v>
      </c>
      <c r="I419" t="s">
        <v>198</v>
      </c>
      <c r="J419" t="s">
        <v>52</v>
      </c>
      <c r="K419" t="s">
        <v>150</v>
      </c>
      <c r="L419" t="s">
        <v>91</v>
      </c>
      <c r="M419" t="s">
        <v>25</v>
      </c>
      <c r="N419" t="s">
        <v>92</v>
      </c>
      <c r="O419" t="s">
        <v>93</v>
      </c>
      <c r="P419" t="s">
        <v>76</v>
      </c>
      <c r="Q419">
        <v>237</v>
      </c>
      <c r="R419">
        <v>53.26</v>
      </c>
      <c r="S419">
        <v>12622.62</v>
      </c>
      <c r="T419">
        <v>12.34</v>
      </c>
      <c r="U419">
        <v>16</v>
      </c>
      <c r="V419">
        <v>21</v>
      </c>
      <c r="W419">
        <v>3368</v>
      </c>
      <c r="X419" t="s">
        <v>188</v>
      </c>
      <c r="Y419" t="s">
        <v>36</v>
      </c>
      <c r="Z419">
        <v>1363.36</v>
      </c>
    </row>
    <row r="420" spans="1:26" x14ac:dyDescent="0.25">
      <c r="A420">
        <v>100418</v>
      </c>
      <c r="B420" s="3">
        <v>45347</v>
      </c>
      <c r="C420" s="3">
        <v>45347</v>
      </c>
      <c r="D420" s="3">
        <v>45350</v>
      </c>
      <c r="E420" t="s">
        <v>1276</v>
      </c>
      <c r="F420" t="s">
        <v>65</v>
      </c>
      <c r="G420" t="s">
        <v>154</v>
      </c>
      <c r="H420" t="s">
        <v>1277</v>
      </c>
      <c r="I420" t="s">
        <v>149</v>
      </c>
      <c r="J420" t="s">
        <v>42</v>
      </c>
      <c r="K420" t="s">
        <v>928</v>
      </c>
      <c r="L420" t="s">
        <v>113</v>
      </c>
      <c r="M420" t="s">
        <v>25</v>
      </c>
      <c r="N420" t="s">
        <v>74</v>
      </c>
      <c r="O420" t="s">
        <v>75</v>
      </c>
      <c r="P420" t="s">
        <v>68</v>
      </c>
      <c r="Q420">
        <v>139</v>
      </c>
      <c r="R420">
        <v>207.51</v>
      </c>
      <c r="S420">
        <v>28843.89</v>
      </c>
      <c r="T420">
        <v>37.520000000000003</v>
      </c>
      <c r="U420">
        <v>3</v>
      </c>
      <c r="V420">
        <v>3</v>
      </c>
      <c r="W420">
        <v>163</v>
      </c>
      <c r="X420" t="s">
        <v>3741</v>
      </c>
      <c r="Y420" t="s">
        <v>36</v>
      </c>
      <c r="Z420">
        <v>3746.4</v>
      </c>
    </row>
    <row r="421" spans="1:26" x14ac:dyDescent="0.25">
      <c r="A421">
        <v>100419</v>
      </c>
      <c r="B421" s="3">
        <v>46006</v>
      </c>
      <c r="C421" s="3">
        <v>46007</v>
      </c>
      <c r="D421" s="3">
        <v>46025</v>
      </c>
      <c r="E421" t="s">
        <v>1278</v>
      </c>
      <c r="F421" t="s">
        <v>65</v>
      </c>
      <c r="G421" t="s">
        <v>142</v>
      </c>
      <c r="H421" t="s">
        <v>1279</v>
      </c>
      <c r="I421" t="s">
        <v>368</v>
      </c>
      <c r="J421" t="s">
        <v>29</v>
      </c>
      <c r="K421" t="s">
        <v>1280</v>
      </c>
      <c r="L421" t="s">
        <v>31</v>
      </c>
      <c r="M421" t="s">
        <v>54</v>
      </c>
      <c r="N421" t="s">
        <v>74</v>
      </c>
      <c r="O421" t="s">
        <v>75</v>
      </c>
      <c r="P421" t="s">
        <v>76</v>
      </c>
      <c r="Q421">
        <v>50</v>
      </c>
      <c r="R421">
        <v>18.86</v>
      </c>
      <c r="S421">
        <v>943</v>
      </c>
      <c r="T421">
        <v>8.93</v>
      </c>
      <c r="U421">
        <v>18</v>
      </c>
      <c r="V421">
        <v>19</v>
      </c>
      <c r="W421">
        <v>515</v>
      </c>
      <c r="X421" t="s">
        <v>3742</v>
      </c>
      <c r="Y421" t="s">
        <v>57</v>
      </c>
      <c r="Z421">
        <v>188.9</v>
      </c>
    </row>
    <row r="422" spans="1:26" x14ac:dyDescent="0.25">
      <c r="A422">
        <v>100420</v>
      </c>
      <c r="B422" s="3">
        <v>45609</v>
      </c>
      <c r="C422" s="3">
        <v>45609</v>
      </c>
      <c r="D422" s="3">
        <v>45616</v>
      </c>
      <c r="E422" t="s">
        <v>1281</v>
      </c>
      <c r="F422" t="s">
        <v>32</v>
      </c>
      <c r="G422" t="s">
        <v>255</v>
      </c>
      <c r="H422" t="s">
        <v>1282</v>
      </c>
      <c r="I422" t="s">
        <v>85</v>
      </c>
      <c r="J422" t="s">
        <v>52</v>
      </c>
      <c r="K422" t="s">
        <v>1283</v>
      </c>
      <c r="L422" t="s">
        <v>122</v>
      </c>
      <c r="M422" t="s">
        <v>25</v>
      </c>
      <c r="N422" t="s">
        <v>203</v>
      </c>
      <c r="O422" t="s">
        <v>204</v>
      </c>
      <c r="P422" t="s">
        <v>123</v>
      </c>
      <c r="Q422">
        <v>103</v>
      </c>
      <c r="R422">
        <v>24.88</v>
      </c>
      <c r="S422">
        <v>2562.64</v>
      </c>
      <c r="T422">
        <v>13.19</v>
      </c>
      <c r="U422">
        <v>7</v>
      </c>
      <c r="V422">
        <v>7</v>
      </c>
      <c r="W422">
        <v>1938</v>
      </c>
      <c r="X422" t="s">
        <v>3741</v>
      </c>
      <c r="Y422" t="s">
        <v>36</v>
      </c>
      <c r="Z422">
        <v>260.26</v>
      </c>
    </row>
    <row r="423" spans="1:26" x14ac:dyDescent="0.25">
      <c r="A423">
        <v>100421</v>
      </c>
      <c r="B423" s="3">
        <v>45565</v>
      </c>
      <c r="C423" s="3">
        <v>45566</v>
      </c>
      <c r="D423" s="3">
        <v>45571</v>
      </c>
      <c r="E423" t="s">
        <v>1284</v>
      </c>
      <c r="F423" t="s">
        <v>32</v>
      </c>
      <c r="G423" t="s">
        <v>110</v>
      </c>
      <c r="H423" t="s">
        <v>1285</v>
      </c>
      <c r="I423" t="s">
        <v>246</v>
      </c>
      <c r="J423" t="s">
        <v>29</v>
      </c>
      <c r="K423" t="s">
        <v>1286</v>
      </c>
      <c r="L423" t="s">
        <v>64</v>
      </c>
      <c r="M423" t="s">
        <v>25</v>
      </c>
      <c r="N423" t="s">
        <v>203</v>
      </c>
      <c r="O423" t="s">
        <v>204</v>
      </c>
      <c r="P423" t="s">
        <v>35</v>
      </c>
      <c r="Q423">
        <v>442</v>
      </c>
      <c r="R423">
        <v>22.64</v>
      </c>
      <c r="S423">
        <v>10006.879999999999</v>
      </c>
      <c r="T423">
        <v>25</v>
      </c>
      <c r="U423">
        <v>5</v>
      </c>
      <c r="V423">
        <v>6</v>
      </c>
      <c r="W423">
        <v>2329</v>
      </c>
      <c r="X423" t="s">
        <v>3741</v>
      </c>
      <c r="Y423" t="s">
        <v>36</v>
      </c>
      <c r="Z423">
        <v>2171.37</v>
      </c>
    </row>
    <row r="424" spans="1:26" x14ac:dyDescent="0.25">
      <c r="A424">
        <v>100422</v>
      </c>
      <c r="B424" s="3">
        <v>45556</v>
      </c>
      <c r="C424" s="3">
        <v>45560</v>
      </c>
      <c r="D424" s="3">
        <v>45563</v>
      </c>
      <c r="E424" t="s">
        <v>1287</v>
      </c>
      <c r="F424" t="s">
        <v>25</v>
      </c>
      <c r="G424" t="s">
        <v>244</v>
      </c>
      <c r="H424" t="s">
        <v>1288</v>
      </c>
      <c r="I424" t="s">
        <v>85</v>
      </c>
      <c r="J424" t="s">
        <v>52</v>
      </c>
      <c r="K424" t="s">
        <v>1289</v>
      </c>
      <c r="L424" t="s">
        <v>91</v>
      </c>
      <c r="M424" t="s">
        <v>54</v>
      </c>
      <c r="N424" t="s">
        <v>151</v>
      </c>
      <c r="O424" t="s">
        <v>152</v>
      </c>
      <c r="P424" t="s">
        <v>68</v>
      </c>
      <c r="Q424">
        <v>355</v>
      </c>
      <c r="R424">
        <v>83.38</v>
      </c>
      <c r="S424">
        <v>29599.9</v>
      </c>
      <c r="T424">
        <v>51.52</v>
      </c>
      <c r="U424">
        <v>3</v>
      </c>
      <c r="V424">
        <v>7</v>
      </c>
      <c r="W424">
        <v>1377</v>
      </c>
      <c r="X424" t="s">
        <v>3741</v>
      </c>
      <c r="Y424" t="s">
        <v>36</v>
      </c>
      <c r="Z424">
        <v>3732.26</v>
      </c>
    </row>
    <row r="425" spans="1:26" x14ac:dyDescent="0.25">
      <c r="A425">
        <v>100423</v>
      </c>
      <c r="B425" s="3">
        <v>45741</v>
      </c>
      <c r="C425" s="3">
        <v>45741</v>
      </c>
      <c r="D425" s="3">
        <v>45760</v>
      </c>
      <c r="E425" t="s">
        <v>1290</v>
      </c>
      <c r="F425" t="s">
        <v>65</v>
      </c>
      <c r="G425" t="s">
        <v>70</v>
      </c>
      <c r="H425" t="s">
        <v>1291</v>
      </c>
      <c r="I425" t="s">
        <v>126</v>
      </c>
      <c r="J425" t="s">
        <v>42</v>
      </c>
      <c r="K425" t="s">
        <v>1292</v>
      </c>
      <c r="L425" t="s">
        <v>118</v>
      </c>
      <c r="M425" t="s">
        <v>54</v>
      </c>
      <c r="N425" t="s">
        <v>74</v>
      </c>
      <c r="O425" t="s">
        <v>75</v>
      </c>
      <c r="P425" t="s">
        <v>76</v>
      </c>
      <c r="Q425">
        <v>193</v>
      </c>
      <c r="R425">
        <v>193.32</v>
      </c>
      <c r="S425">
        <v>37310.76</v>
      </c>
      <c r="T425">
        <v>11.54</v>
      </c>
      <c r="U425">
        <v>19</v>
      </c>
      <c r="V425">
        <v>19</v>
      </c>
      <c r="W425">
        <v>1122</v>
      </c>
      <c r="X425" t="s">
        <v>188</v>
      </c>
      <c r="Y425" t="s">
        <v>36</v>
      </c>
      <c r="Z425">
        <v>7120.45</v>
      </c>
    </row>
    <row r="426" spans="1:26" x14ac:dyDescent="0.25">
      <c r="A426">
        <v>100424</v>
      </c>
      <c r="B426" s="3">
        <v>45337</v>
      </c>
      <c r="C426" s="3">
        <v>45342</v>
      </c>
      <c r="D426" s="3">
        <v>45349</v>
      </c>
      <c r="E426" t="s">
        <v>1293</v>
      </c>
      <c r="F426" t="s">
        <v>25</v>
      </c>
      <c r="G426" t="s">
        <v>221</v>
      </c>
      <c r="H426" t="s">
        <v>1294</v>
      </c>
      <c r="I426" t="s">
        <v>149</v>
      </c>
      <c r="J426" t="s">
        <v>42</v>
      </c>
      <c r="K426" t="s">
        <v>1295</v>
      </c>
      <c r="L426" t="s">
        <v>122</v>
      </c>
      <c r="M426" t="s">
        <v>54</v>
      </c>
      <c r="N426" t="s">
        <v>33</v>
      </c>
      <c r="O426" t="s">
        <v>34</v>
      </c>
      <c r="P426" t="s">
        <v>123</v>
      </c>
      <c r="Q426">
        <v>138</v>
      </c>
      <c r="R426">
        <v>79.989999999999995</v>
      </c>
      <c r="S426">
        <v>11038.62</v>
      </c>
      <c r="T426">
        <v>14.05</v>
      </c>
      <c r="U426">
        <v>7</v>
      </c>
      <c r="V426">
        <v>12</v>
      </c>
      <c r="W426">
        <v>1339</v>
      </c>
      <c r="X426" t="s">
        <v>188</v>
      </c>
      <c r="Y426" t="s">
        <v>36</v>
      </c>
      <c r="Z426">
        <v>1770.66</v>
      </c>
    </row>
    <row r="427" spans="1:26" x14ac:dyDescent="0.25">
      <c r="A427">
        <v>100425</v>
      </c>
      <c r="B427" s="3">
        <v>45425</v>
      </c>
      <c r="C427" s="3">
        <v>45428</v>
      </c>
      <c r="D427" s="3">
        <v>45436</v>
      </c>
      <c r="E427" t="s">
        <v>1296</v>
      </c>
      <c r="F427" t="s">
        <v>54</v>
      </c>
      <c r="G427" t="s">
        <v>193</v>
      </c>
      <c r="H427" t="s">
        <v>1297</v>
      </c>
      <c r="I427" t="s">
        <v>238</v>
      </c>
      <c r="J427" t="s">
        <v>62</v>
      </c>
      <c r="K427" t="s">
        <v>939</v>
      </c>
      <c r="L427" t="s">
        <v>98</v>
      </c>
      <c r="M427" t="s">
        <v>65</v>
      </c>
      <c r="N427" t="s">
        <v>203</v>
      </c>
      <c r="O427" t="s">
        <v>204</v>
      </c>
      <c r="P427" t="s">
        <v>35</v>
      </c>
      <c r="Q427">
        <v>35</v>
      </c>
      <c r="R427">
        <v>6.21</v>
      </c>
      <c r="S427">
        <v>217.35</v>
      </c>
      <c r="T427">
        <v>13.47</v>
      </c>
      <c r="U427">
        <v>8</v>
      </c>
      <c r="V427">
        <v>11</v>
      </c>
      <c r="W427">
        <v>1023</v>
      </c>
      <c r="X427" t="s">
        <v>188</v>
      </c>
      <c r="Y427" t="s">
        <v>36</v>
      </c>
      <c r="Z427">
        <v>17.600000000000001</v>
      </c>
    </row>
    <row r="428" spans="1:26" x14ac:dyDescent="0.25">
      <c r="A428">
        <v>100426</v>
      </c>
      <c r="B428" s="3">
        <v>45689</v>
      </c>
      <c r="C428" s="3">
        <v>45692</v>
      </c>
      <c r="D428" s="3">
        <v>45693</v>
      </c>
      <c r="E428" t="s">
        <v>1298</v>
      </c>
      <c r="F428" t="s">
        <v>65</v>
      </c>
      <c r="G428" t="s">
        <v>154</v>
      </c>
      <c r="H428" t="s">
        <v>1299</v>
      </c>
      <c r="I428" t="s">
        <v>28</v>
      </c>
      <c r="J428" t="s">
        <v>29</v>
      </c>
      <c r="K428" t="s">
        <v>1234</v>
      </c>
      <c r="L428" t="s">
        <v>44</v>
      </c>
      <c r="M428" t="s">
        <v>32</v>
      </c>
      <c r="N428" t="s">
        <v>66</v>
      </c>
      <c r="O428" t="s">
        <v>67</v>
      </c>
      <c r="P428" t="s">
        <v>68</v>
      </c>
      <c r="Q428">
        <v>87</v>
      </c>
      <c r="R428">
        <v>37.74</v>
      </c>
      <c r="S428">
        <v>3283.38</v>
      </c>
      <c r="T428">
        <v>34.15</v>
      </c>
      <c r="U428">
        <v>1</v>
      </c>
      <c r="V428">
        <v>4</v>
      </c>
      <c r="W428">
        <v>2807</v>
      </c>
      <c r="X428" t="s">
        <v>3741</v>
      </c>
      <c r="Y428" t="s">
        <v>36</v>
      </c>
      <c r="Z428">
        <v>629.73</v>
      </c>
    </row>
    <row r="429" spans="1:26" x14ac:dyDescent="0.25">
      <c r="A429">
        <v>100427</v>
      </c>
      <c r="B429" s="3">
        <v>45869</v>
      </c>
      <c r="C429" s="3">
        <v>45870</v>
      </c>
      <c r="D429" s="3">
        <v>45880</v>
      </c>
      <c r="E429" t="s">
        <v>1300</v>
      </c>
      <c r="F429" t="s">
        <v>32</v>
      </c>
      <c r="G429" t="s">
        <v>364</v>
      </c>
      <c r="H429" t="s">
        <v>1301</v>
      </c>
      <c r="I429" t="s">
        <v>61</v>
      </c>
      <c r="J429" t="s">
        <v>62</v>
      </c>
      <c r="K429" t="s">
        <v>1302</v>
      </c>
      <c r="L429" t="s">
        <v>113</v>
      </c>
      <c r="M429" t="s">
        <v>65</v>
      </c>
      <c r="N429" t="s">
        <v>203</v>
      </c>
      <c r="O429" t="s">
        <v>204</v>
      </c>
      <c r="P429" t="s">
        <v>35</v>
      </c>
      <c r="Q429">
        <v>263</v>
      </c>
      <c r="R429">
        <v>11.23</v>
      </c>
      <c r="S429">
        <v>2953.49</v>
      </c>
      <c r="T429">
        <v>19.93</v>
      </c>
      <c r="U429">
        <v>10</v>
      </c>
      <c r="V429">
        <v>11</v>
      </c>
      <c r="W429">
        <v>1599</v>
      </c>
      <c r="X429" t="s">
        <v>188</v>
      </c>
      <c r="Y429" t="s">
        <v>36</v>
      </c>
      <c r="Z429">
        <v>408.51</v>
      </c>
    </row>
    <row r="430" spans="1:26" x14ac:dyDescent="0.25">
      <c r="A430">
        <v>100428</v>
      </c>
      <c r="B430" s="3">
        <v>45903</v>
      </c>
      <c r="C430" s="3">
        <v>45908</v>
      </c>
      <c r="D430" s="3">
        <v>45912</v>
      </c>
      <c r="E430" t="s">
        <v>1303</v>
      </c>
      <c r="F430" t="s">
        <v>38</v>
      </c>
      <c r="G430" t="s">
        <v>83</v>
      </c>
      <c r="H430" t="s">
        <v>1304</v>
      </c>
      <c r="I430" t="s">
        <v>61</v>
      </c>
      <c r="J430" t="s">
        <v>62</v>
      </c>
      <c r="K430" t="s">
        <v>1305</v>
      </c>
      <c r="L430" t="s">
        <v>98</v>
      </c>
      <c r="M430" t="s">
        <v>54</v>
      </c>
      <c r="N430" t="s">
        <v>107</v>
      </c>
      <c r="O430" t="s">
        <v>108</v>
      </c>
      <c r="P430" t="s">
        <v>35</v>
      </c>
      <c r="Q430">
        <v>365</v>
      </c>
      <c r="R430">
        <v>10.37</v>
      </c>
      <c r="S430">
        <v>3785.05</v>
      </c>
      <c r="T430">
        <v>22.82</v>
      </c>
      <c r="U430">
        <v>4</v>
      </c>
      <c r="V430">
        <v>9</v>
      </c>
      <c r="W430">
        <v>823</v>
      </c>
      <c r="X430" t="s">
        <v>188</v>
      </c>
      <c r="Y430" t="s">
        <v>36</v>
      </c>
      <c r="Z430">
        <v>326.76</v>
      </c>
    </row>
    <row r="431" spans="1:26" x14ac:dyDescent="0.25">
      <c r="A431">
        <v>100429</v>
      </c>
      <c r="B431" s="3">
        <v>45771</v>
      </c>
      <c r="C431" s="3">
        <v>45773</v>
      </c>
      <c r="D431" s="3">
        <v>45780</v>
      </c>
      <c r="E431" t="s">
        <v>1306</v>
      </c>
      <c r="F431" t="s">
        <v>25</v>
      </c>
      <c r="G431" t="s">
        <v>244</v>
      </c>
      <c r="H431" t="s">
        <v>1307</v>
      </c>
      <c r="I431" t="s">
        <v>368</v>
      </c>
      <c r="J431" t="s">
        <v>29</v>
      </c>
      <c r="K431" t="s">
        <v>1308</v>
      </c>
      <c r="L431" t="s">
        <v>187</v>
      </c>
      <c r="M431" t="s">
        <v>32</v>
      </c>
      <c r="N431" t="s">
        <v>74</v>
      </c>
      <c r="O431" t="s">
        <v>75</v>
      </c>
      <c r="P431" t="s">
        <v>35</v>
      </c>
      <c r="Q431">
        <v>452</v>
      </c>
      <c r="R431">
        <v>84.84</v>
      </c>
      <c r="S431">
        <v>38347.68</v>
      </c>
      <c r="T431">
        <v>25.29</v>
      </c>
      <c r="U431">
        <v>7</v>
      </c>
      <c r="V431">
        <v>9</v>
      </c>
      <c r="W431">
        <v>292</v>
      </c>
      <c r="X431" t="s">
        <v>188</v>
      </c>
      <c r="Y431" t="s">
        <v>36</v>
      </c>
      <c r="Z431">
        <v>9228.7999999999993</v>
      </c>
    </row>
    <row r="432" spans="1:26" x14ac:dyDescent="0.25">
      <c r="A432">
        <v>100430</v>
      </c>
      <c r="B432" s="3">
        <v>45562</v>
      </c>
      <c r="C432" s="3">
        <v>45564</v>
      </c>
      <c r="D432" s="3">
        <v>45586</v>
      </c>
      <c r="E432" t="s">
        <v>1309</v>
      </c>
      <c r="F432" t="s">
        <v>25</v>
      </c>
      <c r="G432" t="s">
        <v>26</v>
      </c>
      <c r="H432" t="s">
        <v>1310</v>
      </c>
      <c r="I432" t="s">
        <v>238</v>
      </c>
      <c r="J432" t="s">
        <v>62</v>
      </c>
      <c r="K432" t="s">
        <v>844</v>
      </c>
      <c r="L432" t="s">
        <v>91</v>
      </c>
      <c r="M432" t="s">
        <v>38</v>
      </c>
      <c r="N432" t="s">
        <v>151</v>
      </c>
      <c r="O432" t="s">
        <v>152</v>
      </c>
      <c r="P432" t="s">
        <v>76</v>
      </c>
      <c r="Q432">
        <v>276</v>
      </c>
      <c r="R432">
        <v>36.700000000000003</v>
      </c>
      <c r="S432">
        <v>10129.200000000001</v>
      </c>
      <c r="T432">
        <v>13.05</v>
      </c>
      <c r="U432">
        <v>22</v>
      </c>
      <c r="V432">
        <v>24</v>
      </c>
      <c r="W432">
        <v>1941</v>
      </c>
      <c r="X432" t="s">
        <v>188</v>
      </c>
      <c r="Y432" t="s">
        <v>36</v>
      </c>
      <c r="Z432">
        <v>1748.47</v>
      </c>
    </row>
    <row r="433" spans="1:26" x14ac:dyDescent="0.25">
      <c r="A433">
        <v>100431</v>
      </c>
      <c r="B433" s="3">
        <v>45943</v>
      </c>
      <c r="C433" s="3">
        <v>45948</v>
      </c>
      <c r="D433" s="3">
        <v>45955</v>
      </c>
      <c r="E433" t="s">
        <v>825</v>
      </c>
      <c r="F433" t="s">
        <v>65</v>
      </c>
      <c r="G433" t="s">
        <v>70</v>
      </c>
      <c r="H433" t="s">
        <v>1311</v>
      </c>
      <c r="I433" t="s">
        <v>72</v>
      </c>
      <c r="J433" t="s">
        <v>42</v>
      </c>
      <c r="K433" t="s">
        <v>1312</v>
      </c>
      <c r="L433" t="s">
        <v>113</v>
      </c>
      <c r="M433" t="s">
        <v>38</v>
      </c>
      <c r="N433" t="s">
        <v>102</v>
      </c>
      <c r="O433" t="s">
        <v>103</v>
      </c>
      <c r="P433" t="s">
        <v>68</v>
      </c>
      <c r="Q433">
        <v>410</v>
      </c>
      <c r="R433">
        <v>107.31</v>
      </c>
      <c r="S433">
        <v>43997.1</v>
      </c>
      <c r="T433">
        <v>55.08</v>
      </c>
      <c r="U433">
        <v>7</v>
      </c>
      <c r="V433">
        <v>12</v>
      </c>
      <c r="W433">
        <v>1007</v>
      </c>
      <c r="X433" t="s">
        <v>188</v>
      </c>
      <c r="Y433" t="s">
        <v>36</v>
      </c>
      <c r="Z433">
        <v>3817.7</v>
      </c>
    </row>
    <row r="434" spans="1:26" x14ac:dyDescent="0.25">
      <c r="A434">
        <v>100432</v>
      </c>
      <c r="B434" s="3">
        <v>45397</v>
      </c>
      <c r="C434" s="3">
        <v>45401</v>
      </c>
      <c r="D434" s="3">
        <v>45416</v>
      </c>
      <c r="E434" t="s">
        <v>1313</v>
      </c>
      <c r="F434" t="s">
        <v>25</v>
      </c>
      <c r="G434" t="s">
        <v>233</v>
      </c>
      <c r="H434" t="s">
        <v>1314</v>
      </c>
      <c r="I434" t="s">
        <v>126</v>
      </c>
      <c r="J434" t="s">
        <v>42</v>
      </c>
      <c r="K434" t="s">
        <v>1315</v>
      </c>
      <c r="L434" t="s">
        <v>44</v>
      </c>
      <c r="M434" t="s">
        <v>25</v>
      </c>
      <c r="N434" t="s">
        <v>151</v>
      </c>
      <c r="O434" t="s">
        <v>152</v>
      </c>
      <c r="P434" t="s">
        <v>76</v>
      </c>
      <c r="Q434">
        <v>339</v>
      </c>
      <c r="R434">
        <v>290.77</v>
      </c>
      <c r="S434">
        <v>98571.03</v>
      </c>
      <c r="T434">
        <v>10.52</v>
      </c>
      <c r="U434">
        <v>15</v>
      </c>
      <c r="V434">
        <v>19</v>
      </c>
      <c r="W434">
        <v>441</v>
      </c>
      <c r="X434" t="s">
        <v>188</v>
      </c>
      <c r="Y434" t="s">
        <v>36</v>
      </c>
      <c r="Z434">
        <v>8216.92</v>
      </c>
    </row>
    <row r="435" spans="1:26" x14ac:dyDescent="0.25">
      <c r="A435">
        <v>100433</v>
      </c>
      <c r="B435" s="3">
        <v>45293</v>
      </c>
      <c r="C435" s="3">
        <v>45294</v>
      </c>
      <c r="D435" s="3">
        <v>45314</v>
      </c>
      <c r="E435" t="s">
        <v>1316</v>
      </c>
      <c r="F435" t="s">
        <v>32</v>
      </c>
      <c r="G435" t="s">
        <v>273</v>
      </c>
      <c r="H435" t="s">
        <v>1317</v>
      </c>
      <c r="I435" t="s">
        <v>207</v>
      </c>
      <c r="J435" t="s">
        <v>80</v>
      </c>
      <c r="K435" t="s">
        <v>1318</v>
      </c>
      <c r="L435" t="s">
        <v>44</v>
      </c>
      <c r="M435" t="s">
        <v>38</v>
      </c>
      <c r="N435" t="s">
        <v>55</v>
      </c>
      <c r="O435" t="s">
        <v>56</v>
      </c>
      <c r="P435" t="s">
        <v>76</v>
      </c>
      <c r="Q435">
        <v>221</v>
      </c>
      <c r="R435">
        <v>119.82</v>
      </c>
      <c r="S435">
        <v>26480.22</v>
      </c>
      <c r="T435">
        <v>12.05</v>
      </c>
      <c r="U435">
        <v>20</v>
      </c>
      <c r="V435">
        <v>21</v>
      </c>
      <c r="W435">
        <v>923</v>
      </c>
      <c r="X435" t="s">
        <v>188</v>
      </c>
      <c r="Y435" t="s">
        <v>36</v>
      </c>
      <c r="Z435">
        <v>5020.1099999999997</v>
      </c>
    </row>
    <row r="436" spans="1:26" x14ac:dyDescent="0.25">
      <c r="A436">
        <v>100434</v>
      </c>
      <c r="B436" s="3">
        <v>45952</v>
      </c>
      <c r="C436" s="3">
        <v>45955</v>
      </c>
      <c r="D436" s="3">
        <v>45962</v>
      </c>
      <c r="E436" t="s">
        <v>1319</v>
      </c>
      <c r="F436" t="s">
        <v>25</v>
      </c>
      <c r="G436" t="s">
        <v>172</v>
      </c>
      <c r="H436" t="s">
        <v>1320</v>
      </c>
      <c r="I436" t="s">
        <v>126</v>
      </c>
      <c r="J436" t="s">
        <v>42</v>
      </c>
      <c r="K436" t="s">
        <v>581</v>
      </c>
      <c r="L436" t="s">
        <v>113</v>
      </c>
      <c r="M436" t="s">
        <v>32</v>
      </c>
      <c r="N436" t="s">
        <v>33</v>
      </c>
      <c r="O436" t="s">
        <v>34</v>
      </c>
      <c r="P436" t="s">
        <v>68</v>
      </c>
      <c r="Q436">
        <v>419</v>
      </c>
      <c r="R436">
        <v>347.48</v>
      </c>
      <c r="S436">
        <v>145594.12</v>
      </c>
      <c r="T436">
        <v>55.66</v>
      </c>
      <c r="U436">
        <v>7</v>
      </c>
      <c r="V436">
        <v>10</v>
      </c>
      <c r="W436">
        <v>1319</v>
      </c>
      <c r="X436" t="s">
        <v>188</v>
      </c>
      <c r="Y436" t="s">
        <v>36</v>
      </c>
      <c r="Z436">
        <v>12281.86</v>
      </c>
    </row>
    <row r="437" spans="1:26" x14ac:dyDescent="0.25">
      <c r="A437">
        <v>100435</v>
      </c>
      <c r="B437" s="3">
        <v>45342</v>
      </c>
      <c r="C437" s="3">
        <v>45343</v>
      </c>
      <c r="D437" s="3">
        <v>45352</v>
      </c>
      <c r="E437" t="s">
        <v>1321</v>
      </c>
      <c r="F437" t="s">
        <v>25</v>
      </c>
      <c r="G437" t="s">
        <v>172</v>
      </c>
      <c r="H437" t="s">
        <v>1322</v>
      </c>
      <c r="I437" t="s">
        <v>416</v>
      </c>
      <c r="J437" t="s">
        <v>80</v>
      </c>
      <c r="K437" t="s">
        <v>723</v>
      </c>
      <c r="L437" t="s">
        <v>122</v>
      </c>
      <c r="M437" t="s">
        <v>38</v>
      </c>
      <c r="N437" t="s">
        <v>203</v>
      </c>
      <c r="O437" t="s">
        <v>204</v>
      </c>
      <c r="P437" t="s">
        <v>68</v>
      </c>
      <c r="Q437">
        <v>66</v>
      </c>
      <c r="R437">
        <v>113.35</v>
      </c>
      <c r="S437">
        <v>7481.1</v>
      </c>
      <c r="T437">
        <v>32.79</v>
      </c>
      <c r="U437">
        <v>9</v>
      </c>
      <c r="V437">
        <v>10</v>
      </c>
      <c r="W437">
        <v>2057</v>
      </c>
      <c r="X437" t="s">
        <v>188</v>
      </c>
      <c r="Y437" t="s">
        <v>36</v>
      </c>
      <c r="Z437">
        <v>1762.86</v>
      </c>
    </row>
    <row r="438" spans="1:26" x14ac:dyDescent="0.25">
      <c r="A438">
        <v>100436</v>
      </c>
      <c r="B438" s="3">
        <v>45589</v>
      </c>
      <c r="C438" s="3">
        <v>45591</v>
      </c>
      <c r="D438" s="3">
        <v>45604</v>
      </c>
      <c r="E438" t="s">
        <v>1323</v>
      </c>
      <c r="F438" t="s">
        <v>54</v>
      </c>
      <c r="G438" t="s">
        <v>158</v>
      </c>
      <c r="H438" t="s">
        <v>1324</v>
      </c>
      <c r="I438" t="s">
        <v>182</v>
      </c>
      <c r="J438" t="s">
        <v>80</v>
      </c>
      <c r="K438" t="s">
        <v>637</v>
      </c>
      <c r="L438" t="s">
        <v>122</v>
      </c>
      <c r="M438" t="s">
        <v>65</v>
      </c>
      <c r="N438" t="s">
        <v>45</v>
      </c>
      <c r="O438" t="s">
        <v>46</v>
      </c>
      <c r="P438" t="s">
        <v>123</v>
      </c>
      <c r="Q438">
        <v>243</v>
      </c>
      <c r="R438">
        <v>218.81</v>
      </c>
      <c r="S438">
        <v>53170.83</v>
      </c>
      <c r="T438">
        <v>16.600000000000001</v>
      </c>
      <c r="U438">
        <v>13</v>
      </c>
      <c r="V438">
        <v>15</v>
      </c>
      <c r="W438">
        <v>892</v>
      </c>
      <c r="X438" t="s">
        <v>188</v>
      </c>
      <c r="Y438" t="s">
        <v>36</v>
      </c>
      <c r="Z438">
        <v>9979.1200000000008</v>
      </c>
    </row>
    <row r="439" spans="1:26" x14ac:dyDescent="0.25">
      <c r="A439">
        <v>100437</v>
      </c>
      <c r="B439" s="3">
        <v>45867</v>
      </c>
      <c r="C439" s="3">
        <v>45867</v>
      </c>
      <c r="D439" s="3">
        <v>45881</v>
      </c>
      <c r="E439" t="s">
        <v>1325</v>
      </c>
      <c r="F439" t="s">
        <v>65</v>
      </c>
      <c r="G439" t="s">
        <v>154</v>
      </c>
      <c r="H439" t="s">
        <v>1326</v>
      </c>
      <c r="I439" t="s">
        <v>230</v>
      </c>
      <c r="J439" t="s">
        <v>80</v>
      </c>
      <c r="K439" t="s">
        <v>1327</v>
      </c>
      <c r="L439" t="s">
        <v>187</v>
      </c>
      <c r="M439" t="s">
        <v>38</v>
      </c>
      <c r="N439" t="s">
        <v>55</v>
      </c>
      <c r="O439" t="s">
        <v>56</v>
      </c>
      <c r="P439" t="s">
        <v>76</v>
      </c>
      <c r="Q439">
        <v>93</v>
      </c>
      <c r="R439">
        <v>179.21</v>
      </c>
      <c r="S439">
        <v>16666.53</v>
      </c>
      <c r="T439">
        <v>9.7100000000000009</v>
      </c>
      <c r="U439">
        <v>14</v>
      </c>
      <c r="V439">
        <v>14</v>
      </c>
      <c r="W439">
        <v>931</v>
      </c>
      <c r="X439" t="s">
        <v>188</v>
      </c>
      <c r="Y439" t="s">
        <v>36</v>
      </c>
      <c r="Z439">
        <v>2924.13</v>
      </c>
    </row>
    <row r="440" spans="1:26" x14ac:dyDescent="0.25">
      <c r="A440">
        <v>100438</v>
      </c>
      <c r="B440" s="3">
        <v>45833</v>
      </c>
      <c r="C440" s="3">
        <v>45836</v>
      </c>
      <c r="D440" s="3">
        <v>45855</v>
      </c>
      <c r="E440" t="s">
        <v>1328</v>
      </c>
      <c r="F440" t="s">
        <v>65</v>
      </c>
      <c r="G440" t="s">
        <v>154</v>
      </c>
      <c r="H440" t="s">
        <v>1329</v>
      </c>
      <c r="I440" t="s">
        <v>79</v>
      </c>
      <c r="J440" t="s">
        <v>80</v>
      </c>
      <c r="K440" t="s">
        <v>646</v>
      </c>
      <c r="L440" t="s">
        <v>113</v>
      </c>
      <c r="M440" t="s">
        <v>25</v>
      </c>
      <c r="N440" t="s">
        <v>33</v>
      </c>
      <c r="O440" t="s">
        <v>34</v>
      </c>
      <c r="P440" t="s">
        <v>76</v>
      </c>
      <c r="Q440">
        <v>173</v>
      </c>
      <c r="R440">
        <v>200.15</v>
      </c>
      <c r="S440">
        <v>34625.949999999997</v>
      </c>
      <c r="T440">
        <v>11.17</v>
      </c>
      <c r="U440">
        <v>19</v>
      </c>
      <c r="V440">
        <v>22</v>
      </c>
      <c r="W440">
        <v>574</v>
      </c>
      <c r="X440" t="s">
        <v>3742</v>
      </c>
      <c r="Y440" t="s">
        <v>188</v>
      </c>
      <c r="Z440">
        <v>5724.03</v>
      </c>
    </row>
    <row r="441" spans="1:26" x14ac:dyDescent="0.25">
      <c r="A441">
        <v>100439</v>
      </c>
      <c r="B441" s="3">
        <v>45566</v>
      </c>
      <c r="C441" s="3">
        <v>45567</v>
      </c>
      <c r="D441" s="3">
        <v>45570</v>
      </c>
      <c r="E441" t="s">
        <v>1330</v>
      </c>
      <c r="F441" t="s">
        <v>54</v>
      </c>
      <c r="G441" t="s">
        <v>193</v>
      </c>
      <c r="H441" t="s">
        <v>1331</v>
      </c>
      <c r="I441" t="s">
        <v>230</v>
      </c>
      <c r="J441" t="s">
        <v>80</v>
      </c>
      <c r="K441" t="s">
        <v>1332</v>
      </c>
      <c r="L441" t="s">
        <v>118</v>
      </c>
      <c r="M441" t="s">
        <v>32</v>
      </c>
      <c r="N441" t="s">
        <v>102</v>
      </c>
      <c r="O441" t="s">
        <v>103</v>
      </c>
      <c r="P441" t="s">
        <v>68</v>
      </c>
      <c r="Q441">
        <v>318</v>
      </c>
      <c r="R441">
        <v>75.12</v>
      </c>
      <c r="S441">
        <v>23888.16</v>
      </c>
      <c r="T441">
        <v>49.12</v>
      </c>
      <c r="U441">
        <v>3</v>
      </c>
      <c r="V441">
        <v>4</v>
      </c>
      <c r="W441">
        <v>1603</v>
      </c>
      <c r="X441" t="s">
        <v>3741</v>
      </c>
      <c r="Y441" t="s">
        <v>36</v>
      </c>
      <c r="Z441">
        <v>4905.88</v>
      </c>
    </row>
    <row r="442" spans="1:26" x14ac:dyDescent="0.25">
      <c r="A442">
        <v>100440</v>
      </c>
      <c r="B442" s="3">
        <v>45550</v>
      </c>
      <c r="C442" s="3">
        <v>45551</v>
      </c>
      <c r="D442" s="3">
        <v>45560</v>
      </c>
      <c r="E442" t="s">
        <v>1333</v>
      </c>
      <c r="F442" t="s">
        <v>54</v>
      </c>
      <c r="G442" t="s">
        <v>165</v>
      </c>
      <c r="H442" t="s">
        <v>1334</v>
      </c>
      <c r="I442" t="s">
        <v>79</v>
      </c>
      <c r="J442" t="s">
        <v>80</v>
      </c>
      <c r="K442" t="s">
        <v>1335</v>
      </c>
      <c r="L442" t="s">
        <v>113</v>
      </c>
      <c r="M442" t="s">
        <v>65</v>
      </c>
      <c r="N442" t="s">
        <v>55</v>
      </c>
      <c r="O442" t="s">
        <v>56</v>
      </c>
      <c r="P442" t="s">
        <v>35</v>
      </c>
      <c r="Q442">
        <v>468</v>
      </c>
      <c r="R442">
        <v>270.45999999999998</v>
      </c>
      <c r="S442">
        <v>126575.28</v>
      </c>
      <c r="T442">
        <v>25.74</v>
      </c>
      <c r="U442">
        <v>9</v>
      </c>
      <c r="V442">
        <v>10</v>
      </c>
      <c r="W442">
        <v>1331</v>
      </c>
      <c r="X442" t="s">
        <v>3742</v>
      </c>
      <c r="Y442" t="s">
        <v>47</v>
      </c>
      <c r="Z442">
        <v>-93.01</v>
      </c>
    </row>
    <row r="443" spans="1:26" x14ac:dyDescent="0.25">
      <c r="A443">
        <v>100441</v>
      </c>
      <c r="B443" s="3">
        <v>45442</v>
      </c>
      <c r="C443" s="3">
        <v>45447</v>
      </c>
      <c r="D443" s="3">
        <v>45451</v>
      </c>
      <c r="E443" t="s">
        <v>1336</v>
      </c>
      <c r="F443" t="s">
        <v>54</v>
      </c>
      <c r="G443" t="s">
        <v>165</v>
      </c>
      <c r="H443" t="s">
        <v>1337</v>
      </c>
      <c r="I443" t="s">
        <v>89</v>
      </c>
      <c r="J443" t="s">
        <v>62</v>
      </c>
      <c r="K443" t="s">
        <v>515</v>
      </c>
      <c r="L443" t="s">
        <v>64</v>
      </c>
      <c r="M443" t="s">
        <v>38</v>
      </c>
      <c r="N443" t="s">
        <v>45</v>
      </c>
      <c r="O443" t="s">
        <v>46</v>
      </c>
      <c r="P443" t="s">
        <v>68</v>
      </c>
      <c r="Q443">
        <v>468</v>
      </c>
      <c r="R443">
        <v>45.47</v>
      </c>
      <c r="S443">
        <v>21279.96</v>
      </c>
      <c r="T443">
        <v>58.84</v>
      </c>
      <c r="U443">
        <v>4</v>
      </c>
      <c r="V443">
        <v>9</v>
      </c>
      <c r="W443">
        <v>3192</v>
      </c>
      <c r="X443" t="s">
        <v>188</v>
      </c>
      <c r="Y443" t="s">
        <v>36</v>
      </c>
      <c r="Z443">
        <v>3342.68</v>
      </c>
    </row>
    <row r="444" spans="1:26" x14ac:dyDescent="0.25">
      <c r="A444">
        <v>100442</v>
      </c>
      <c r="B444" s="3">
        <v>45331</v>
      </c>
      <c r="C444" s="3">
        <v>45334</v>
      </c>
      <c r="D444" s="3">
        <v>45338</v>
      </c>
      <c r="E444" t="s">
        <v>1338</v>
      </c>
      <c r="F444" t="s">
        <v>65</v>
      </c>
      <c r="G444" t="s">
        <v>70</v>
      </c>
      <c r="H444" t="s">
        <v>1339</v>
      </c>
      <c r="I444" t="s">
        <v>79</v>
      </c>
      <c r="J444" t="s">
        <v>80</v>
      </c>
      <c r="K444" t="s">
        <v>723</v>
      </c>
      <c r="L444" t="s">
        <v>64</v>
      </c>
      <c r="M444" t="s">
        <v>38</v>
      </c>
      <c r="N444" t="s">
        <v>45</v>
      </c>
      <c r="O444" t="s">
        <v>46</v>
      </c>
      <c r="P444" t="s">
        <v>35</v>
      </c>
      <c r="Q444">
        <v>207</v>
      </c>
      <c r="R444">
        <v>186.99</v>
      </c>
      <c r="S444">
        <v>38706.93</v>
      </c>
      <c r="T444">
        <v>18.34</v>
      </c>
      <c r="U444">
        <v>4</v>
      </c>
      <c r="V444">
        <v>7</v>
      </c>
      <c r="W444">
        <v>2108</v>
      </c>
      <c r="X444" t="s">
        <v>3741</v>
      </c>
      <c r="Y444" t="s">
        <v>36</v>
      </c>
      <c r="Z444">
        <v>10791.8</v>
      </c>
    </row>
    <row r="445" spans="1:26" x14ac:dyDescent="0.25">
      <c r="A445">
        <v>100443</v>
      </c>
      <c r="B445" s="3">
        <v>45528</v>
      </c>
      <c r="C445" s="3">
        <v>45532</v>
      </c>
      <c r="D445" s="3">
        <v>45542</v>
      </c>
      <c r="E445" t="s">
        <v>1340</v>
      </c>
      <c r="F445" t="s">
        <v>25</v>
      </c>
      <c r="G445" t="s">
        <v>244</v>
      </c>
      <c r="H445" t="s">
        <v>1341</v>
      </c>
      <c r="I445" t="s">
        <v>238</v>
      </c>
      <c r="J445" t="s">
        <v>62</v>
      </c>
      <c r="K445" t="s">
        <v>1342</v>
      </c>
      <c r="L445" t="s">
        <v>118</v>
      </c>
      <c r="M445" t="s">
        <v>25</v>
      </c>
      <c r="N445" t="s">
        <v>45</v>
      </c>
      <c r="O445" t="s">
        <v>46</v>
      </c>
      <c r="P445" t="s">
        <v>76</v>
      </c>
      <c r="Q445">
        <v>153</v>
      </c>
      <c r="R445">
        <v>20.38</v>
      </c>
      <c r="S445">
        <v>3118.14</v>
      </c>
      <c r="T445">
        <v>8.01</v>
      </c>
      <c r="U445">
        <v>10</v>
      </c>
      <c r="V445">
        <v>14</v>
      </c>
      <c r="W445">
        <v>554</v>
      </c>
      <c r="X445" t="s">
        <v>188</v>
      </c>
      <c r="Y445" t="s">
        <v>36</v>
      </c>
      <c r="Z445">
        <v>-40.130000000000003</v>
      </c>
    </row>
    <row r="446" spans="1:26" x14ac:dyDescent="0.25">
      <c r="A446">
        <v>100444</v>
      </c>
      <c r="B446" s="3">
        <v>45648</v>
      </c>
      <c r="C446" s="3">
        <v>45648</v>
      </c>
      <c r="D446" s="3">
        <v>45660</v>
      </c>
      <c r="E446" t="s">
        <v>1343</v>
      </c>
      <c r="F446" t="s">
        <v>65</v>
      </c>
      <c r="G446" t="s">
        <v>70</v>
      </c>
      <c r="H446" t="s">
        <v>1344</v>
      </c>
      <c r="I446" t="s">
        <v>191</v>
      </c>
      <c r="J446" t="s">
        <v>62</v>
      </c>
      <c r="K446" t="s">
        <v>661</v>
      </c>
      <c r="L446" t="s">
        <v>212</v>
      </c>
      <c r="M446" t="s">
        <v>65</v>
      </c>
      <c r="N446" t="s">
        <v>74</v>
      </c>
      <c r="O446" t="s">
        <v>75</v>
      </c>
      <c r="P446" t="s">
        <v>123</v>
      </c>
      <c r="Q446">
        <v>321</v>
      </c>
      <c r="R446">
        <v>10.43</v>
      </c>
      <c r="S446">
        <v>3348.03</v>
      </c>
      <c r="T446">
        <v>13.7</v>
      </c>
      <c r="U446">
        <v>12</v>
      </c>
      <c r="V446">
        <v>12</v>
      </c>
      <c r="W446">
        <v>2829</v>
      </c>
      <c r="X446" t="s">
        <v>188</v>
      </c>
      <c r="Y446" t="s">
        <v>36</v>
      </c>
      <c r="Z446">
        <v>563.41</v>
      </c>
    </row>
    <row r="447" spans="1:26" x14ac:dyDescent="0.25">
      <c r="A447">
        <v>100445</v>
      </c>
      <c r="B447" s="3">
        <v>45881</v>
      </c>
      <c r="C447" s="3">
        <v>45883</v>
      </c>
      <c r="D447" s="3">
        <v>45890</v>
      </c>
      <c r="E447" t="s">
        <v>1345</v>
      </c>
      <c r="F447" t="s">
        <v>65</v>
      </c>
      <c r="G447" t="s">
        <v>142</v>
      </c>
      <c r="H447" t="s">
        <v>1346</v>
      </c>
      <c r="I447" t="s">
        <v>85</v>
      </c>
      <c r="J447" t="s">
        <v>52</v>
      </c>
      <c r="K447" t="s">
        <v>1347</v>
      </c>
      <c r="L447" t="s">
        <v>212</v>
      </c>
      <c r="M447" t="s">
        <v>32</v>
      </c>
      <c r="N447" t="s">
        <v>92</v>
      </c>
      <c r="O447" t="s">
        <v>93</v>
      </c>
      <c r="P447" t="s">
        <v>35</v>
      </c>
      <c r="Q447">
        <v>114</v>
      </c>
      <c r="R447">
        <v>70.760000000000005</v>
      </c>
      <c r="S447">
        <v>8066.64</v>
      </c>
      <c r="T447">
        <v>15.71</v>
      </c>
      <c r="U447">
        <v>7</v>
      </c>
      <c r="V447">
        <v>9</v>
      </c>
      <c r="W447">
        <v>967</v>
      </c>
      <c r="X447" t="s">
        <v>3742</v>
      </c>
      <c r="Y447" t="s">
        <v>57</v>
      </c>
      <c r="Z447">
        <v>796.01</v>
      </c>
    </row>
    <row r="448" spans="1:26" x14ac:dyDescent="0.25">
      <c r="A448">
        <v>100446</v>
      </c>
      <c r="B448" s="3">
        <v>45512</v>
      </c>
      <c r="C448" s="3">
        <v>45514</v>
      </c>
      <c r="D448" s="3">
        <v>45517</v>
      </c>
      <c r="E448" t="s">
        <v>1348</v>
      </c>
      <c r="F448" t="s">
        <v>32</v>
      </c>
      <c r="G448" t="s">
        <v>137</v>
      </c>
      <c r="H448" t="s">
        <v>1349</v>
      </c>
      <c r="I448" t="s">
        <v>41</v>
      </c>
      <c r="J448" t="s">
        <v>42</v>
      </c>
      <c r="K448" t="s">
        <v>1079</v>
      </c>
      <c r="L448" t="s">
        <v>187</v>
      </c>
      <c r="M448" t="s">
        <v>32</v>
      </c>
      <c r="N448" t="s">
        <v>55</v>
      </c>
      <c r="O448" t="s">
        <v>56</v>
      </c>
      <c r="P448" t="s">
        <v>68</v>
      </c>
      <c r="Q448">
        <v>224</v>
      </c>
      <c r="R448">
        <v>207.11</v>
      </c>
      <c r="S448">
        <v>46392.639999999999</v>
      </c>
      <c r="T448">
        <v>31.87</v>
      </c>
      <c r="U448">
        <v>3</v>
      </c>
      <c r="V448">
        <v>5</v>
      </c>
      <c r="W448">
        <v>1493</v>
      </c>
      <c r="X448" t="s">
        <v>3741</v>
      </c>
      <c r="Y448" t="s">
        <v>36</v>
      </c>
      <c r="Z448">
        <v>9203.5400000000009</v>
      </c>
    </row>
    <row r="449" spans="1:26" x14ac:dyDescent="0.25">
      <c r="A449">
        <v>100447</v>
      </c>
      <c r="B449" s="3">
        <v>45801</v>
      </c>
      <c r="C449" s="3">
        <v>45801</v>
      </c>
      <c r="D449" s="3">
        <v>45817</v>
      </c>
      <c r="E449" t="s">
        <v>1350</v>
      </c>
      <c r="F449" t="s">
        <v>25</v>
      </c>
      <c r="G449" t="s">
        <v>221</v>
      </c>
      <c r="H449" t="s">
        <v>1351</v>
      </c>
      <c r="I449" t="s">
        <v>416</v>
      </c>
      <c r="J449" t="s">
        <v>80</v>
      </c>
      <c r="K449" t="s">
        <v>1352</v>
      </c>
      <c r="L449" t="s">
        <v>64</v>
      </c>
      <c r="M449" t="s">
        <v>38</v>
      </c>
      <c r="N449" t="s">
        <v>45</v>
      </c>
      <c r="O449" t="s">
        <v>46</v>
      </c>
      <c r="P449" t="s">
        <v>76</v>
      </c>
      <c r="Q449">
        <v>434</v>
      </c>
      <c r="R449">
        <v>81.34</v>
      </c>
      <c r="S449">
        <v>35301.56</v>
      </c>
      <c r="T449">
        <v>15.93</v>
      </c>
      <c r="U449">
        <v>16</v>
      </c>
      <c r="V449">
        <v>16</v>
      </c>
      <c r="W449">
        <v>483</v>
      </c>
      <c r="X449" t="s">
        <v>188</v>
      </c>
      <c r="Y449" t="s">
        <v>36</v>
      </c>
      <c r="Z449">
        <v>4550.4399999999996</v>
      </c>
    </row>
    <row r="450" spans="1:26" x14ac:dyDescent="0.25">
      <c r="A450">
        <v>100448</v>
      </c>
      <c r="B450" s="3">
        <v>45804</v>
      </c>
      <c r="C450" s="3">
        <v>45805</v>
      </c>
      <c r="D450" s="3">
        <v>45815</v>
      </c>
      <c r="E450" t="s">
        <v>1353</v>
      </c>
      <c r="F450" t="s">
        <v>65</v>
      </c>
      <c r="G450" t="s">
        <v>142</v>
      </c>
      <c r="H450" t="s">
        <v>1354</v>
      </c>
      <c r="I450" t="s">
        <v>238</v>
      </c>
      <c r="J450" t="s">
        <v>62</v>
      </c>
      <c r="K450" t="s">
        <v>1355</v>
      </c>
      <c r="L450" t="s">
        <v>187</v>
      </c>
      <c r="M450" t="s">
        <v>25</v>
      </c>
      <c r="N450" t="s">
        <v>66</v>
      </c>
      <c r="O450" t="s">
        <v>67</v>
      </c>
      <c r="P450" t="s">
        <v>76</v>
      </c>
      <c r="Q450">
        <v>255</v>
      </c>
      <c r="R450">
        <v>11.83</v>
      </c>
      <c r="S450">
        <v>3016.65</v>
      </c>
      <c r="T450">
        <v>12.67</v>
      </c>
      <c r="U450">
        <v>10</v>
      </c>
      <c r="V450">
        <v>11</v>
      </c>
      <c r="W450">
        <v>4956</v>
      </c>
      <c r="X450" t="s">
        <v>188</v>
      </c>
      <c r="Y450" t="s">
        <v>36</v>
      </c>
      <c r="Z450">
        <v>168.55</v>
      </c>
    </row>
    <row r="451" spans="1:26" x14ac:dyDescent="0.25">
      <c r="A451">
        <v>100449</v>
      </c>
      <c r="B451" s="3">
        <v>45490</v>
      </c>
      <c r="C451" s="3">
        <v>45491</v>
      </c>
      <c r="D451" s="3">
        <v>45501</v>
      </c>
      <c r="E451" t="s">
        <v>1356</v>
      </c>
      <c r="F451" t="s">
        <v>25</v>
      </c>
      <c r="G451" t="s">
        <v>59</v>
      </c>
      <c r="H451" t="s">
        <v>1357</v>
      </c>
      <c r="I451" t="s">
        <v>134</v>
      </c>
      <c r="J451" t="s">
        <v>52</v>
      </c>
      <c r="K451" t="s">
        <v>1358</v>
      </c>
      <c r="L451" t="s">
        <v>44</v>
      </c>
      <c r="M451" t="s">
        <v>65</v>
      </c>
      <c r="N451" t="s">
        <v>203</v>
      </c>
      <c r="O451" t="s">
        <v>204</v>
      </c>
      <c r="P451" t="s">
        <v>76</v>
      </c>
      <c r="Q451">
        <v>424</v>
      </c>
      <c r="R451">
        <v>69.53</v>
      </c>
      <c r="S451">
        <v>29480.720000000001</v>
      </c>
      <c r="T451">
        <v>15.75</v>
      </c>
      <c r="U451">
        <v>10</v>
      </c>
      <c r="V451">
        <v>11</v>
      </c>
      <c r="W451">
        <v>2807</v>
      </c>
      <c r="X451" t="s">
        <v>188</v>
      </c>
      <c r="Y451" t="s">
        <v>36</v>
      </c>
      <c r="Z451">
        <v>5535.2</v>
      </c>
    </row>
    <row r="452" spans="1:26" x14ac:dyDescent="0.25">
      <c r="A452">
        <v>100450</v>
      </c>
      <c r="B452" s="3">
        <v>45371</v>
      </c>
      <c r="C452" s="3">
        <v>45371</v>
      </c>
      <c r="D452" s="3">
        <v>45376</v>
      </c>
      <c r="E452" t="s">
        <v>1359</v>
      </c>
      <c r="F452" t="s">
        <v>65</v>
      </c>
      <c r="G452" t="s">
        <v>154</v>
      </c>
      <c r="H452" t="s">
        <v>1360</v>
      </c>
      <c r="I452" t="s">
        <v>28</v>
      </c>
      <c r="J452" t="s">
        <v>29</v>
      </c>
      <c r="K452" t="s">
        <v>885</v>
      </c>
      <c r="L452" t="s">
        <v>122</v>
      </c>
      <c r="M452" t="s">
        <v>54</v>
      </c>
      <c r="N452" t="s">
        <v>92</v>
      </c>
      <c r="O452" t="s">
        <v>93</v>
      </c>
      <c r="P452" t="s">
        <v>35</v>
      </c>
      <c r="Q452">
        <v>204</v>
      </c>
      <c r="R452">
        <v>86.69</v>
      </c>
      <c r="S452">
        <v>17684.759999999998</v>
      </c>
      <c r="T452">
        <v>18.260000000000002</v>
      </c>
      <c r="U452">
        <v>5</v>
      </c>
      <c r="V452">
        <v>5</v>
      </c>
      <c r="W452">
        <v>3051</v>
      </c>
      <c r="X452" t="s">
        <v>3741</v>
      </c>
      <c r="Y452" t="s">
        <v>36</v>
      </c>
      <c r="Z452">
        <v>3259.99</v>
      </c>
    </row>
    <row r="453" spans="1:26" x14ac:dyDescent="0.25">
      <c r="A453">
        <v>100451</v>
      </c>
      <c r="B453" s="3">
        <v>45760</v>
      </c>
      <c r="C453" s="3">
        <v>45763</v>
      </c>
      <c r="D453" s="3">
        <v>45767</v>
      </c>
      <c r="E453" t="s">
        <v>1361</v>
      </c>
      <c r="F453" t="s">
        <v>32</v>
      </c>
      <c r="G453" t="s">
        <v>255</v>
      </c>
      <c r="H453" t="s">
        <v>1362</v>
      </c>
      <c r="I453" t="s">
        <v>144</v>
      </c>
      <c r="J453" t="s">
        <v>52</v>
      </c>
      <c r="K453" t="s">
        <v>855</v>
      </c>
      <c r="L453" t="s">
        <v>64</v>
      </c>
      <c r="M453" t="s">
        <v>32</v>
      </c>
      <c r="N453" t="s">
        <v>55</v>
      </c>
      <c r="O453" t="s">
        <v>56</v>
      </c>
      <c r="P453" t="s">
        <v>68</v>
      </c>
      <c r="Q453">
        <v>216</v>
      </c>
      <c r="R453">
        <v>75.459999999999994</v>
      </c>
      <c r="S453">
        <v>16299.36</v>
      </c>
      <c r="T453">
        <v>31.49</v>
      </c>
      <c r="U453">
        <v>4</v>
      </c>
      <c r="V453">
        <v>7</v>
      </c>
      <c r="W453">
        <v>364</v>
      </c>
      <c r="X453" t="s">
        <v>3741</v>
      </c>
      <c r="Y453" t="s">
        <v>36</v>
      </c>
      <c r="Z453">
        <v>2888.2</v>
      </c>
    </row>
    <row r="454" spans="1:26" x14ac:dyDescent="0.25">
      <c r="A454">
        <v>100452</v>
      </c>
      <c r="B454" s="3">
        <v>45336</v>
      </c>
      <c r="C454" s="3">
        <v>45337</v>
      </c>
      <c r="D454" s="3">
        <v>45360</v>
      </c>
      <c r="E454" t="s">
        <v>1363</v>
      </c>
      <c r="F454" t="s">
        <v>54</v>
      </c>
      <c r="G454" t="s">
        <v>165</v>
      </c>
      <c r="H454" t="s">
        <v>1364</v>
      </c>
      <c r="I454" t="s">
        <v>28</v>
      </c>
      <c r="J454" t="s">
        <v>29</v>
      </c>
      <c r="K454" t="s">
        <v>1365</v>
      </c>
      <c r="L454" t="s">
        <v>122</v>
      </c>
      <c r="M454" t="s">
        <v>25</v>
      </c>
      <c r="N454" t="s">
        <v>55</v>
      </c>
      <c r="O454" t="s">
        <v>56</v>
      </c>
      <c r="P454" t="s">
        <v>76</v>
      </c>
      <c r="Q454">
        <v>28</v>
      </c>
      <c r="R454">
        <v>61.88</v>
      </c>
      <c r="S454">
        <v>1732.64</v>
      </c>
      <c r="T454">
        <v>8.5299999999999994</v>
      </c>
      <c r="U454">
        <v>23</v>
      </c>
      <c r="V454">
        <v>24</v>
      </c>
      <c r="W454">
        <v>3228</v>
      </c>
      <c r="X454" t="s">
        <v>3742</v>
      </c>
      <c r="Y454" t="s">
        <v>47</v>
      </c>
      <c r="Z454">
        <v>-206.93</v>
      </c>
    </row>
    <row r="455" spans="1:26" x14ac:dyDescent="0.25">
      <c r="A455">
        <v>100453</v>
      </c>
      <c r="B455" s="3">
        <v>45346</v>
      </c>
      <c r="C455" s="3">
        <v>45347</v>
      </c>
      <c r="D455" s="3">
        <v>45360</v>
      </c>
      <c r="E455" t="s">
        <v>1366</v>
      </c>
      <c r="F455" t="s">
        <v>38</v>
      </c>
      <c r="G455" t="s">
        <v>217</v>
      </c>
      <c r="H455" t="s">
        <v>1367</v>
      </c>
      <c r="I455" t="s">
        <v>116</v>
      </c>
      <c r="J455" t="s">
        <v>62</v>
      </c>
      <c r="K455" t="s">
        <v>1368</v>
      </c>
      <c r="L455" t="s">
        <v>64</v>
      </c>
      <c r="M455" t="s">
        <v>38</v>
      </c>
      <c r="N455" t="s">
        <v>45</v>
      </c>
      <c r="O455" t="s">
        <v>46</v>
      </c>
      <c r="P455" t="s">
        <v>123</v>
      </c>
      <c r="Q455">
        <v>19</v>
      </c>
      <c r="R455">
        <v>36.94</v>
      </c>
      <c r="S455">
        <v>701.86</v>
      </c>
      <c r="T455">
        <v>8.26</v>
      </c>
      <c r="U455">
        <v>13</v>
      </c>
      <c r="V455">
        <v>14</v>
      </c>
      <c r="W455">
        <v>1767</v>
      </c>
      <c r="X455" t="s">
        <v>188</v>
      </c>
      <c r="Y455" t="s">
        <v>36</v>
      </c>
      <c r="Z455">
        <v>38.21</v>
      </c>
    </row>
    <row r="456" spans="1:26" x14ac:dyDescent="0.25">
      <c r="A456">
        <v>100454</v>
      </c>
      <c r="B456" s="3">
        <v>45369</v>
      </c>
      <c r="C456" s="3">
        <v>45373</v>
      </c>
      <c r="D456" s="3">
        <v>45381</v>
      </c>
      <c r="E456" t="s">
        <v>1369</v>
      </c>
      <c r="F456" t="s">
        <v>54</v>
      </c>
      <c r="G456" t="s">
        <v>193</v>
      </c>
      <c r="H456" t="s">
        <v>1370</v>
      </c>
      <c r="I456" t="s">
        <v>246</v>
      </c>
      <c r="J456" t="s">
        <v>29</v>
      </c>
      <c r="K456" t="s">
        <v>1371</v>
      </c>
      <c r="L456" t="s">
        <v>31</v>
      </c>
      <c r="M456" t="s">
        <v>65</v>
      </c>
      <c r="N456" t="s">
        <v>74</v>
      </c>
      <c r="O456" t="s">
        <v>75</v>
      </c>
      <c r="P456" t="s">
        <v>35</v>
      </c>
      <c r="Q456">
        <v>488</v>
      </c>
      <c r="R456">
        <v>55.58</v>
      </c>
      <c r="S456">
        <v>27123.040000000001</v>
      </c>
      <c r="T456">
        <v>26.31</v>
      </c>
      <c r="U456">
        <v>8</v>
      </c>
      <c r="V456">
        <v>12</v>
      </c>
      <c r="W456">
        <v>1851</v>
      </c>
      <c r="X456" t="s">
        <v>188</v>
      </c>
      <c r="Y456" t="s">
        <v>36</v>
      </c>
      <c r="Z456">
        <v>5734.27</v>
      </c>
    </row>
    <row r="457" spans="1:26" x14ac:dyDescent="0.25">
      <c r="A457">
        <v>100455</v>
      </c>
      <c r="B457" s="3">
        <v>45900</v>
      </c>
      <c r="C457" s="3">
        <v>45905</v>
      </c>
      <c r="D457" s="3">
        <v>45927</v>
      </c>
      <c r="E457" t="s">
        <v>1372</v>
      </c>
      <c r="F457" t="s">
        <v>25</v>
      </c>
      <c r="G457" t="s">
        <v>59</v>
      </c>
      <c r="H457" t="s">
        <v>1373</v>
      </c>
      <c r="I457" t="s">
        <v>177</v>
      </c>
      <c r="J457" t="s">
        <v>29</v>
      </c>
      <c r="K457" t="s">
        <v>1374</v>
      </c>
      <c r="L457" t="s">
        <v>187</v>
      </c>
      <c r="M457" t="s">
        <v>65</v>
      </c>
      <c r="N457" t="s">
        <v>45</v>
      </c>
      <c r="O457" t="s">
        <v>46</v>
      </c>
      <c r="P457" t="s">
        <v>76</v>
      </c>
      <c r="Q457">
        <v>104</v>
      </c>
      <c r="R457">
        <v>107.62</v>
      </c>
      <c r="S457">
        <v>11192.48</v>
      </c>
      <c r="T457">
        <v>9.91</v>
      </c>
      <c r="U457">
        <v>22</v>
      </c>
      <c r="V457">
        <v>27</v>
      </c>
      <c r="W457">
        <v>1046</v>
      </c>
      <c r="X457" t="s">
        <v>188</v>
      </c>
      <c r="Y457" t="s">
        <v>36</v>
      </c>
      <c r="Z457">
        <v>2991.67</v>
      </c>
    </row>
    <row r="458" spans="1:26" x14ac:dyDescent="0.25">
      <c r="A458">
        <v>100456</v>
      </c>
      <c r="B458" s="3">
        <v>45663</v>
      </c>
      <c r="C458" s="3">
        <v>45666</v>
      </c>
      <c r="D458" s="3">
        <v>45681</v>
      </c>
      <c r="E458" t="s">
        <v>1375</v>
      </c>
      <c r="F458" t="s">
        <v>25</v>
      </c>
      <c r="G458" t="s">
        <v>169</v>
      </c>
      <c r="H458" t="s">
        <v>1376</v>
      </c>
      <c r="I458" t="s">
        <v>246</v>
      </c>
      <c r="J458" t="s">
        <v>29</v>
      </c>
      <c r="K458" t="s">
        <v>1377</v>
      </c>
      <c r="L458" t="s">
        <v>187</v>
      </c>
      <c r="M458" t="s">
        <v>25</v>
      </c>
      <c r="N458" t="s">
        <v>203</v>
      </c>
      <c r="O458" t="s">
        <v>204</v>
      </c>
      <c r="P458" t="s">
        <v>76</v>
      </c>
      <c r="Q458">
        <v>440</v>
      </c>
      <c r="R458">
        <v>41.08</v>
      </c>
      <c r="S458">
        <v>18075.2</v>
      </c>
      <c r="T458">
        <v>11.88</v>
      </c>
      <c r="U458">
        <v>15</v>
      </c>
      <c r="V458">
        <v>18</v>
      </c>
      <c r="W458">
        <v>1778</v>
      </c>
      <c r="X458" t="s">
        <v>188</v>
      </c>
      <c r="Y458" t="s">
        <v>36</v>
      </c>
      <c r="Z458">
        <v>3919.94</v>
      </c>
    </row>
    <row r="459" spans="1:26" x14ac:dyDescent="0.25">
      <c r="A459">
        <v>100457</v>
      </c>
      <c r="B459" s="3">
        <v>45518</v>
      </c>
      <c r="C459" s="3">
        <v>45518</v>
      </c>
      <c r="D459" s="3">
        <v>45529</v>
      </c>
      <c r="E459" t="s">
        <v>1378</v>
      </c>
      <c r="F459" t="s">
        <v>54</v>
      </c>
      <c r="G459" t="s">
        <v>193</v>
      </c>
      <c r="H459" t="s">
        <v>1379</v>
      </c>
      <c r="I459" t="s">
        <v>182</v>
      </c>
      <c r="J459" t="s">
        <v>80</v>
      </c>
      <c r="K459" t="s">
        <v>833</v>
      </c>
      <c r="L459" t="s">
        <v>91</v>
      </c>
      <c r="M459" t="s">
        <v>65</v>
      </c>
      <c r="N459" t="s">
        <v>102</v>
      </c>
      <c r="O459" t="s">
        <v>103</v>
      </c>
      <c r="P459" t="s">
        <v>123</v>
      </c>
      <c r="Q459">
        <v>181</v>
      </c>
      <c r="R459">
        <v>66.959999999999994</v>
      </c>
      <c r="S459">
        <v>12119.76</v>
      </c>
      <c r="T459">
        <v>15.09</v>
      </c>
      <c r="U459">
        <v>11</v>
      </c>
      <c r="V459">
        <v>11</v>
      </c>
      <c r="W459">
        <v>1257</v>
      </c>
      <c r="X459" t="s">
        <v>188</v>
      </c>
      <c r="Y459" t="s">
        <v>36</v>
      </c>
      <c r="Z459">
        <v>2088.66</v>
      </c>
    </row>
    <row r="460" spans="1:26" x14ac:dyDescent="0.25">
      <c r="A460">
        <v>100458</v>
      </c>
      <c r="B460" s="3">
        <v>45890</v>
      </c>
      <c r="C460" s="3">
        <v>45890</v>
      </c>
      <c r="D460" s="3">
        <v>45894</v>
      </c>
      <c r="E460" t="s">
        <v>1380</v>
      </c>
      <c r="F460" t="s">
        <v>25</v>
      </c>
      <c r="G460" t="s">
        <v>59</v>
      </c>
      <c r="H460" t="s">
        <v>1381</v>
      </c>
      <c r="I460" t="s">
        <v>79</v>
      </c>
      <c r="J460" t="s">
        <v>80</v>
      </c>
      <c r="K460" t="s">
        <v>1382</v>
      </c>
      <c r="L460" t="s">
        <v>31</v>
      </c>
      <c r="M460" t="s">
        <v>32</v>
      </c>
      <c r="N460" t="s">
        <v>92</v>
      </c>
      <c r="O460" t="s">
        <v>93</v>
      </c>
      <c r="P460" t="s">
        <v>123</v>
      </c>
      <c r="Q460">
        <v>200</v>
      </c>
      <c r="R460">
        <v>229.16</v>
      </c>
      <c r="S460">
        <v>45832</v>
      </c>
      <c r="T460">
        <v>15.55</v>
      </c>
      <c r="U460">
        <v>4</v>
      </c>
      <c r="V460">
        <v>4</v>
      </c>
      <c r="W460">
        <v>364</v>
      </c>
      <c r="X460" t="s">
        <v>3742</v>
      </c>
      <c r="Y460" t="s">
        <v>57</v>
      </c>
      <c r="Z460">
        <v>7373.54</v>
      </c>
    </row>
    <row r="461" spans="1:26" x14ac:dyDescent="0.25">
      <c r="A461">
        <v>100459</v>
      </c>
      <c r="B461" s="3">
        <v>45903</v>
      </c>
      <c r="C461" s="3">
        <v>45905</v>
      </c>
      <c r="D461" s="3">
        <v>45907</v>
      </c>
      <c r="E461" t="s">
        <v>1383</v>
      </c>
      <c r="F461" t="s">
        <v>25</v>
      </c>
      <c r="G461" t="s">
        <v>169</v>
      </c>
      <c r="H461" t="s">
        <v>1384</v>
      </c>
      <c r="I461" t="s">
        <v>139</v>
      </c>
      <c r="J461" t="s">
        <v>42</v>
      </c>
      <c r="K461" t="s">
        <v>1385</v>
      </c>
      <c r="L461" t="s">
        <v>98</v>
      </c>
      <c r="M461" t="s">
        <v>25</v>
      </c>
      <c r="N461" t="s">
        <v>33</v>
      </c>
      <c r="O461" t="s">
        <v>34</v>
      </c>
      <c r="P461" t="s">
        <v>35</v>
      </c>
      <c r="Q461">
        <v>260</v>
      </c>
      <c r="R461">
        <v>152.32</v>
      </c>
      <c r="S461">
        <v>39603.199999999997</v>
      </c>
      <c r="T461">
        <v>14.7</v>
      </c>
      <c r="U461">
        <v>2</v>
      </c>
      <c r="V461">
        <v>4</v>
      </c>
      <c r="W461">
        <v>1624</v>
      </c>
      <c r="X461" t="s">
        <v>3741</v>
      </c>
      <c r="Y461" t="s">
        <v>36</v>
      </c>
      <c r="Z461">
        <v>8573.01</v>
      </c>
    </row>
    <row r="462" spans="1:26" x14ac:dyDescent="0.25">
      <c r="A462">
        <v>100460</v>
      </c>
      <c r="B462" s="3">
        <v>45495</v>
      </c>
      <c r="C462" s="3">
        <v>45498</v>
      </c>
      <c r="D462" s="3">
        <v>45503</v>
      </c>
      <c r="E462" t="s">
        <v>1386</v>
      </c>
      <c r="F462" t="s">
        <v>32</v>
      </c>
      <c r="G462" t="s">
        <v>137</v>
      </c>
      <c r="H462" t="s">
        <v>1387</v>
      </c>
      <c r="I462" t="s">
        <v>89</v>
      </c>
      <c r="J462" t="s">
        <v>62</v>
      </c>
      <c r="K462" t="s">
        <v>1388</v>
      </c>
      <c r="L462" t="s">
        <v>118</v>
      </c>
      <c r="M462" t="s">
        <v>25</v>
      </c>
      <c r="N462" t="s">
        <v>74</v>
      </c>
      <c r="O462" t="s">
        <v>75</v>
      </c>
      <c r="P462" t="s">
        <v>68</v>
      </c>
      <c r="Q462">
        <v>435</v>
      </c>
      <c r="R462">
        <v>49.56</v>
      </c>
      <c r="S462">
        <v>21558.6</v>
      </c>
      <c r="T462">
        <v>56.7</v>
      </c>
      <c r="U462">
        <v>5</v>
      </c>
      <c r="V462">
        <v>8</v>
      </c>
      <c r="W462">
        <v>1079</v>
      </c>
      <c r="X462" t="s">
        <v>188</v>
      </c>
      <c r="Y462" t="s">
        <v>36</v>
      </c>
      <c r="Z462">
        <v>2828.31</v>
      </c>
    </row>
    <row r="463" spans="1:26" x14ac:dyDescent="0.25">
      <c r="A463">
        <v>100461</v>
      </c>
      <c r="B463" s="3">
        <v>45579</v>
      </c>
      <c r="C463" s="3">
        <v>45582</v>
      </c>
      <c r="D463" s="3">
        <v>45594</v>
      </c>
      <c r="E463" t="s">
        <v>1141</v>
      </c>
      <c r="F463" t="s">
        <v>25</v>
      </c>
      <c r="G463" t="s">
        <v>233</v>
      </c>
      <c r="H463" t="s">
        <v>1389</v>
      </c>
      <c r="I463" t="s">
        <v>116</v>
      </c>
      <c r="J463" t="s">
        <v>62</v>
      </c>
      <c r="K463" t="s">
        <v>1390</v>
      </c>
      <c r="L463" t="s">
        <v>91</v>
      </c>
      <c r="M463" t="s">
        <v>32</v>
      </c>
      <c r="N463" t="s">
        <v>151</v>
      </c>
      <c r="O463" t="s">
        <v>152</v>
      </c>
      <c r="P463" t="s">
        <v>123</v>
      </c>
      <c r="Q463">
        <v>223</v>
      </c>
      <c r="R463">
        <v>40.85</v>
      </c>
      <c r="S463">
        <v>9109.5499999999993</v>
      </c>
      <c r="T463">
        <v>16.11</v>
      </c>
      <c r="U463">
        <v>12</v>
      </c>
      <c r="V463">
        <v>15</v>
      </c>
      <c r="W463">
        <v>1399</v>
      </c>
      <c r="X463" t="s">
        <v>188</v>
      </c>
      <c r="Y463" t="s">
        <v>36</v>
      </c>
      <c r="Z463">
        <v>1328.26</v>
      </c>
    </row>
    <row r="464" spans="1:26" x14ac:dyDescent="0.25">
      <c r="A464">
        <v>100462</v>
      </c>
      <c r="B464" s="3">
        <v>45670</v>
      </c>
      <c r="C464" s="3">
        <v>45672</v>
      </c>
      <c r="D464" s="3">
        <v>45680</v>
      </c>
      <c r="E464" t="s">
        <v>1391</v>
      </c>
      <c r="F464" t="s">
        <v>65</v>
      </c>
      <c r="G464" t="s">
        <v>70</v>
      </c>
      <c r="H464" t="s">
        <v>1392</v>
      </c>
      <c r="I464" t="s">
        <v>61</v>
      </c>
      <c r="J464" t="s">
        <v>62</v>
      </c>
      <c r="K464" t="s">
        <v>1377</v>
      </c>
      <c r="L464" t="s">
        <v>118</v>
      </c>
      <c r="M464" t="s">
        <v>38</v>
      </c>
      <c r="N464" t="s">
        <v>107</v>
      </c>
      <c r="O464" t="s">
        <v>108</v>
      </c>
      <c r="P464" t="s">
        <v>35</v>
      </c>
      <c r="Q464">
        <v>176</v>
      </c>
      <c r="R464">
        <v>44.26</v>
      </c>
      <c r="S464">
        <v>7789.76</v>
      </c>
      <c r="T464">
        <v>17.46</v>
      </c>
      <c r="U464">
        <v>8</v>
      </c>
      <c r="V464">
        <v>10</v>
      </c>
      <c r="W464">
        <v>2775</v>
      </c>
      <c r="X464" t="s">
        <v>188</v>
      </c>
      <c r="Y464" t="s">
        <v>36</v>
      </c>
      <c r="Z464">
        <v>1040.3800000000001</v>
      </c>
    </row>
    <row r="465" spans="1:26" x14ac:dyDescent="0.25">
      <c r="A465">
        <v>100463</v>
      </c>
      <c r="B465" s="3">
        <v>45799</v>
      </c>
      <c r="C465" s="3">
        <v>45804</v>
      </c>
      <c r="D465" s="3">
        <v>45807</v>
      </c>
      <c r="E465" t="s">
        <v>1393</v>
      </c>
      <c r="F465" t="s">
        <v>65</v>
      </c>
      <c r="G465" t="s">
        <v>70</v>
      </c>
      <c r="H465" t="s">
        <v>1394</v>
      </c>
      <c r="I465" t="s">
        <v>41</v>
      </c>
      <c r="J465" t="s">
        <v>42</v>
      </c>
      <c r="K465" t="s">
        <v>374</v>
      </c>
      <c r="L465" t="s">
        <v>91</v>
      </c>
      <c r="M465" t="s">
        <v>38</v>
      </c>
      <c r="N465" t="s">
        <v>102</v>
      </c>
      <c r="O465" t="s">
        <v>103</v>
      </c>
      <c r="P465" t="s">
        <v>68</v>
      </c>
      <c r="Q465">
        <v>264</v>
      </c>
      <c r="R465">
        <v>293.83999999999997</v>
      </c>
      <c r="S465">
        <v>77573.759999999995</v>
      </c>
      <c r="T465">
        <v>45.62</v>
      </c>
      <c r="U465">
        <v>3</v>
      </c>
      <c r="V465">
        <v>8</v>
      </c>
      <c r="W465">
        <v>643</v>
      </c>
      <c r="X465" t="s">
        <v>188</v>
      </c>
      <c r="Y465" t="s">
        <v>36</v>
      </c>
      <c r="Z465">
        <v>15886.31</v>
      </c>
    </row>
    <row r="466" spans="1:26" x14ac:dyDescent="0.25">
      <c r="A466">
        <v>100464</v>
      </c>
      <c r="B466" s="3">
        <v>45700</v>
      </c>
      <c r="C466" s="3">
        <v>45703</v>
      </c>
      <c r="D466" s="3">
        <v>45708</v>
      </c>
      <c r="E466" t="s">
        <v>1395</v>
      </c>
      <c r="F466" t="s">
        <v>32</v>
      </c>
      <c r="G466" t="s">
        <v>364</v>
      </c>
      <c r="H466" t="s">
        <v>1396</v>
      </c>
      <c r="I466" t="s">
        <v>246</v>
      </c>
      <c r="J466" t="s">
        <v>29</v>
      </c>
      <c r="K466" t="s">
        <v>1094</v>
      </c>
      <c r="L466" t="s">
        <v>91</v>
      </c>
      <c r="M466" t="s">
        <v>25</v>
      </c>
      <c r="N466" t="s">
        <v>107</v>
      </c>
      <c r="O466" t="s">
        <v>108</v>
      </c>
      <c r="P466" t="s">
        <v>123</v>
      </c>
      <c r="Q466">
        <v>320</v>
      </c>
      <c r="R466">
        <v>15.42</v>
      </c>
      <c r="S466">
        <v>4934.3999999999996</v>
      </c>
      <c r="T466">
        <v>18.47</v>
      </c>
      <c r="U466">
        <v>5</v>
      </c>
      <c r="V466">
        <v>8</v>
      </c>
      <c r="W466">
        <v>237</v>
      </c>
      <c r="X466" t="s">
        <v>188</v>
      </c>
      <c r="Y466" t="s">
        <v>36</v>
      </c>
      <c r="Z466">
        <v>522.26</v>
      </c>
    </row>
    <row r="467" spans="1:26" x14ac:dyDescent="0.25">
      <c r="A467">
        <v>100465</v>
      </c>
      <c r="B467" s="3">
        <v>45911</v>
      </c>
      <c r="C467" s="3">
        <v>45912</v>
      </c>
      <c r="D467" s="3">
        <v>45925</v>
      </c>
      <c r="E467" t="s">
        <v>1397</v>
      </c>
      <c r="F467" t="s">
        <v>32</v>
      </c>
      <c r="G467" t="s">
        <v>364</v>
      </c>
      <c r="H467" t="s">
        <v>1398</v>
      </c>
      <c r="I467" t="s">
        <v>126</v>
      </c>
      <c r="J467" t="s">
        <v>42</v>
      </c>
      <c r="K467" t="s">
        <v>1399</v>
      </c>
      <c r="L467" t="s">
        <v>122</v>
      </c>
      <c r="M467" t="s">
        <v>65</v>
      </c>
      <c r="N467" t="s">
        <v>33</v>
      </c>
      <c r="O467" t="s">
        <v>34</v>
      </c>
      <c r="P467" t="s">
        <v>123</v>
      </c>
      <c r="Q467">
        <v>459</v>
      </c>
      <c r="R467">
        <v>233.44</v>
      </c>
      <c r="S467">
        <v>107148.96</v>
      </c>
      <c r="T467">
        <v>21.85</v>
      </c>
      <c r="U467">
        <v>13</v>
      </c>
      <c r="V467">
        <v>14</v>
      </c>
      <c r="W467">
        <v>1039</v>
      </c>
      <c r="X467" t="s">
        <v>188</v>
      </c>
      <c r="Y467" t="s">
        <v>36</v>
      </c>
      <c r="Z467">
        <v>11764.2</v>
      </c>
    </row>
    <row r="468" spans="1:26" x14ac:dyDescent="0.25">
      <c r="A468">
        <v>100466</v>
      </c>
      <c r="B468" s="3">
        <v>45794</v>
      </c>
      <c r="C468" s="3">
        <v>45795</v>
      </c>
      <c r="D468" s="3">
        <v>45804</v>
      </c>
      <c r="E468" t="s">
        <v>1400</v>
      </c>
      <c r="F468" t="s">
        <v>25</v>
      </c>
      <c r="G468" t="s">
        <v>169</v>
      </c>
      <c r="H468" t="s">
        <v>1401</v>
      </c>
      <c r="I468" t="s">
        <v>182</v>
      </c>
      <c r="J468" t="s">
        <v>80</v>
      </c>
      <c r="K468" t="s">
        <v>1402</v>
      </c>
      <c r="L468" t="s">
        <v>113</v>
      </c>
      <c r="M468" t="s">
        <v>65</v>
      </c>
      <c r="N468" t="s">
        <v>33</v>
      </c>
      <c r="O468" t="s">
        <v>34</v>
      </c>
      <c r="P468" t="s">
        <v>123</v>
      </c>
      <c r="Q468">
        <v>53</v>
      </c>
      <c r="R468">
        <v>253.03</v>
      </c>
      <c r="S468">
        <v>13410.59</v>
      </c>
      <c r="T468">
        <v>11.98</v>
      </c>
      <c r="U468">
        <v>9</v>
      </c>
      <c r="V468">
        <v>10</v>
      </c>
      <c r="W468">
        <v>375</v>
      </c>
      <c r="X468" t="s">
        <v>188</v>
      </c>
      <c r="Y468" t="s">
        <v>36</v>
      </c>
      <c r="Z468">
        <v>2064.17</v>
      </c>
    </row>
    <row r="469" spans="1:26" x14ac:dyDescent="0.25">
      <c r="A469">
        <v>100467</v>
      </c>
      <c r="B469" s="3">
        <v>45365</v>
      </c>
      <c r="C469" s="3">
        <v>45367</v>
      </c>
      <c r="D469" s="3">
        <v>45379</v>
      </c>
      <c r="E469" t="s">
        <v>1403</v>
      </c>
      <c r="F469" t="s">
        <v>32</v>
      </c>
      <c r="G469" t="s">
        <v>95</v>
      </c>
      <c r="H469" t="s">
        <v>1404</v>
      </c>
      <c r="I469" t="s">
        <v>207</v>
      </c>
      <c r="J469" t="s">
        <v>80</v>
      </c>
      <c r="K469" t="s">
        <v>1405</v>
      </c>
      <c r="L469" t="s">
        <v>122</v>
      </c>
      <c r="M469" t="s">
        <v>54</v>
      </c>
      <c r="N469" t="s">
        <v>151</v>
      </c>
      <c r="O469" t="s">
        <v>152</v>
      </c>
      <c r="P469" t="s">
        <v>123</v>
      </c>
      <c r="Q469">
        <v>331</v>
      </c>
      <c r="R469">
        <v>78.95</v>
      </c>
      <c r="S469">
        <v>26132.45</v>
      </c>
      <c r="T469">
        <v>18.739999999999998</v>
      </c>
      <c r="U469">
        <v>12</v>
      </c>
      <c r="V469">
        <v>14</v>
      </c>
      <c r="W469">
        <v>1602</v>
      </c>
      <c r="X469" t="s">
        <v>3742</v>
      </c>
      <c r="Y469" t="s">
        <v>188</v>
      </c>
      <c r="Z469">
        <v>6296.23</v>
      </c>
    </row>
    <row r="470" spans="1:26" x14ac:dyDescent="0.25">
      <c r="A470">
        <v>100468</v>
      </c>
      <c r="B470" s="3">
        <v>46022</v>
      </c>
      <c r="C470" s="3">
        <v>46026</v>
      </c>
      <c r="D470" s="3">
        <v>46029</v>
      </c>
      <c r="E470" t="s">
        <v>1406</v>
      </c>
      <c r="F470" t="s">
        <v>54</v>
      </c>
      <c r="G470" t="s">
        <v>129</v>
      </c>
      <c r="H470" t="s">
        <v>1407</v>
      </c>
      <c r="I470" t="s">
        <v>28</v>
      </c>
      <c r="J470" t="s">
        <v>29</v>
      </c>
      <c r="K470" t="s">
        <v>1408</v>
      </c>
      <c r="L470" t="s">
        <v>98</v>
      </c>
      <c r="M470" t="s">
        <v>38</v>
      </c>
      <c r="N470" t="s">
        <v>151</v>
      </c>
      <c r="O470" t="s">
        <v>152</v>
      </c>
      <c r="P470" t="s">
        <v>68</v>
      </c>
      <c r="Q470">
        <v>452</v>
      </c>
      <c r="R470">
        <v>56.02</v>
      </c>
      <c r="S470">
        <v>25321.040000000001</v>
      </c>
      <c r="T470">
        <v>57.8</v>
      </c>
      <c r="U470">
        <v>3</v>
      </c>
      <c r="V470">
        <v>7</v>
      </c>
      <c r="W470">
        <v>2521</v>
      </c>
      <c r="X470" t="s">
        <v>3742</v>
      </c>
      <c r="Y470" t="s">
        <v>57</v>
      </c>
      <c r="Z470">
        <v>4079.17</v>
      </c>
    </row>
    <row r="471" spans="1:26" x14ac:dyDescent="0.25">
      <c r="A471">
        <v>100469</v>
      </c>
      <c r="B471" s="3">
        <v>45911</v>
      </c>
      <c r="C471" s="3">
        <v>45911</v>
      </c>
      <c r="D471" s="3">
        <v>45935</v>
      </c>
      <c r="E471" t="s">
        <v>1409</v>
      </c>
      <c r="F471" t="s">
        <v>25</v>
      </c>
      <c r="G471" t="s">
        <v>172</v>
      </c>
      <c r="H471" t="s">
        <v>1410</v>
      </c>
      <c r="I471" t="s">
        <v>368</v>
      </c>
      <c r="J471" t="s">
        <v>29</v>
      </c>
      <c r="K471" t="s">
        <v>971</v>
      </c>
      <c r="L471" t="s">
        <v>91</v>
      </c>
      <c r="M471" t="s">
        <v>38</v>
      </c>
      <c r="N471" t="s">
        <v>45</v>
      </c>
      <c r="O471" t="s">
        <v>46</v>
      </c>
      <c r="P471" t="s">
        <v>76</v>
      </c>
      <c r="Q471">
        <v>429</v>
      </c>
      <c r="R471">
        <v>44.41</v>
      </c>
      <c r="S471">
        <v>19051.89</v>
      </c>
      <c r="T471">
        <v>15.84</v>
      </c>
      <c r="U471">
        <v>24</v>
      </c>
      <c r="V471">
        <v>24</v>
      </c>
      <c r="W471">
        <v>504</v>
      </c>
      <c r="X471" t="s">
        <v>3742</v>
      </c>
      <c r="Y471" t="s">
        <v>188</v>
      </c>
      <c r="Z471">
        <v>5672.84</v>
      </c>
    </row>
    <row r="472" spans="1:26" x14ac:dyDescent="0.25">
      <c r="A472">
        <v>100470</v>
      </c>
      <c r="B472" s="3">
        <v>45357</v>
      </c>
      <c r="C472" s="3">
        <v>45360</v>
      </c>
      <c r="D472" s="3">
        <v>45367</v>
      </c>
      <c r="E472" t="s">
        <v>1411</v>
      </c>
      <c r="F472" t="s">
        <v>54</v>
      </c>
      <c r="G472" t="s">
        <v>225</v>
      </c>
      <c r="H472" t="s">
        <v>1412</v>
      </c>
      <c r="I472" t="s">
        <v>79</v>
      </c>
      <c r="J472" t="s">
        <v>80</v>
      </c>
      <c r="K472" t="s">
        <v>1413</v>
      </c>
      <c r="L472" t="s">
        <v>113</v>
      </c>
      <c r="M472" t="s">
        <v>38</v>
      </c>
      <c r="N472" t="s">
        <v>45</v>
      </c>
      <c r="O472" t="s">
        <v>46</v>
      </c>
      <c r="P472" t="s">
        <v>35</v>
      </c>
      <c r="Q472">
        <v>451</v>
      </c>
      <c r="R472">
        <v>345.01</v>
      </c>
      <c r="S472">
        <v>155599.51</v>
      </c>
      <c r="T472">
        <v>25.26</v>
      </c>
      <c r="U472">
        <v>7</v>
      </c>
      <c r="V472">
        <v>10</v>
      </c>
      <c r="W472">
        <v>1654</v>
      </c>
      <c r="X472" t="s">
        <v>188</v>
      </c>
      <c r="Y472" t="s">
        <v>36</v>
      </c>
      <c r="Z472">
        <v>24252.27</v>
      </c>
    </row>
    <row r="473" spans="1:26" x14ac:dyDescent="0.25">
      <c r="A473">
        <v>100471</v>
      </c>
      <c r="B473" s="3">
        <v>45559</v>
      </c>
      <c r="C473" s="3">
        <v>45563</v>
      </c>
      <c r="D473" s="3">
        <v>45574</v>
      </c>
      <c r="E473" t="s">
        <v>1414</v>
      </c>
      <c r="F473" t="s">
        <v>65</v>
      </c>
      <c r="G473" t="s">
        <v>70</v>
      </c>
      <c r="H473" t="s">
        <v>1415</v>
      </c>
      <c r="I473" t="s">
        <v>416</v>
      </c>
      <c r="J473" t="s">
        <v>80</v>
      </c>
      <c r="K473" t="s">
        <v>1416</v>
      </c>
      <c r="L473" t="s">
        <v>118</v>
      </c>
      <c r="M473" t="s">
        <v>38</v>
      </c>
      <c r="N473" t="s">
        <v>102</v>
      </c>
      <c r="O473" t="s">
        <v>103</v>
      </c>
      <c r="P473" t="s">
        <v>123</v>
      </c>
      <c r="Q473">
        <v>182</v>
      </c>
      <c r="R473">
        <v>40.64</v>
      </c>
      <c r="S473">
        <v>7396.48</v>
      </c>
      <c r="T473">
        <v>15.11</v>
      </c>
      <c r="U473">
        <v>11</v>
      </c>
      <c r="V473">
        <v>15</v>
      </c>
      <c r="W473">
        <v>566</v>
      </c>
      <c r="X473" t="s">
        <v>188</v>
      </c>
      <c r="Y473" t="s">
        <v>36</v>
      </c>
      <c r="Z473">
        <v>1078.57</v>
      </c>
    </row>
    <row r="474" spans="1:26" x14ac:dyDescent="0.25">
      <c r="A474">
        <v>100472</v>
      </c>
      <c r="B474" s="3">
        <v>45407</v>
      </c>
      <c r="C474" s="3">
        <v>45408</v>
      </c>
      <c r="D474" s="3">
        <v>45424</v>
      </c>
      <c r="E474" t="s">
        <v>1417</v>
      </c>
      <c r="F474" t="s">
        <v>25</v>
      </c>
      <c r="G474" t="s">
        <v>59</v>
      </c>
      <c r="H474" t="s">
        <v>1418</v>
      </c>
      <c r="I474" t="s">
        <v>230</v>
      </c>
      <c r="J474" t="s">
        <v>80</v>
      </c>
      <c r="K474" t="s">
        <v>1419</v>
      </c>
      <c r="L474" t="s">
        <v>122</v>
      </c>
      <c r="M474" t="s">
        <v>32</v>
      </c>
      <c r="N474" t="s">
        <v>45</v>
      </c>
      <c r="O474" t="s">
        <v>46</v>
      </c>
      <c r="P474" t="s">
        <v>76</v>
      </c>
      <c r="Q474">
        <v>425</v>
      </c>
      <c r="R474">
        <v>242.27</v>
      </c>
      <c r="S474">
        <v>102964.75</v>
      </c>
      <c r="T474">
        <v>15.76</v>
      </c>
      <c r="U474">
        <v>16</v>
      </c>
      <c r="V474">
        <v>17</v>
      </c>
      <c r="W474">
        <v>2019</v>
      </c>
      <c r="X474" t="s">
        <v>3742</v>
      </c>
      <c r="Y474" t="s">
        <v>188</v>
      </c>
      <c r="Z474">
        <v>21466.47</v>
      </c>
    </row>
    <row r="475" spans="1:26" x14ac:dyDescent="0.25">
      <c r="A475">
        <v>100473</v>
      </c>
      <c r="B475" s="3">
        <v>45848</v>
      </c>
      <c r="C475" s="3">
        <v>45850</v>
      </c>
      <c r="D475" s="3">
        <v>45865</v>
      </c>
      <c r="E475" t="s">
        <v>1420</v>
      </c>
      <c r="F475" t="s">
        <v>25</v>
      </c>
      <c r="G475" t="s">
        <v>233</v>
      </c>
      <c r="H475" t="s">
        <v>1421</v>
      </c>
      <c r="I475" t="s">
        <v>72</v>
      </c>
      <c r="J475" t="s">
        <v>42</v>
      </c>
      <c r="K475" t="s">
        <v>587</v>
      </c>
      <c r="L475" t="s">
        <v>31</v>
      </c>
      <c r="M475" t="s">
        <v>32</v>
      </c>
      <c r="N475" t="s">
        <v>55</v>
      </c>
      <c r="O475" t="s">
        <v>56</v>
      </c>
      <c r="P475" t="s">
        <v>76</v>
      </c>
      <c r="Q475">
        <v>175</v>
      </c>
      <c r="R475">
        <v>375.1</v>
      </c>
      <c r="S475">
        <v>65642.5</v>
      </c>
      <c r="T475">
        <v>11.21</v>
      </c>
      <c r="U475">
        <v>15</v>
      </c>
      <c r="V475">
        <v>17</v>
      </c>
      <c r="W475">
        <v>263</v>
      </c>
      <c r="X475" t="s">
        <v>188</v>
      </c>
      <c r="Y475" t="s">
        <v>36</v>
      </c>
      <c r="Z475">
        <v>5596.36</v>
      </c>
    </row>
    <row r="476" spans="1:26" x14ac:dyDescent="0.25">
      <c r="A476">
        <v>100474</v>
      </c>
      <c r="B476" s="3">
        <v>45340</v>
      </c>
      <c r="C476" s="3">
        <v>45343</v>
      </c>
      <c r="D476" s="3">
        <v>45344</v>
      </c>
      <c r="E476" t="s">
        <v>1422</v>
      </c>
      <c r="F476" t="s">
        <v>65</v>
      </c>
      <c r="G476" t="s">
        <v>142</v>
      </c>
      <c r="H476" t="s">
        <v>1423</v>
      </c>
      <c r="I476" t="s">
        <v>41</v>
      </c>
      <c r="J476" t="s">
        <v>42</v>
      </c>
      <c r="K476" t="s">
        <v>1424</v>
      </c>
      <c r="L476" t="s">
        <v>91</v>
      </c>
      <c r="M476" t="s">
        <v>38</v>
      </c>
      <c r="N476" t="s">
        <v>203</v>
      </c>
      <c r="O476" t="s">
        <v>204</v>
      </c>
      <c r="P476" t="s">
        <v>68</v>
      </c>
      <c r="Q476">
        <v>175</v>
      </c>
      <c r="R476">
        <v>93.25</v>
      </c>
      <c r="S476">
        <v>16318.75</v>
      </c>
      <c r="T476">
        <v>39.85</v>
      </c>
      <c r="U476">
        <v>1</v>
      </c>
      <c r="V476">
        <v>4</v>
      </c>
      <c r="W476">
        <v>1551</v>
      </c>
      <c r="X476" t="s">
        <v>3741</v>
      </c>
      <c r="Y476" t="s">
        <v>36</v>
      </c>
      <c r="Z476">
        <v>1943.13</v>
      </c>
    </row>
    <row r="477" spans="1:26" x14ac:dyDescent="0.25">
      <c r="A477">
        <v>100475</v>
      </c>
      <c r="B477" s="3">
        <v>45926</v>
      </c>
      <c r="C477" s="3">
        <v>45929</v>
      </c>
      <c r="D477" s="3">
        <v>45931</v>
      </c>
      <c r="E477" t="s">
        <v>1425</v>
      </c>
      <c r="F477" t="s">
        <v>65</v>
      </c>
      <c r="G477" t="s">
        <v>142</v>
      </c>
      <c r="H477" t="s">
        <v>1426</v>
      </c>
      <c r="I477" t="s">
        <v>416</v>
      </c>
      <c r="J477" t="s">
        <v>80</v>
      </c>
      <c r="K477" t="s">
        <v>219</v>
      </c>
      <c r="L477" t="s">
        <v>212</v>
      </c>
      <c r="M477" t="s">
        <v>38</v>
      </c>
      <c r="N477" t="s">
        <v>102</v>
      </c>
      <c r="O477" t="s">
        <v>103</v>
      </c>
      <c r="P477" t="s">
        <v>68</v>
      </c>
      <c r="Q477">
        <v>107</v>
      </c>
      <c r="R477">
        <v>311.91000000000003</v>
      </c>
      <c r="S477">
        <v>33374.370000000003</v>
      </c>
      <c r="T477">
        <v>35.450000000000003</v>
      </c>
      <c r="U477">
        <v>2</v>
      </c>
      <c r="V477">
        <v>5</v>
      </c>
      <c r="W477">
        <v>1982</v>
      </c>
      <c r="X477" t="s">
        <v>3741</v>
      </c>
      <c r="Y477" t="s">
        <v>36</v>
      </c>
      <c r="Z477">
        <v>4539.3</v>
      </c>
    </row>
    <row r="478" spans="1:26" x14ac:dyDescent="0.25">
      <c r="A478">
        <v>100476</v>
      </c>
      <c r="B478" s="3">
        <v>45472</v>
      </c>
      <c r="C478" s="3">
        <v>45476</v>
      </c>
      <c r="D478" s="3">
        <v>45483</v>
      </c>
      <c r="E478" t="s">
        <v>1427</v>
      </c>
      <c r="F478" t="s">
        <v>25</v>
      </c>
      <c r="G478" t="s">
        <v>233</v>
      </c>
      <c r="H478" t="s">
        <v>1428</v>
      </c>
      <c r="I478" t="s">
        <v>191</v>
      </c>
      <c r="J478" t="s">
        <v>62</v>
      </c>
      <c r="K478" t="s">
        <v>1429</v>
      </c>
      <c r="L478" t="s">
        <v>212</v>
      </c>
      <c r="M478" t="s">
        <v>38</v>
      </c>
      <c r="N478" t="s">
        <v>55</v>
      </c>
      <c r="O478" t="s">
        <v>56</v>
      </c>
      <c r="P478" t="s">
        <v>123</v>
      </c>
      <c r="Q478">
        <v>420</v>
      </c>
      <c r="R478">
        <v>14.89</v>
      </c>
      <c r="S478">
        <v>6253.8</v>
      </c>
      <c r="T478">
        <v>20.9</v>
      </c>
      <c r="U478">
        <v>7</v>
      </c>
      <c r="V478">
        <v>11</v>
      </c>
      <c r="W478">
        <v>1882</v>
      </c>
      <c r="X478" t="s">
        <v>188</v>
      </c>
      <c r="Y478" t="s">
        <v>36</v>
      </c>
      <c r="Z478">
        <v>1058.43</v>
      </c>
    </row>
    <row r="479" spans="1:26" x14ac:dyDescent="0.25">
      <c r="A479">
        <v>100477</v>
      </c>
      <c r="B479" s="3">
        <v>45515</v>
      </c>
      <c r="C479" s="3">
        <v>45516</v>
      </c>
      <c r="D479" s="3">
        <v>45520</v>
      </c>
      <c r="E479" t="s">
        <v>1430</v>
      </c>
      <c r="F479" t="s">
        <v>25</v>
      </c>
      <c r="G479" t="s">
        <v>221</v>
      </c>
      <c r="H479" t="s">
        <v>1431</v>
      </c>
      <c r="I479" t="s">
        <v>139</v>
      </c>
      <c r="J479" t="s">
        <v>42</v>
      </c>
      <c r="K479" t="s">
        <v>1432</v>
      </c>
      <c r="L479" t="s">
        <v>118</v>
      </c>
      <c r="M479" t="s">
        <v>65</v>
      </c>
      <c r="N479" t="s">
        <v>203</v>
      </c>
      <c r="O479" t="s">
        <v>204</v>
      </c>
      <c r="P479" t="s">
        <v>35</v>
      </c>
      <c r="Q479">
        <v>48</v>
      </c>
      <c r="R479">
        <v>449.09</v>
      </c>
      <c r="S479">
        <v>21556.32</v>
      </c>
      <c r="T479">
        <v>13.83</v>
      </c>
      <c r="U479">
        <v>4</v>
      </c>
      <c r="V479">
        <v>5</v>
      </c>
      <c r="W479">
        <v>1076</v>
      </c>
      <c r="X479" t="s">
        <v>3741</v>
      </c>
      <c r="Y479" t="s">
        <v>36</v>
      </c>
      <c r="Z479">
        <v>3685.04</v>
      </c>
    </row>
    <row r="480" spans="1:26" x14ac:dyDescent="0.25">
      <c r="A480">
        <v>100478</v>
      </c>
      <c r="B480" s="3">
        <v>45494</v>
      </c>
      <c r="C480" s="3">
        <v>45496</v>
      </c>
      <c r="D480" s="3">
        <v>45497</v>
      </c>
      <c r="E480" t="s">
        <v>1433</v>
      </c>
      <c r="F480" t="s">
        <v>54</v>
      </c>
      <c r="G480" t="s">
        <v>129</v>
      </c>
      <c r="H480" t="s">
        <v>1434</v>
      </c>
      <c r="I480" t="s">
        <v>144</v>
      </c>
      <c r="J480" t="s">
        <v>52</v>
      </c>
      <c r="K480" t="s">
        <v>1435</v>
      </c>
      <c r="L480" t="s">
        <v>113</v>
      </c>
      <c r="M480" t="s">
        <v>25</v>
      </c>
      <c r="N480" t="s">
        <v>66</v>
      </c>
      <c r="O480" t="s">
        <v>67</v>
      </c>
      <c r="P480" t="s">
        <v>68</v>
      </c>
      <c r="Q480">
        <v>75</v>
      </c>
      <c r="R480">
        <v>13.35</v>
      </c>
      <c r="S480">
        <v>1001.25</v>
      </c>
      <c r="T480">
        <v>33.369999999999997</v>
      </c>
      <c r="U480">
        <v>1</v>
      </c>
      <c r="V480">
        <v>3</v>
      </c>
      <c r="W480">
        <v>4242</v>
      </c>
      <c r="X480" t="s">
        <v>3741</v>
      </c>
      <c r="Y480" t="s">
        <v>36</v>
      </c>
      <c r="Z480">
        <v>151.16999999999999</v>
      </c>
    </row>
    <row r="481" spans="1:26" x14ac:dyDescent="0.25">
      <c r="A481">
        <v>100479</v>
      </c>
      <c r="B481" s="3">
        <v>45582</v>
      </c>
      <c r="C481" s="3">
        <v>45585</v>
      </c>
      <c r="D481" s="3">
        <v>45586</v>
      </c>
      <c r="E481" t="s">
        <v>1436</v>
      </c>
      <c r="F481" t="s">
        <v>54</v>
      </c>
      <c r="G481" t="s">
        <v>193</v>
      </c>
      <c r="H481" t="s">
        <v>1437</v>
      </c>
      <c r="I481" t="s">
        <v>144</v>
      </c>
      <c r="J481" t="s">
        <v>52</v>
      </c>
      <c r="K481" t="s">
        <v>1438</v>
      </c>
      <c r="L481" t="s">
        <v>91</v>
      </c>
      <c r="M481" t="s">
        <v>25</v>
      </c>
      <c r="N481" t="s">
        <v>203</v>
      </c>
      <c r="O481" t="s">
        <v>204</v>
      </c>
      <c r="P481" t="s">
        <v>68</v>
      </c>
      <c r="Q481">
        <v>60</v>
      </c>
      <c r="R481">
        <v>15.96</v>
      </c>
      <c r="S481">
        <v>957.6</v>
      </c>
      <c r="T481">
        <v>32.4</v>
      </c>
      <c r="U481">
        <v>1</v>
      </c>
      <c r="V481">
        <v>4</v>
      </c>
      <c r="W481">
        <v>4421</v>
      </c>
      <c r="X481" t="s">
        <v>3741</v>
      </c>
      <c r="Y481" t="s">
        <v>36</v>
      </c>
      <c r="Z481">
        <v>25.2</v>
      </c>
    </row>
    <row r="482" spans="1:26" x14ac:dyDescent="0.25">
      <c r="A482">
        <v>100480</v>
      </c>
      <c r="B482" s="3">
        <v>45479</v>
      </c>
      <c r="C482" s="3">
        <v>45484</v>
      </c>
      <c r="D482" s="3">
        <v>45489</v>
      </c>
      <c r="E482" t="s">
        <v>1439</v>
      </c>
      <c r="F482" t="s">
        <v>32</v>
      </c>
      <c r="G482" t="s">
        <v>364</v>
      </c>
      <c r="H482" t="s">
        <v>1440</v>
      </c>
      <c r="I482" t="s">
        <v>207</v>
      </c>
      <c r="J482" t="s">
        <v>80</v>
      </c>
      <c r="K482" t="s">
        <v>422</v>
      </c>
      <c r="L482" t="s">
        <v>64</v>
      </c>
      <c r="M482" t="s">
        <v>25</v>
      </c>
      <c r="N482" t="s">
        <v>74</v>
      </c>
      <c r="O482" t="s">
        <v>75</v>
      </c>
      <c r="P482" t="s">
        <v>68</v>
      </c>
      <c r="Q482">
        <v>94</v>
      </c>
      <c r="R482">
        <v>60.48</v>
      </c>
      <c r="S482">
        <v>5685.12</v>
      </c>
      <c r="T482">
        <v>34.6</v>
      </c>
      <c r="U482">
        <v>5</v>
      </c>
      <c r="V482">
        <v>10</v>
      </c>
      <c r="W482">
        <v>738</v>
      </c>
      <c r="X482" t="s">
        <v>188</v>
      </c>
      <c r="Y482" t="s">
        <v>36</v>
      </c>
      <c r="Z482">
        <v>1390.67</v>
      </c>
    </row>
    <row r="483" spans="1:26" x14ac:dyDescent="0.25">
      <c r="A483">
        <v>100481</v>
      </c>
      <c r="B483" s="3">
        <v>45637</v>
      </c>
      <c r="C483" s="3">
        <v>45642</v>
      </c>
      <c r="D483" s="3">
        <v>45652</v>
      </c>
      <c r="E483" t="s">
        <v>1441</v>
      </c>
      <c r="F483" t="s">
        <v>65</v>
      </c>
      <c r="G483" t="s">
        <v>154</v>
      </c>
      <c r="H483" t="s">
        <v>1442</v>
      </c>
      <c r="I483" t="s">
        <v>416</v>
      </c>
      <c r="J483" t="s">
        <v>80</v>
      </c>
      <c r="K483" t="s">
        <v>1443</v>
      </c>
      <c r="L483" t="s">
        <v>31</v>
      </c>
      <c r="M483" t="s">
        <v>32</v>
      </c>
      <c r="N483" t="s">
        <v>107</v>
      </c>
      <c r="O483" t="s">
        <v>108</v>
      </c>
      <c r="P483" t="s">
        <v>68</v>
      </c>
      <c r="Q483">
        <v>153</v>
      </c>
      <c r="R483">
        <v>225.28</v>
      </c>
      <c r="S483">
        <v>34467.839999999997</v>
      </c>
      <c r="T483">
        <v>38.43</v>
      </c>
      <c r="U483">
        <v>10</v>
      </c>
      <c r="V483">
        <v>15</v>
      </c>
      <c r="W483">
        <v>997</v>
      </c>
      <c r="X483" t="s">
        <v>188</v>
      </c>
      <c r="Y483" t="s">
        <v>36</v>
      </c>
      <c r="Z483">
        <v>9519.17</v>
      </c>
    </row>
    <row r="484" spans="1:26" x14ac:dyDescent="0.25">
      <c r="A484">
        <v>100482</v>
      </c>
      <c r="B484" s="3">
        <v>45729</v>
      </c>
      <c r="C484" s="3">
        <v>45731</v>
      </c>
      <c r="D484" s="3">
        <v>45740</v>
      </c>
      <c r="E484" t="s">
        <v>1444</v>
      </c>
      <c r="F484" t="s">
        <v>65</v>
      </c>
      <c r="G484" t="s">
        <v>154</v>
      </c>
      <c r="H484" t="s">
        <v>1445</v>
      </c>
      <c r="I484" t="s">
        <v>79</v>
      </c>
      <c r="J484" t="s">
        <v>80</v>
      </c>
      <c r="K484" t="s">
        <v>1446</v>
      </c>
      <c r="L484" t="s">
        <v>44</v>
      </c>
      <c r="M484" t="s">
        <v>32</v>
      </c>
      <c r="N484" t="s">
        <v>92</v>
      </c>
      <c r="O484" t="s">
        <v>93</v>
      </c>
      <c r="P484" t="s">
        <v>123</v>
      </c>
      <c r="Q484">
        <v>226</v>
      </c>
      <c r="R484">
        <v>311.91000000000003</v>
      </c>
      <c r="S484">
        <v>70491.66</v>
      </c>
      <c r="T484">
        <v>16.18</v>
      </c>
      <c r="U484">
        <v>9</v>
      </c>
      <c r="V484">
        <v>11</v>
      </c>
      <c r="W484">
        <v>1682</v>
      </c>
      <c r="X484" t="s">
        <v>188</v>
      </c>
      <c r="Y484" t="s">
        <v>36</v>
      </c>
      <c r="Z484">
        <v>9591.8799999999992</v>
      </c>
    </row>
    <row r="485" spans="1:26" x14ac:dyDescent="0.25">
      <c r="A485">
        <v>100483</v>
      </c>
      <c r="B485" s="3">
        <v>45739</v>
      </c>
      <c r="C485" s="3">
        <v>45742</v>
      </c>
      <c r="D485" s="3">
        <v>45759</v>
      </c>
      <c r="E485" t="s">
        <v>1447</v>
      </c>
      <c r="F485" t="s">
        <v>54</v>
      </c>
      <c r="G485" t="s">
        <v>129</v>
      </c>
      <c r="H485" t="s">
        <v>1448</v>
      </c>
      <c r="I485" t="s">
        <v>134</v>
      </c>
      <c r="J485" t="s">
        <v>52</v>
      </c>
      <c r="K485" t="s">
        <v>1231</v>
      </c>
      <c r="L485" t="s">
        <v>187</v>
      </c>
      <c r="M485" t="s">
        <v>38</v>
      </c>
      <c r="N485" t="s">
        <v>66</v>
      </c>
      <c r="O485" t="s">
        <v>67</v>
      </c>
      <c r="P485" t="s">
        <v>76</v>
      </c>
      <c r="Q485">
        <v>103</v>
      </c>
      <c r="R485">
        <v>70.05</v>
      </c>
      <c r="S485">
        <v>7215.15</v>
      </c>
      <c r="T485">
        <v>9.9</v>
      </c>
      <c r="U485">
        <v>17</v>
      </c>
      <c r="V485">
        <v>20</v>
      </c>
      <c r="W485">
        <v>4075</v>
      </c>
      <c r="X485" t="s">
        <v>188</v>
      </c>
      <c r="Y485" t="s">
        <v>36</v>
      </c>
      <c r="Z485">
        <v>548.63</v>
      </c>
    </row>
    <row r="486" spans="1:26" x14ac:dyDescent="0.25">
      <c r="A486">
        <v>100484</v>
      </c>
      <c r="B486" s="3">
        <v>45384</v>
      </c>
      <c r="C486" s="3">
        <v>45389</v>
      </c>
      <c r="D486" s="3">
        <v>45396</v>
      </c>
      <c r="E486" t="s">
        <v>1449</v>
      </c>
      <c r="F486" t="s">
        <v>65</v>
      </c>
      <c r="G486" t="s">
        <v>142</v>
      </c>
      <c r="H486" t="s">
        <v>1450</v>
      </c>
      <c r="I486" t="s">
        <v>51</v>
      </c>
      <c r="J486" t="s">
        <v>52</v>
      </c>
      <c r="K486" t="s">
        <v>53</v>
      </c>
      <c r="L486" t="s">
        <v>122</v>
      </c>
      <c r="M486" t="s">
        <v>38</v>
      </c>
      <c r="N486" t="s">
        <v>55</v>
      </c>
      <c r="O486" t="s">
        <v>56</v>
      </c>
      <c r="P486" t="s">
        <v>35</v>
      </c>
      <c r="Q486">
        <v>82</v>
      </c>
      <c r="R486">
        <v>31.29</v>
      </c>
      <c r="S486">
        <v>2565.7800000000002</v>
      </c>
      <c r="T486">
        <v>14.8</v>
      </c>
      <c r="U486">
        <v>7</v>
      </c>
      <c r="V486">
        <v>12</v>
      </c>
      <c r="W486">
        <v>2196</v>
      </c>
      <c r="X486" t="s">
        <v>3742</v>
      </c>
      <c r="Y486" t="s">
        <v>47</v>
      </c>
      <c r="Z486">
        <v>-149.38</v>
      </c>
    </row>
    <row r="487" spans="1:26" x14ac:dyDescent="0.25">
      <c r="A487">
        <v>100485</v>
      </c>
      <c r="B487" s="3">
        <v>46018</v>
      </c>
      <c r="C487" s="3">
        <v>46022</v>
      </c>
      <c r="D487" s="3">
        <v>46028</v>
      </c>
      <c r="E487" t="s">
        <v>1451</v>
      </c>
      <c r="F487" t="s">
        <v>32</v>
      </c>
      <c r="G487" t="s">
        <v>273</v>
      </c>
      <c r="H487" t="s">
        <v>1452</v>
      </c>
      <c r="I487" t="s">
        <v>89</v>
      </c>
      <c r="J487" t="s">
        <v>62</v>
      </c>
      <c r="K487" t="s">
        <v>1453</v>
      </c>
      <c r="L487" t="s">
        <v>31</v>
      </c>
      <c r="M487" t="s">
        <v>25</v>
      </c>
      <c r="N487" t="s">
        <v>92</v>
      </c>
      <c r="O487" t="s">
        <v>93</v>
      </c>
      <c r="P487" t="s">
        <v>35</v>
      </c>
      <c r="Q487">
        <v>331</v>
      </c>
      <c r="R487">
        <v>35.43</v>
      </c>
      <c r="S487">
        <v>11727.33</v>
      </c>
      <c r="T487">
        <v>21.86</v>
      </c>
      <c r="U487">
        <v>6</v>
      </c>
      <c r="V487">
        <v>10</v>
      </c>
      <c r="W487">
        <v>3270</v>
      </c>
      <c r="X487" t="s">
        <v>188</v>
      </c>
      <c r="Y487" t="s">
        <v>36</v>
      </c>
      <c r="Z487">
        <v>845.18</v>
      </c>
    </row>
    <row r="488" spans="1:26" x14ac:dyDescent="0.25">
      <c r="A488">
        <v>100486</v>
      </c>
      <c r="B488" s="3">
        <v>45358</v>
      </c>
      <c r="C488" s="3">
        <v>45363</v>
      </c>
      <c r="D488" s="3">
        <v>45370</v>
      </c>
      <c r="E488" t="s">
        <v>1454</v>
      </c>
      <c r="F488" t="s">
        <v>65</v>
      </c>
      <c r="G488" t="s">
        <v>142</v>
      </c>
      <c r="H488" t="s">
        <v>1455</v>
      </c>
      <c r="I488" t="s">
        <v>238</v>
      </c>
      <c r="J488" t="s">
        <v>62</v>
      </c>
      <c r="K488" t="s">
        <v>1456</v>
      </c>
      <c r="L488" t="s">
        <v>64</v>
      </c>
      <c r="M488" t="s">
        <v>54</v>
      </c>
      <c r="N488" t="s">
        <v>102</v>
      </c>
      <c r="O488" t="s">
        <v>103</v>
      </c>
      <c r="P488" t="s">
        <v>35</v>
      </c>
      <c r="Q488">
        <v>302</v>
      </c>
      <c r="R488">
        <v>27.38</v>
      </c>
      <c r="S488">
        <v>8268.76</v>
      </c>
      <c r="T488">
        <v>21.04</v>
      </c>
      <c r="U488">
        <v>7</v>
      </c>
      <c r="V488">
        <v>12</v>
      </c>
      <c r="W488">
        <v>4931</v>
      </c>
      <c r="X488" t="s">
        <v>188</v>
      </c>
      <c r="Y488" t="s">
        <v>36</v>
      </c>
      <c r="Z488">
        <v>730.1</v>
      </c>
    </row>
    <row r="489" spans="1:26" x14ac:dyDescent="0.25">
      <c r="A489">
        <v>100487</v>
      </c>
      <c r="B489" s="3">
        <v>45919</v>
      </c>
      <c r="C489" s="3">
        <v>45923</v>
      </c>
      <c r="D489" s="3">
        <v>45935</v>
      </c>
      <c r="E489" t="s">
        <v>1457</v>
      </c>
      <c r="F489" t="s">
        <v>25</v>
      </c>
      <c r="G489" t="s">
        <v>26</v>
      </c>
      <c r="H489" t="s">
        <v>1458</v>
      </c>
      <c r="I489" t="s">
        <v>126</v>
      </c>
      <c r="J489" t="s">
        <v>42</v>
      </c>
      <c r="K489" t="s">
        <v>1459</v>
      </c>
      <c r="L489" t="s">
        <v>64</v>
      </c>
      <c r="M489" t="s">
        <v>54</v>
      </c>
      <c r="N489" t="s">
        <v>55</v>
      </c>
      <c r="O489" t="s">
        <v>56</v>
      </c>
      <c r="P489" t="s">
        <v>123</v>
      </c>
      <c r="Q489">
        <v>225</v>
      </c>
      <c r="R489">
        <v>151.80000000000001</v>
      </c>
      <c r="S489">
        <v>34155</v>
      </c>
      <c r="T489">
        <v>16.16</v>
      </c>
      <c r="U489">
        <v>12</v>
      </c>
      <c r="V489">
        <v>16</v>
      </c>
      <c r="W489">
        <v>1565</v>
      </c>
      <c r="X489" t="s">
        <v>188</v>
      </c>
      <c r="Y489" t="s">
        <v>36</v>
      </c>
      <c r="Z489">
        <v>2786.28</v>
      </c>
    </row>
    <row r="490" spans="1:26" x14ac:dyDescent="0.25">
      <c r="A490">
        <v>100488</v>
      </c>
      <c r="B490" s="3">
        <v>45827</v>
      </c>
      <c r="C490" s="3">
        <v>45830</v>
      </c>
      <c r="D490" s="3">
        <v>45837</v>
      </c>
      <c r="E490" t="s">
        <v>1460</v>
      </c>
      <c r="F490" t="s">
        <v>32</v>
      </c>
      <c r="G490" t="s">
        <v>180</v>
      </c>
      <c r="H490" t="s">
        <v>1461</v>
      </c>
      <c r="I490" t="s">
        <v>79</v>
      </c>
      <c r="J490" t="s">
        <v>80</v>
      </c>
      <c r="K490" t="s">
        <v>268</v>
      </c>
      <c r="L490" t="s">
        <v>118</v>
      </c>
      <c r="M490" t="s">
        <v>65</v>
      </c>
      <c r="N490" t="s">
        <v>74</v>
      </c>
      <c r="O490" t="s">
        <v>75</v>
      </c>
      <c r="P490" t="s">
        <v>123</v>
      </c>
      <c r="Q490">
        <v>491</v>
      </c>
      <c r="R490">
        <v>224.04</v>
      </c>
      <c r="S490">
        <v>110003.64</v>
      </c>
      <c r="T490">
        <v>22.62</v>
      </c>
      <c r="U490">
        <v>7</v>
      </c>
      <c r="V490">
        <v>10</v>
      </c>
      <c r="W490">
        <v>1803</v>
      </c>
      <c r="X490" t="s">
        <v>188</v>
      </c>
      <c r="Y490" t="s">
        <v>36</v>
      </c>
      <c r="Z490">
        <v>20314.349999999999</v>
      </c>
    </row>
    <row r="491" spans="1:26" x14ac:dyDescent="0.25">
      <c r="A491">
        <v>100489</v>
      </c>
      <c r="B491" s="3">
        <v>45773</v>
      </c>
      <c r="C491" s="3">
        <v>45773</v>
      </c>
      <c r="D491" s="3">
        <v>45796</v>
      </c>
      <c r="E491" t="s">
        <v>1462</v>
      </c>
      <c r="F491" t="s">
        <v>65</v>
      </c>
      <c r="G491" t="s">
        <v>142</v>
      </c>
      <c r="H491" t="s">
        <v>1463</v>
      </c>
      <c r="I491" t="s">
        <v>139</v>
      </c>
      <c r="J491" t="s">
        <v>42</v>
      </c>
      <c r="K491" t="s">
        <v>939</v>
      </c>
      <c r="L491" t="s">
        <v>187</v>
      </c>
      <c r="M491" t="s">
        <v>54</v>
      </c>
      <c r="N491" t="s">
        <v>151</v>
      </c>
      <c r="O491" t="s">
        <v>152</v>
      </c>
      <c r="P491" t="s">
        <v>76</v>
      </c>
      <c r="Q491">
        <v>366</v>
      </c>
      <c r="R491">
        <v>429.45</v>
      </c>
      <c r="S491">
        <v>157178.70000000001</v>
      </c>
      <c r="T491">
        <v>14.69</v>
      </c>
      <c r="U491">
        <v>23</v>
      </c>
      <c r="V491">
        <v>23</v>
      </c>
      <c r="W491">
        <v>1075</v>
      </c>
      <c r="X491" t="s">
        <v>3742</v>
      </c>
      <c r="Y491" t="s">
        <v>188</v>
      </c>
      <c r="Z491">
        <v>16272.94</v>
      </c>
    </row>
    <row r="492" spans="1:26" x14ac:dyDescent="0.25">
      <c r="A492">
        <v>100490</v>
      </c>
      <c r="B492" s="3">
        <v>45789</v>
      </c>
      <c r="C492" s="3">
        <v>45793</v>
      </c>
      <c r="D492" s="3">
        <v>45806</v>
      </c>
      <c r="E492" t="s">
        <v>1464</v>
      </c>
      <c r="F492" t="s">
        <v>38</v>
      </c>
      <c r="G492" t="s">
        <v>49</v>
      </c>
      <c r="H492" t="s">
        <v>1465</v>
      </c>
      <c r="I492" t="s">
        <v>191</v>
      </c>
      <c r="J492" t="s">
        <v>62</v>
      </c>
      <c r="K492" t="s">
        <v>1466</v>
      </c>
      <c r="L492" t="s">
        <v>31</v>
      </c>
      <c r="M492" t="s">
        <v>65</v>
      </c>
      <c r="N492" t="s">
        <v>203</v>
      </c>
      <c r="O492" t="s">
        <v>204</v>
      </c>
      <c r="P492" t="s">
        <v>76</v>
      </c>
      <c r="Q492">
        <v>65</v>
      </c>
      <c r="R492">
        <v>8.1999999999999993</v>
      </c>
      <c r="S492">
        <v>533</v>
      </c>
      <c r="T492">
        <v>9.1999999999999993</v>
      </c>
      <c r="U492">
        <v>13</v>
      </c>
      <c r="V492">
        <v>17</v>
      </c>
      <c r="W492">
        <v>2383</v>
      </c>
      <c r="X492" t="s">
        <v>188</v>
      </c>
      <c r="Y492" t="s">
        <v>36</v>
      </c>
      <c r="Z492">
        <v>46.76</v>
      </c>
    </row>
    <row r="493" spans="1:26" x14ac:dyDescent="0.25">
      <c r="A493">
        <v>100491</v>
      </c>
      <c r="B493" s="3">
        <v>45931</v>
      </c>
      <c r="C493" s="3">
        <v>45933</v>
      </c>
      <c r="D493" s="3">
        <v>45940</v>
      </c>
      <c r="E493" t="s">
        <v>816</v>
      </c>
      <c r="F493" t="s">
        <v>25</v>
      </c>
      <c r="G493" t="s">
        <v>233</v>
      </c>
      <c r="H493" t="s">
        <v>1467</v>
      </c>
      <c r="I493" t="s">
        <v>191</v>
      </c>
      <c r="J493" t="s">
        <v>62</v>
      </c>
      <c r="K493" t="s">
        <v>1468</v>
      </c>
      <c r="L493" t="s">
        <v>212</v>
      </c>
      <c r="M493" t="s">
        <v>25</v>
      </c>
      <c r="N493" t="s">
        <v>45</v>
      </c>
      <c r="O493" t="s">
        <v>46</v>
      </c>
      <c r="P493" t="s">
        <v>35</v>
      </c>
      <c r="Q493">
        <v>190</v>
      </c>
      <c r="R493">
        <v>29.52</v>
      </c>
      <c r="S493">
        <v>5608.8</v>
      </c>
      <c r="T493">
        <v>13.23</v>
      </c>
      <c r="U493">
        <v>7</v>
      </c>
      <c r="V493">
        <v>9</v>
      </c>
      <c r="W493">
        <v>2415</v>
      </c>
      <c r="X493" t="s">
        <v>188</v>
      </c>
      <c r="Y493" t="s">
        <v>36</v>
      </c>
      <c r="Z493">
        <v>525.37</v>
      </c>
    </row>
    <row r="494" spans="1:26" x14ac:dyDescent="0.25">
      <c r="A494">
        <v>100492</v>
      </c>
      <c r="B494" s="3">
        <v>45825</v>
      </c>
      <c r="C494" s="3">
        <v>45826</v>
      </c>
      <c r="D494" s="3">
        <v>45831</v>
      </c>
      <c r="E494" t="s">
        <v>1469</v>
      </c>
      <c r="F494" t="s">
        <v>38</v>
      </c>
      <c r="G494" t="s">
        <v>83</v>
      </c>
      <c r="H494" t="s">
        <v>1470</v>
      </c>
      <c r="I494" t="s">
        <v>177</v>
      </c>
      <c r="J494" t="s">
        <v>29</v>
      </c>
      <c r="K494" t="s">
        <v>1471</v>
      </c>
      <c r="L494" t="s">
        <v>91</v>
      </c>
      <c r="M494" t="s">
        <v>65</v>
      </c>
      <c r="N494" t="s">
        <v>92</v>
      </c>
      <c r="O494" t="s">
        <v>93</v>
      </c>
      <c r="P494" t="s">
        <v>68</v>
      </c>
      <c r="Q494">
        <v>48</v>
      </c>
      <c r="R494">
        <v>21.3</v>
      </c>
      <c r="S494">
        <v>1022.4</v>
      </c>
      <c r="T494">
        <v>31.62</v>
      </c>
      <c r="U494">
        <v>5</v>
      </c>
      <c r="V494">
        <v>6</v>
      </c>
      <c r="W494">
        <v>751</v>
      </c>
      <c r="X494" t="s">
        <v>3741</v>
      </c>
      <c r="Y494" t="s">
        <v>36</v>
      </c>
      <c r="Z494">
        <v>187.07</v>
      </c>
    </row>
    <row r="495" spans="1:26" x14ac:dyDescent="0.25">
      <c r="A495">
        <v>100493</v>
      </c>
      <c r="B495" s="3">
        <v>45852</v>
      </c>
      <c r="C495" s="3">
        <v>45856</v>
      </c>
      <c r="D495" s="3">
        <v>45858</v>
      </c>
      <c r="E495" t="s">
        <v>1472</v>
      </c>
      <c r="F495" t="s">
        <v>32</v>
      </c>
      <c r="G495" t="s">
        <v>137</v>
      </c>
      <c r="H495" t="s">
        <v>1473</v>
      </c>
      <c r="I495" t="s">
        <v>368</v>
      </c>
      <c r="J495" t="s">
        <v>29</v>
      </c>
      <c r="K495" t="s">
        <v>1474</v>
      </c>
      <c r="L495" t="s">
        <v>212</v>
      </c>
      <c r="M495" t="s">
        <v>54</v>
      </c>
      <c r="N495" t="s">
        <v>55</v>
      </c>
      <c r="O495" t="s">
        <v>56</v>
      </c>
      <c r="P495" t="s">
        <v>68</v>
      </c>
      <c r="Q495">
        <v>362</v>
      </c>
      <c r="R495">
        <v>118.42</v>
      </c>
      <c r="S495">
        <v>42868.04</v>
      </c>
      <c r="T495">
        <v>51.97</v>
      </c>
      <c r="U495">
        <v>2</v>
      </c>
      <c r="V495">
        <v>6</v>
      </c>
      <c r="W495">
        <v>3068</v>
      </c>
      <c r="X495" t="s">
        <v>3741</v>
      </c>
      <c r="Y495" t="s">
        <v>36</v>
      </c>
      <c r="Z495">
        <v>11839.99</v>
      </c>
    </row>
    <row r="496" spans="1:26" x14ac:dyDescent="0.25">
      <c r="A496">
        <v>100494</v>
      </c>
      <c r="B496" s="3">
        <v>45588</v>
      </c>
      <c r="C496" s="3">
        <v>45590</v>
      </c>
      <c r="D496" s="3">
        <v>45596</v>
      </c>
      <c r="E496" t="s">
        <v>1475</v>
      </c>
      <c r="F496" t="s">
        <v>25</v>
      </c>
      <c r="G496" t="s">
        <v>221</v>
      </c>
      <c r="H496" t="s">
        <v>1476</v>
      </c>
      <c r="I496" t="s">
        <v>368</v>
      </c>
      <c r="J496" t="s">
        <v>29</v>
      </c>
      <c r="K496" t="s">
        <v>951</v>
      </c>
      <c r="L496" t="s">
        <v>212</v>
      </c>
      <c r="M496" t="s">
        <v>38</v>
      </c>
      <c r="N496" t="s">
        <v>107</v>
      </c>
      <c r="O496" t="s">
        <v>108</v>
      </c>
      <c r="P496" t="s">
        <v>35</v>
      </c>
      <c r="Q496">
        <v>400</v>
      </c>
      <c r="R496">
        <v>33.950000000000003</v>
      </c>
      <c r="S496">
        <v>13580</v>
      </c>
      <c r="T496">
        <v>23.81</v>
      </c>
      <c r="U496">
        <v>6</v>
      </c>
      <c r="V496">
        <v>8</v>
      </c>
      <c r="W496">
        <v>1185</v>
      </c>
      <c r="X496" t="s">
        <v>188</v>
      </c>
      <c r="Y496" t="s">
        <v>36</v>
      </c>
      <c r="Z496">
        <v>3876.85</v>
      </c>
    </row>
    <row r="497" spans="1:26" x14ac:dyDescent="0.25">
      <c r="A497">
        <v>100495</v>
      </c>
      <c r="B497" s="3">
        <v>45360</v>
      </c>
      <c r="C497" s="3">
        <v>45364</v>
      </c>
      <c r="D497" s="3">
        <v>45366</v>
      </c>
      <c r="E497" t="s">
        <v>1477</v>
      </c>
      <c r="F497" t="s">
        <v>25</v>
      </c>
      <c r="G497" t="s">
        <v>233</v>
      </c>
      <c r="H497" t="s">
        <v>1478</v>
      </c>
      <c r="I497" t="s">
        <v>139</v>
      </c>
      <c r="J497" t="s">
        <v>42</v>
      </c>
      <c r="K497" t="s">
        <v>135</v>
      </c>
      <c r="L497" t="s">
        <v>98</v>
      </c>
      <c r="M497" t="s">
        <v>65</v>
      </c>
      <c r="N497" t="s">
        <v>107</v>
      </c>
      <c r="O497" t="s">
        <v>108</v>
      </c>
      <c r="P497" t="s">
        <v>68</v>
      </c>
      <c r="Q497">
        <v>71</v>
      </c>
      <c r="R497">
        <v>415.76</v>
      </c>
      <c r="S497">
        <v>29518.959999999999</v>
      </c>
      <c r="T497">
        <v>33.11</v>
      </c>
      <c r="U497">
        <v>2</v>
      </c>
      <c r="V497">
        <v>6</v>
      </c>
      <c r="W497">
        <v>1187</v>
      </c>
      <c r="X497" t="s">
        <v>3741</v>
      </c>
      <c r="Y497" t="s">
        <v>36</v>
      </c>
      <c r="Z497">
        <v>3391.13</v>
      </c>
    </row>
    <row r="498" spans="1:26" x14ac:dyDescent="0.25">
      <c r="A498">
        <v>100496</v>
      </c>
      <c r="B498" s="3">
        <v>45448</v>
      </c>
      <c r="C498" s="3">
        <v>45452</v>
      </c>
      <c r="D498" s="3">
        <v>45456</v>
      </c>
      <c r="E498" t="s">
        <v>1479</v>
      </c>
      <c r="F498" t="s">
        <v>65</v>
      </c>
      <c r="G498" t="s">
        <v>70</v>
      </c>
      <c r="H498" t="s">
        <v>1480</v>
      </c>
      <c r="I498" t="s">
        <v>116</v>
      </c>
      <c r="J498" t="s">
        <v>62</v>
      </c>
      <c r="K498" t="s">
        <v>156</v>
      </c>
      <c r="L498" t="s">
        <v>31</v>
      </c>
      <c r="M498" t="s">
        <v>25</v>
      </c>
      <c r="N498" t="s">
        <v>55</v>
      </c>
      <c r="O498" t="s">
        <v>56</v>
      </c>
      <c r="P498" t="s">
        <v>68</v>
      </c>
      <c r="Q498">
        <v>240</v>
      </c>
      <c r="R498">
        <v>15.58</v>
      </c>
      <c r="S498">
        <v>3739.2</v>
      </c>
      <c r="T498">
        <v>44.06</v>
      </c>
      <c r="U498">
        <v>4</v>
      </c>
      <c r="V498">
        <v>8</v>
      </c>
      <c r="W498">
        <v>1593</v>
      </c>
      <c r="X498" t="s">
        <v>188</v>
      </c>
      <c r="Y498" t="s">
        <v>36</v>
      </c>
      <c r="Z498">
        <v>35.6</v>
      </c>
    </row>
    <row r="499" spans="1:26" x14ac:dyDescent="0.25">
      <c r="A499">
        <v>100497</v>
      </c>
      <c r="B499" s="3">
        <v>45546</v>
      </c>
      <c r="C499" s="3">
        <v>45549</v>
      </c>
      <c r="D499" s="3">
        <v>45564</v>
      </c>
      <c r="E499" t="s">
        <v>1481</v>
      </c>
      <c r="F499" t="s">
        <v>65</v>
      </c>
      <c r="G499" t="s">
        <v>142</v>
      </c>
      <c r="H499" t="s">
        <v>1482</v>
      </c>
      <c r="I499" t="s">
        <v>89</v>
      </c>
      <c r="J499" t="s">
        <v>62</v>
      </c>
      <c r="K499" t="s">
        <v>1483</v>
      </c>
      <c r="L499" t="s">
        <v>113</v>
      </c>
      <c r="M499" t="s">
        <v>65</v>
      </c>
      <c r="N499" t="s">
        <v>107</v>
      </c>
      <c r="O499" t="s">
        <v>108</v>
      </c>
      <c r="P499" t="s">
        <v>123</v>
      </c>
      <c r="Q499">
        <v>384</v>
      </c>
      <c r="R499">
        <v>34.83</v>
      </c>
      <c r="S499">
        <v>13374.72</v>
      </c>
      <c r="T499">
        <v>14.83</v>
      </c>
      <c r="U499">
        <v>15</v>
      </c>
      <c r="V499">
        <v>18</v>
      </c>
      <c r="W499">
        <v>1415</v>
      </c>
      <c r="X499" t="s">
        <v>3742</v>
      </c>
      <c r="Y499" t="s">
        <v>188</v>
      </c>
      <c r="Z499">
        <v>799.89</v>
      </c>
    </row>
    <row r="500" spans="1:26" x14ac:dyDescent="0.25">
      <c r="A500">
        <v>100498</v>
      </c>
      <c r="B500" s="3">
        <v>45665</v>
      </c>
      <c r="C500" s="3">
        <v>45669</v>
      </c>
      <c r="D500" s="3">
        <v>45683</v>
      </c>
      <c r="E500" t="s">
        <v>1484</v>
      </c>
      <c r="F500" t="s">
        <v>54</v>
      </c>
      <c r="G500" t="s">
        <v>129</v>
      </c>
      <c r="H500" t="s">
        <v>1485</v>
      </c>
      <c r="I500" t="s">
        <v>149</v>
      </c>
      <c r="J500" t="s">
        <v>42</v>
      </c>
      <c r="K500" t="s">
        <v>1486</v>
      </c>
      <c r="L500" t="s">
        <v>212</v>
      </c>
      <c r="M500" t="s">
        <v>32</v>
      </c>
      <c r="N500" t="s">
        <v>74</v>
      </c>
      <c r="O500" t="s">
        <v>75</v>
      </c>
      <c r="P500" t="s">
        <v>123</v>
      </c>
      <c r="Q500">
        <v>38</v>
      </c>
      <c r="R500">
        <v>378.22</v>
      </c>
      <c r="S500">
        <v>14372.36</v>
      </c>
      <c r="T500">
        <v>11.62</v>
      </c>
      <c r="U500">
        <v>14</v>
      </c>
      <c r="V500">
        <v>18</v>
      </c>
      <c r="W500">
        <v>746</v>
      </c>
      <c r="X500" t="s">
        <v>3742</v>
      </c>
      <c r="Y500" t="s">
        <v>188</v>
      </c>
      <c r="Z500">
        <v>1324.35</v>
      </c>
    </row>
    <row r="501" spans="1:26" x14ac:dyDescent="0.25">
      <c r="A501">
        <v>100499</v>
      </c>
      <c r="B501" s="3">
        <v>45806</v>
      </c>
      <c r="C501" s="3">
        <v>45811</v>
      </c>
      <c r="D501" s="3">
        <v>45824</v>
      </c>
      <c r="E501" t="s">
        <v>1487</v>
      </c>
      <c r="F501" t="s">
        <v>38</v>
      </c>
      <c r="G501" t="s">
        <v>39</v>
      </c>
      <c r="H501" t="s">
        <v>1488</v>
      </c>
      <c r="I501" t="s">
        <v>368</v>
      </c>
      <c r="J501" t="s">
        <v>29</v>
      </c>
      <c r="K501" t="s">
        <v>1489</v>
      </c>
      <c r="L501" t="s">
        <v>98</v>
      </c>
      <c r="M501" t="s">
        <v>32</v>
      </c>
      <c r="N501" t="s">
        <v>102</v>
      </c>
      <c r="O501" t="s">
        <v>103</v>
      </c>
      <c r="P501" t="s">
        <v>76</v>
      </c>
      <c r="Q501">
        <v>172</v>
      </c>
      <c r="R501">
        <v>100.29</v>
      </c>
      <c r="S501">
        <v>17249.88</v>
      </c>
      <c r="T501">
        <v>11.15</v>
      </c>
      <c r="U501">
        <v>13</v>
      </c>
      <c r="V501">
        <v>18</v>
      </c>
      <c r="W501">
        <v>1566</v>
      </c>
      <c r="X501" t="s">
        <v>3742</v>
      </c>
      <c r="Y501" t="s">
        <v>47</v>
      </c>
      <c r="Z501">
        <v>-184.59</v>
      </c>
    </row>
    <row r="502" spans="1:26" x14ac:dyDescent="0.25">
      <c r="A502">
        <v>100500</v>
      </c>
      <c r="B502" s="3">
        <v>45338</v>
      </c>
      <c r="C502" s="3">
        <v>45339</v>
      </c>
      <c r="D502" s="3">
        <v>45364</v>
      </c>
      <c r="E502" t="s">
        <v>1490</v>
      </c>
      <c r="F502" t="s">
        <v>65</v>
      </c>
      <c r="G502" t="s">
        <v>70</v>
      </c>
      <c r="H502" t="s">
        <v>1491</v>
      </c>
      <c r="I502" t="s">
        <v>230</v>
      </c>
      <c r="J502" t="s">
        <v>80</v>
      </c>
      <c r="K502" t="s">
        <v>1492</v>
      </c>
      <c r="L502" t="s">
        <v>98</v>
      </c>
      <c r="M502" t="s">
        <v>38</v>
      </c>
      <c r="N502" t="s">
        <v>66</v>
      </c>
      <c r="O502" t="s">
        <v>67</v>
      </c>
      <c r="P502" t="s">
        <v>76</v>
      </c>
      <c r="Q502">
        <v>115</v>
      </c>
      <c r="R502">
        <v>259.66000000000003</v>
      </c>
      <c r="S502">
        <v>29860.9</v>
      </c>
      <c r="T502">
        <v>10.11</v>
      </c>
      <c r="U502">
        <v>25</v>
      </c>
      <c r="V502">
        <v>26</v>
      </c>
      <c r="W502">
        <v>817</v>
      </c>
      <c r="X502" t="s">
        <v>188</v>
      </c>
      <c r="Y502" t="s">
        <v>36</v>
      </c>
      <c r="Z502">
        <v>7170.11</v>
      </c>
    </row>
    <row r="503" spans="1:26" x14ac:dyDescent="0.25">
      <c r="A503">
        <v>100501</v>
      </c>
      <c r="B503" s="3">
        <v>45745</v>
      </c>
      <c r="C503" s="3">
        <v>45750</v>
      </c>
      <c r="D503" s="3">
        <v>45753</v>
      </c>
      <c r="E503" t="s">
        <v>1493</v>
      </c>
      <c r="F503" t="s">
        <v>25</v>
      </c>
      <c r="G503" t="s">
        <v>244</v>
      </c>
      <c r="H503" t="s">
        <v>1494</v>
      </c>
      <c r="I503" t="s">
        <v>28</v>
      </c>
      <c r="J503" t="s">
        <v>29</v>
      </c>
      <c r="K503" t="s">
        <v>1495</v>
      </c>
      <c r="L503" t="s">
        <v>98</v>
      </c>
      <c r="M503" t="s">
        <v>54</v>
      </c>
      <c r="N503" t="s">
        <v>74</v>
      </c>
      <c r="O503" t="s">
        <v>75</v>
      </c>
      <c r="P503" t="s">
        <v>68</v>
      </c>
      <c r="Q503">
        <v>417</v>
      </c>
      <c r="R503">
        <v>57.53</v>
      </c>
      <c r="S503">
        <v>23990.01</v>
      </c>
      <c r="T503">
        <v>55.53</v>
      </c>
      <c r="U503">
        <v>3</v>
      </c>
      <c r="V503">
        <v>8</v>
      </c>
      <c r="W503">
        <v>960</v>
      </c>
      <c r="X503" t="s">
        <v>188</v>
      </c>
      <c r="Y503" t="s">
        <v>36</v>
      </c>
      <c r="Z503">
        <v>6247.17</v>
      </c>
    </row>
    <row r="504" spans="1:26" x14ac:dyDescent="0.25">
      <c r="A504">
        <v>100502</v>
      </c>
      <c r="B504" s="3">
        <v>45814</v>
      </c>
      <c r="C504" s="3">
        <v>45815</v>
      </c>
      <c r="D504" s="3">
        <v>45817</v>
      </c>
      <c r="E504" t="s">
        <v>1496</v>
      </c>
      <c r="F504" t="s">
        <v>65</v>
      </c>
      <c r="G504" t="s">
        <v>142</v>
      </c>
      <c r="H504" t="s">
        <v>1497</v>
      </c>
      <c r="I504" t="s">
        <v>177</v>
      </c>
      <c r="J504" t="s">
        <v>29</v>
      </c>
      <c r="K504" t="s">
        <v>1498</v>
      </c>
      <c r="L504" t="s">
        <v>44</v>
      </c>
      <c r="M504" t="s">
        <v>54</v>
      </c>
      <c r="N504" t="s">
        <v>151</v>
      </c>
      <c r="O504" t="s">
        <v>152</v>
      </c>
      <c r="P504" t="s">
        <v>68</v>
      </c>
      <c r="Q504">
        <v>287</v>
      </c>
      <c r="R504">
        <v>40.49</v>
      </c>
      <c r="S504">
        <v>11620.63</v>
      </c>
      <c r="T504">
        <v>47.11</v>
      </c>
      <c r="U504">
        <v>2</v>
      </c>
      <c r="V504">
        <v>3</v>
      </c>
      <c r="W504">
        <v>2163</v>
      </c>
      <c r="X504" t="s">
        <v>3741</v>
      </c>
      <c r="Y504" t="s">
        <v>36</v>
      </c>
      <c r="Z504">
        <v>2825.59</v>
      </c>
    </row>
    <row r="505" spans="1:26" x14ac:dyDescent="0.25">
      <c r="A505">
        <v>100503</v>
      </c>
      <c r="B505" s="3">
        <v>45555</v>
      </c>
      <c r="C505" s="3">
        <v>45556</v>
      </c>
      <c r="D505" s="3">
        <v>45566</v>
      </c>
      <c r="E505" t="s">
        <v>1499</v>
      </c>
      <c r="F505" t="s">
        <v>54</v>
      </c>
      <c r="G505" t="s">
        <v>193</v>
      </c>
      <c r="H505" t="s">
        <v>1500</v>
      </c>
      <c r="I505" t="s">
        <v>198</v>
      </c>
      <c r="J505" t="s">
        <v>52</v>
      </c>
      <c r="K505" t="s">
        <v>1501</v>
      </c>
      <c r="L505" t="s">
        <v>91</v>
      </c>
      <c r="M505" t="s">
        <v>38</v>
      </c>
      <c r="N505" t="s">
        <v>107</v>
      </c>
      <c r="O505" t="s">
        <v>108</v>
      </c>
      <c r="P505" t="s">
        <v>35</v>
      </c>
      <c r="Q505">
        <v>290</v>
      </c>
      <c r="R505">
        <v>62.48</v>
      </c>
      <c r="S505">
        <v>18119.2</v>
      </c>
      <c r="T505">
        <v>20.7</v>
      </c>
      <c r="U505">
        <v>10</v>
      </c>
      <c r="V505">
        <v>11</v>
      </c>
      <c r="W505">
        <v>4167</v>
      </c>
      <c r="X505" t="s">
        <v>3742</v>
      </c>
      <c r="Y505" t="s">
        <v>57</v>
      </c>
      <c r="Z505">
        <v>1294.69</v>
      </c>
    </row>
    <row r="506" spans="1:26" x14ac:dyDescent="0.25">
      <c r="A506">
        <v>100504</v>
      </c>
      <c r="B506" s="3">
        <v>45993</v>
      </c>
      <c r="C506" s="3">
        <v>45995</v>
      </c>
      <c r="D506" s="3">
        <v>46005</v>
      </c>
      <c r="E506" t="s">
        <v>1502</v>
      </c>
      <c r="F506" t="s">
        <v>25</v>
      </c>
      <c r="G506" t="s">
        <v>59</v>
      </c>
      <c r="H506" t="s">
        <v>1503</v>
      </c>
      <c r="I506" t="s">
        <v>191</v>
      </c>
      <c r="J506" t="s">
        <v>62</v>
      </c>
      <c r="K506" t="s">
        <v>1504</v>
      </c>
      <c r="L506" t="s">
        <v>31</v>
      </c>
      <c r="M506" t="s">
        <v>65</v>
      </c>
      <c r="N506" t="s">
        <v>203</v>
      </c>
      <c r="O506" t="s">
        <v>204</v>
      </c>
      <c r="P506" t="s">
        <v>123</v>
      </c>
      <c r="Q506">
        <v>476</v>
      </c>
      <c r="R506">
        <v>17.11</v>
      </c>
      <c r="S506">
        <v>8144.36</v>
      </c>
      <c r="T506">
        <v>22.26</v>
      </c>
      <c r="U506">
        <v>10</v>
      </c>
      <c r="V506">
        <v>12</v>
      </c>
      <c r="W506">
        <v>827</v>
      </c>
      <c r="X506" t="s">
        <v>188</v>
      </c>
      <c r="Y506" t="s">
        <v>36</v>
      </c>
      <c r="Z506">
        <v>608.11</v>
      </c>
    </row>
    <row r="507" spans="1:26" x14ac:dyDescent="0.25">
      <c r="A507">
        <v>100505</v>
      </c>
      <c r="B507" s="3">
        <v>45980</v>
      </c>
      <c r="C507" s="3">
        <v>45981</v>
      </c>
      <c r="D507" s="3">
        <v>45989</v>
      </c>
      <c r="E507" t="s">
        <v>757</v>
      </c>
      <c r="F507" t="s">
        <v>32</v>
      </c>
      <c r="G507" t="s">
        <v>95</v>
      </c>
      <c r="H507" t="s">
        <v>1505</v>
      </c>
      <c r="I507" t="s">
        <v>89</v>
      </c>
      <c r="J507" t="s">
        <v>62</v>
      </c>
      <c r="K507" t="s">
        <v>1506</v>
      </c>
      <c r="L507" t="s">
        <v>113</v>
      </c>
      <c r="M507" t="s">
        <v>65</v>
      </c>
      <c r="N507" t="s">
        <v>66</v>
      </c>
      <c r="O507" t="s">
        <v>67</v>
      </c>
      <c r="P507" t="s">
        <v>123</v>
      </c>
      <c r="Q507">
        <v>27</v>
      </c>
      <c r="R507">
        <v>14.19</v>
      </c>
      <c r="S507">
        <v>383.13</v>
      </c>
      <c r="T507">
        <v>11.35</v>
      </c>
      <c r="U507">
        <v>8</v>
      </c>
      <c r="V507">
        <v>9</v>
      </c>
      <c r="W507">
        <v>1097</v>
      </c>
      <c r="X507" t="s">
        <v>188</v>
      </c>
      <c r="Y507" t="s">
        <v>36</v>
      </c>
      <c r="Z507">
        <v>33.08</v>
      </c>
    </row>
    <row r="508" spans="1:26" x14ac:dyDescent="0.25">
      <c r="A508">
        <v>100506</v>
      </c>
      <c r="B508" s="3">
        <v>45713</v>
      </c>
      <c r="C508" s="3">
        <v>45714</v>
      </c>
      <c r="D508" s="3">
        <v>45715</v>
      </c>
      <c r="E508" t="s">
        <v>1507</v>
      </c>
      <c r="F508" t="s">
        <v>25</v>
      </c>
      <c r="G508" t="s">
        <v>172</v>
      </c>
      <c r="H508" t="s">
        <v>1508</v>
      </c>
      <c r="I508" t="s">
        <v>207</v>
      </c>
      <c r="J508" t="s">
        <v>80</v>
      </c>
      <c r="K508" t="s">
        <v>1509</v>
      </c>
      <c r="L508" t="s">
        <v>31</v>
      </c>
      <c r="M508" t="s">
        <v>32</v>
      </c>
      <c r="N508" t="s">
        <v>55</v>
      </c>
      <c r="O508" t="s">
        <v>56</v>
      </c>
      <c r="P508" t="s">
        <v>68</v>
      </c>
      <c r="Q508">
        <v>155</v>
      </c>
      <c r="R508">
        <v>221.73</v>
      </c>
      <c r="S508">
        <v>34368.15</v>
      </c>
      <c r="T508">
        <v>38.56</v>
      </c>
      <c r="U508">
        <v>1</v>
      </c>
      <c r="V508">
        <v>2</v>
      </c>
      <c r="W508">
        <v>1145</v>
      </c>
      <c r="X508" t="s">
        <v>3741</v>
      </c>
      <c r="Y508" t="s">
        <v>36</v>
      </c>
      <c r="Z508">
        <v>4534.7700000000004</v>
      </c>
    </row>
    <row r="509" spans="1:26" x14ac:dyDescent="0.25">
      <c r="A509">
        <v>100507</v>
      </c>
      <c r="B509" s="3">
        <v>45477</v>
      </c>
      <c r="C509" s="3">
        <v>45482</v>
      </c>
      <c r="D509" s="3">
        <v>45505</v>
      </c>
      <c r="E509" t="s">
        <v>1510</v>
      </c>
      <c r="F509" t="s">
        <v>54</v>
      </c>
      <c r="G509" t="s">
        <v>158</v>
      </c>
      <c r="H509" t="s">
        <v>1511</v>
      </c>
      <c r="I509" t="s">
        <v>116</v>
      </c>
      <c r="J509" t="s">
        <v>62</v>
      </c>
      <c r="K509" t="s">
        <v>1512</v>
      </c>
      <c r="L509" t="s">
        <v>91</v>
      </c>
      <c r="M509" t="s">
        <v>54</v>
      </c>
      <c r="N509" t="s">
        <v>203</v>
      </c>
      <c r="O509" t="s">
        <v>204</v>
      </c>
      <c r="P509" t="s">
        <v>76</v>
      </c>
      <c r="Q509">
        <v>108</v>
      </c>
      <c r="R509">
        <v>33.67</v>
      </c>
      <c r="S509">
        <v>3636.36</v>
      </c>
      <c r="T509">
        <v>7.4</v>
      </c>
      <c r="U509">
        <v>23</v>
      </c>
      <c r="V509">
        <v>28</v>
      </c>
      <c r="W509">
        <v>1243</v>
      </c>
      <c r="X509" t="s">
        <v>3742</v>
      </c>
      <c r="Y509" t="s">
        <v>57</v>
      </c>
      <c r="Z509">
        <v>468.91</v>
      </c>
    </row>
    <row r="510" spans="1:26" x14ac:dyDescent="0.25">
      <c r="A510">
        <v>100508</v>
      </c>
      <c r="B510" s="3">
        <v>45792</v>
      </c>
      <c r="C510" s="3">
        <v>45794</v>
      </c>
      <c r="D510" s="3">
        <v>45806</v>
      </c>
      <c r="E510" t="s">
        <v>1513</v>
      </c>
      <c r="F510" t="s">
        <v>54</v>
      </c>
      <c r="G510" t="s">
        <v>129</v>
      </c>
      <c r="H510" t="s">
        <v>1514</v>
      </c>
      <c r="I510" t="s">
        <v>41</v>
      </c>
      <c r="J510" t="s">
        <v>42</v>
      </c>
      <c r="K510" t="s">
        <v>1327</v>
      </c>
      <c r="L510" t="s">
        <v>118</v>
      </c>
      <c r="M510" t="s">
        <v>32</v>
      </c>
      <c r="N510" t="s">
        <v>74</v>
      </c>
      <c r="O510" t="s">
        <v>75</v>
      </c>
      <c r="P510" t="s">
        <v>123</v>
      </c>
      <c r="Q510">
        <v>60</v>
      </c>
      <c r="R510">
        <v>423.71</v>
      </c>
      <c r="S510">
        <v>25422.6</v>
      </c>
      <c r="T510">
        <v>12.15</v>
      </c>
      <c r="U510">
        <v>12</v>
      </c>
      <c r="V510">
        <v>14</v>
      </c>
      <c r="W510">
        <v>852</v>
      </c>
      <c r="X510" t="s">
        <v>3742</v>
      </c>
      <c r="Y510" t="s">
        <v>57</v>
      </c>
      <c r="Z510">
        <v>5525.93</v>
      </c>
    </row>
    <row r="511" spans="1:26" x14ac:dyDescent="0.25">
      <c r="A511">
        <v>100509</v>
      </c>
      <c r="B511" s="3">
        <v>45723</v>
      </c>
      <c r="C511" s="3">
        <v>45723</v>
      </c>
      <c r="D511" s="3">
        <v>45729</v>
      </c>
      <c r="E511" t="s">
        <v>1515</v>
      </c>
      <c r="F511" t="s">
        <v>65</v>
      </c>
      <c r="G511" t="s">
        <v>142</v>
      </c>
      <c r="H511" t="s">
        <v>1516</v>
      </c>
      <c r="I511" t="s">
        <v>89</v>
      </c>
      <c r="J511" t="s">
        <v>62</v>
      </c>
      <c r="K511" t="s">
        <v>1517</v>
      </c>
      <c r="L511" t="s">
        <v>187</v>
      </c>
      <c r="M511" t="s">
        <v>32</v>
      </c>
      <c r="N511" t="s">
        <v>45</v>
      </c>
      <c r="O511" t="s">
        <v>46</v>
      </c>
      <c r="P511" t="s">
        <v>35</v>
      </c>
      <c r="Q511">
        <v>148</v>
      </c>
      <c r="R511">
        <v>18.02</v>
      </c>
      <c r="S511">
        <v>2666.96</v>
      </c>
      <c r="T511">
        <v>16.670000000000002</v>
      </c>
      <c r="U511">
        <v>6</v>
      </c>
      <c r="V511">
        <v>6</v>
      </c>
      <c r="W511">
        <v>1264</v>
      </c>
      <c r="X511" t="s">
        <v>3742</v>
      </c>
      <c r="Y511" t="s">
        <v>57</v>
      </c>
      <c r="Z511">
        <v>259.76</v>
      </c>
    </row>
    <row r="512" spans="1:26" x14ac:dyDescent="0.25">
      <c r="A512">
        <v>100510</v>
      </c>
      <c r="B512" s="3">
        <v>45588</v>
      </c>
      <c r="C512" s="3">
        <v>45589</v>
      </c>
      <c r="D512" s="3">
        <v>45594</v>
      </c>
      <c r="E512" t="s">
        <v>1518</v>
      </c>
      <c r="F512" t="s">
        <v>65</v>
      </c>
      <c r="G512" t="s">
        <v>70</v>
      </c>
      <c r="H512" t="s">
        <v>1519</v>
      </c>
      <c r="I512" t="s">
        <v>72</v>
      </c>
      <c r="J512" t="s">
        <v>42</v>
      </c>
      <c r="K512" t="s">
        <v>772</v>
      </c>
      <c r="L512" t="s">
        <v>118</v>
      </c>
      <c r="M512" t="s">
        <v>38</v>
      </c>
      <c r="N512" t="s">
        <v>107</v>
      </c>
      <c r="O512" t="s">
        <v>108</v>
      </c>
      <c r="P512" t="s">
        <v>68</v>
      </c>
      <c r="Q512">
        <v>148</v>
      </c>
      <c r="R512">
        <v>327.04000000000002</v>
      </c>
      <c r="S512">
        <v>48401.919999999998</v>
      </c>
      <c r="T512">
        <v>38.1</v>
      </c>
      <c r="U512">
        <v>5</v>
      </c>
      <c r="V512">
        <v>6</v>
      </c>
      <c r="W512">
        <v>1247</v>
      </c>
      <c r="X512" t="s">
        <v>3741</v>
      </c>
      <c r="Y512" t="s">
        <v>36</v>
      </c>
      <c r="Z512">
        <v>4115.67</v>
      </c>
    </row>
    <row r="513" spans="1:26" x14ac:dyDescent="0.25">
      <c r="A513">
        <v>100511</v>
      </c>
      <c r="B513" s="3">
        <v>45590</v>
      </c>
      <c r="C513" s="3">
        <v>45591</v>
      </c>
      <c r="D513" s="3">
        <v>45601</v>
      </c>
      <c r="E513" t="s">
        <v>1520</v>
      </c>
      <c r="F513" t="s">
        <v>25</v>
      </c>
      <c r="G513" t="s">
        <v>59</v>
      </c>
      <c r="H513" t="s">
        <v>1521</v>
      </c>
      <c r="I513" t="s">
        <v>139</v>
      </c>
      <c r="J513" t="s">
        <v>42</v>
      </c>
      <c r="K513" t="s">
        <v>1522</v>
      </c>
      <c r="L513" t="s">
        <v>98</v>
      </c>
      <c r="M513" t="s">
        <v>54</v>
      </c>
      <c r="N513" t="s">
        <v>102</v>
      </c>
      <c r="O513" t="s">
        <v>103</v>
      </c>
      <c r="P513" t="s">
        <v>76</v>
      </c>
      <c r="Q513">
        <v>224</v>
      </c>
      <c r="R513">
        <v>449.21</v>
      </c>
      <c r="S513">
        <v>100623.03999999999</v>
      </c>
      <c r="T513">
        <v>12.1</v>
      </c>
      <c r="U513">
        <v>10</v>
      </c>
      <c r="V513">
        <v>11</v>
      </c>
      <c r="W513">
        <v>1616</v>
      </c>
      <c r="X513" t="s">
        <v>188</v>
      </c>
      <c r="Y513" t="s">
        <v>36</v>
      </c>
      <c r="Z513">
        <v>10287</v>
      </c>
    </row>
    <row r="514" spans="1:26" x14ac:dyDescent="0.25">
      <c r="A514">
        <v>100512</v>
      </c>
      <c r="B514" s="3">
        <v>45595</v>
      </c>
      <c r="C514" s="3">
        <v>45595</v>
      </c>
      <c r="D514" s="3">
        <v>45600</v>
      </c>
      <c r="E514" t="s">
        <v>1523</v>
      </c>
      <c r="F514" t="s">
        <v>54</v>
      </c>
      <c r="G514" t="s">
        <v>193</v>
      </c>
      <c r="H514" t="s">
        <v>1524</v>
      </c>
      <c r="I514" t="s">
        <v>177</v>
      </c>
      <c r="J514" t="s">
        <v>29</v>
      </c>
      <c r="K514" t="s">
        <v>1525</v>
      </c>
      <c r="L514" t="s">
        <v>64</v>
      </c>
      <c r="M514" t="s">
        <v>32</v>
      </c>
      <c r="N514" t="s">
        <v>66</v>
      </c>
      <c r="O514" t="s">
        <v>67</v>
      </c>
      <c r="P514" t="s">
        <v>68</v>
      </c>
      <c r="Q514">
        <v>258</v>
      </c>
      <c r="R514">
        <v>22.73</v>
      </c>
      <c r="S514">
        <v>5864.34</v>
      </c>
      <c r="T514">
        <v>45.23</v>
      </c>
      <c r="U514">
        <v>5</v>
      </c>
      <c r="V514">
        <v>5</v>
      </c>
      <c r="W514">
        <v>432</v>
      </c>
      <c r="X514" t="s">
        <v>3741</v>
      </c>
      <c r="Y514" t="s">
        <v>36</v>
      </c>
      <c r="Z514">
        <v>1446.47</v>
      </c>
    </row>
    <row r="515" spans="1:26" x14ac:dyDescent="0.25">
      <c r="A515">
        <v>100513</v>
      </c>
      <c r="B515" s="3">
        <v>45720</v>
      </c>
      <c r="C515" s="3">
        <v>45720</v>
      </c>
      <c r="D515" s="3">
        <v>45739</v>
      </c>
      <c r="E515" t="s">
        <v>1526</v>
      </c>
      <c r="F515" t="s">
        <v>25</v>
      </c>
      <c r="G515" t="s">
        <v>244</v>
      </c>
      <c r="H515" t="s">
        <v>1527</v>
      </c>
      <c r="I515" t="s">
        <v>191</v>
      </c>
      <c r="J515" t="s">
        <v>62</v>
      </c>
      <c r="K515" t="s">
        <v>1528</v>
      </c>
      <c r="L515" t="s">
        <v>31</v>
      </c>
      <c r="M515" t="s">
        <v>25</v>
      </c>
      <c r="N515" t="s">
        <v>55</v>
      </c>
      <c r="O515" t="s">
        <v>56</v>
      </c>
      <c r="P515" t="s">
        <v>123</v>
      </c>
      <c r="Q515">
        <v>459</v>
      </c>
      <c r="R515">
        <v>14.04</v>
      </c>
      <c r="S515">
        <v>6444.36</v>
      </c>
      <c r="T515">
        <v>16.18</v>
      </c>
      <c r="U515">
        <v>19</v>
      </c>
      <c r="V515">
        <v>19</v>
      </c>
      <c r="W515">
        <v>3073</v>
      </c>
      <c r="X515" t="s">
        <v>3742</v>
      </c>
      <c r="Y515" t="s">
        <v>188</v>
      </c>
      <c r="Z515">
        <v>429.9</v>
      </c>
    </row>
    <row r="516" spans="1:26" x14ac:dyDescent="0.25">
      <c r="A516">
        <v>100514</v>
      </c>
      <c r="B516" s="3">
        <v>45360</v>
      </c>
      <c r="C516" s="3">
        <v>45362</v>
      </c>
      <c r="D516" s="3">
        <v>45382</v>
      </c>
      <c r="E516" t="s">
        <v>411</v>
      </c>
      <c r="F516" t="s">
        <v>25</v>
      </c>
      <c r="G516" t="s">
        <v>169</v>
      </c>
      <c r="H516" t="s">
        <v>1529</v>
      </c>
      <c r="I516" t="s">
        <v>72</v>
      </c>
      <c r="J516" t="s">
        <v>42</v>
      </c>
      <c r="K516" t="s">
        <v>1530</v>
      </c>
      <c r="L516" t="s">
        <v>98</v>
      </c>
      <c r="M516" t="s">
        <v>38</v>
      </c>
      <c r="N516" t="s">
        <v>55</v>
      </c>
      <c r="O516" t="s">
        <v>56</v>
      </c>
      <c r="P516" t="s">
        <v>76</v>
      </c>
      <c r="Q516">
        <v>103</v>
      </c>
      <c r="R516">
        <v>215.87</v>
      </c>
      <c r="S516">
        <v>22234.61</v>
      </c>
      <c r="T516">
        <v>9.9</v>
      </c>
      <c r="U516">
        <v>20</v>
      </c>
      <c r="V516">
        <v>22</v>
      </c>
      <c r="W516">
        <v>164</v>
      </c>
      <c r="X516" t="s">
        <v>3742</v>
      </c>
      <c r="Y516" t="s">
        <v>57</v>
      </c>
      <c r="Z516">
        <v>1016.14</v>
      </c>
    </row>
    <row r="517" spans="1:26" x14ac:dyDescent="0.25">
      <c r="A517">
        <v>100515</v>
      </c>
      <c r="B517" s="3">
        <v>45293</v>
      </c>
      <c r="C517" s="3">
        <v>45297</v>
      </c>
      <c r="D517" s="3">
        <v>45303</v>
      </c>
      <c r="E517" t="s">
        <v>1531</v>
      </c>
      <c r="F517" t="s">
        <v>38</v>
      </c>
      <c r="G517" t="s">
        <v>217</v>
      </c>
      <c r="H517" t="s">
        <v>1532</v>
      </c>
      <c r="I517" t="s">
        <v>41</v>
      </c>
      <c r="J517" t="s">
        <v>42</v>
      </c>
      <c r="K517" t="s">
        <v>1533</v>
      </c>
      <c r="L517" t="s">
        <v>187</v>
      </c>
      <c r="M517" t="s">
        <v>25</v>
      </c>
      <c r="N517" t="s">
        <v>203</v>
      </c>
      <c r="O517" t="s">
        <v>204</v>
      </c>
      <c r="P517" t="s">
        <v>35</v>
      </c>
      <c r="Q517">
        <v>47</v>
      </c>
      <c r="R517">
        <v>320.26</v>
      </c>
      <c r="S517">
        <v>15052.22</v>
      </c>
      <c r="T517">
        <v>13.81</v>
      </c>
      <c r="U517">
        <v>6</v>
      </c>
      <c r="V517">
        <v>10</v>
      </c>
      <c r="W517">
        <v>1610</v>
      </c>
      <c r="X517" t="s">
        <v>188</v>
      </c>
      <c r="Y517" t="s">
        <v>36</v>
      </c>
      <c r="Z517">
        <v>2213.0300000000002</v>
      </c>
    </row>
    <row r="518" spans="1:26" x14ac:dyDescent="0.25">
      <c r="A518">
        <v>100516</v>
      </c>
      <c r="B518" s="3">
        <v>45804</v>
      </c>
      <c r="C518" s="3">
        <v>45806</v>
      </c>
      <c r="D518" s="3">
        <v>45814</v>
      </c>
      <c r="E518" t="s">
        <v>1534</v>
      </c>
      <c r="F518" t="s">
        <v>54</v>
      </c>
      <c r="G518" t="s">
        <v>158</v>
      </c>
      <c r="H518" t="s">
        <v>1535</v>
      </c>
      <c r="I518" t="s">
        <v>134</v>
      </c>
      <c r="J518" t="s">
        <v>52</v>
      </c>
      <c r="K518" t="s">
        <v>824</v>
      </c>
      <c r="L518" t="s">
        <v>113</v>
      </c>
      <c r="M518" t="s">
        <v>32</v>
      </c>
      <c r="N518" t="s">
        <v>45</v>
      </c>
      <c r="O518" t="s">
        <v>46</v>
      </c>
      <c r="P518" t="s">
        <v>123</v>
      </c>
      <c r="Q518">
        <v>380</v>
      </c>
      <c r="R518">
        <v>60.73</v>
      </c>
      <c r="S518">
        <v>23077.4</v>
      </c>
      <c r="T518">
        <v>19.93</v>
      </c>
      <c r="U518">
        <v>8</v>
      </c>
      <c r="V518">
        <v>10</v>
      </c>
      <c r="W518">
        <v>3877</v>
      </c>
      <c r="X518" t="s">
        <v>188</v>
      </c>
      <c r="Y518" t="s">
        <v>36</v>
      </c>
      <c r="Z518">
        <v>2355.1</v>
      </c>
    </row>
    <row r="519" spans="1:26" x14ac:dyDescent="0.25">
      <c r="A519">
        <v>100517</v>
      </c>
      <c r="B519" s="3">
        <v>45678</v>
      </c>
      <c r="C519" s="3">
        <v>45681</v>
      </c>
      <c r="D519" s="3">
        <v>45687</v>
      </c>
      <c r="E519" t="s">
        <v>1536</v>
      </c>
      <c r="F519" t="s">
        <v>65</v>
      </c>
      <c r="G519" t="s">
        <v>154</v>
      </c>
      <c r="H519" t="s">
        <v>1537</v>
      </c>
      <c r="I519" t="s">
        <v>149</v>
      </c>
      <c r="J519" t="s">
        <v>42</v>
      </c>
      <c r="K519" t="s">
        <v>1385</v>
      </c>
      <c r="L519" t="s">
        <v>98</v>
      </c>
      <c r="M519" t="s">
        <v>38</v>
      </c>
      <c r="N519" t="s">
        <v>55</v>
      </c>
      <c r="O519" t="s">
        <v>56</v>
      </c>
      <c r="P519" t="s">
        <v>35</v>
      </c>
      <c r="Q519">
        <v>170</v>
      </c>
      <c r="R519">
        <v>111.66</v>
      </c>
      <c r="S519">
        <v>18982.2</v>
      </c>
      <c r="T519">
        <v>17.29</v>
      </c>
      <c r="U519">
        <v>6</v>
      </c>
      <c r="V519">
        <v>9</v>
      </c>
      <c r="W519">
        <v>261</v>
      </c>
      <c r="X519" t="s">
        <v>3742</v>
      </c>
      <c r="Y519" t="s">
        <v>57</v>
      </c>
      <c r="Z519">
        <v>2612.08</v>
      </c>
    </row>
    <row r="520" spans="1:26" x14ac:dyDescent="0.25">
      <c r="A520">
        <v>100518</v>
      </c>
      <c r="B520" s="3">
        <v>45842</v>
      </c>
      <c r="C520" s="3">
        <v>45842</v>
      </c>
      <c r="D520" s="3">
        <v>45865</v>
      </c>
      <c r="E520" t="s">
        <v>1538</v>
      </c>
      <c r="F520" t="s">
        <v>54</v>
      </c>
      <c r="G520" t="s">
        <v>158</v>
      </c>
      <c r="H520" t="s">
        <v>1539</v>
      </c>
      <c r="I520" t="s">
        <v>144</v>
      </c>
      <c r="J520" t="s">
        <v>52</v>
      </c>
      <c r="K520" t="s">
        <v>1540</v>
      </c>
      <c r="L520" t="s">
        <v>44</v>
      </c>
      <c r="M520" t="s">
        <v>65</v>
      </c>
      <c r="N520" t="s">
        <v>33</v>
      </c>
      <c r="O520" t="s">
        <v>34</v>
      </c>
      <c r="P520" t="s">
        <v>76</v>
      </c>
      <c r="Q520">
        <v>181</v>
      </c>
      <c r="R520">
        <v>18.57</v>
      </c>
      <c r="S520">
        <v>3361.17</v>
      </c>
      <c r="T520">
        <v>11.32</v>
      </c>
      <c r="U520">
        <v>23</v>
      </c>
      <c r="V520">
        <v>23</v>
      </c>
      <c r="W520">
        <v>2937</v>
      </c>
      <c r="X520" t="s">
        <v>188</v>
      </c>
      <c r="Y520" t="s">
        <v>36</v>
      </c>
      <c r="Z520">
        <v>568.67999999999995</v>
      </c>
    </row>
    <row r="521" spans="1:26" x14ac:dyDescent="0.25">
      <c r="A521">
        <v>100519</v>
      </c>
      <c r="B521" s="3">
        <v>45616</v>
      </c>
      <c r="C521" s="3">
        <v>45621</v>
      </c>
      <c r="D521" s="3">
        <v>45631</v>
      </c>
      <c r="E521" t="s">
        <v>1541</v>
      </c>
      <c r="F521" t="s">
        <v>54</v>
      </c>
      <c r="G521" t="s">
        <v>193</v>
      </c>
      <c r="H521" t="s">
        <v>1542</v>
      </c>
      <c r="I521" t="s">
        <v>85</v>
      </c>
      <c r="J521" t="s">
        <v>52</v>
      </c>
      <c r="K521" t="s">
        <v>1543</v>
      </c>
      <c r="L521" t="s">
        <v>98</v>
      </c>
      <c r="M521" t="s">
        <v>38</v>
      </c>
      <c r="N521" t="s">
        <v>45</v>
      </c>
      <c r="O521" t="s">
        <v>46</v>
      </c>
      <c r="P521" t="s">
        <v>35</v>
      </c>
      <c r="Q521">
        <v>13</v>
      </c>
      <c r="R521">
        <v>56.67</v>
      </c>
      <c r="S521">
        <v>736.71</v>
      </c>
      <c r="T521">
        <v>12.84</v>
      </c>
      <c r="U521">
        <v>10</v>
      </c>
      <c r="V521">
        <v>15</v>
      </c>
      <c r="W521">
        <v>4355</v>
      </c>
      <c r="X521" t="s">
        <v>188</v>
      </c>
      <c r="Y521" t="s">
        <v>36</v>
      </c>
      <c r="Z521">
        <v>49.93</v>
      </c>
    </row>
    <row r="522" spans="1:26" x14ac:dyDescent="0.25">
      <c r="A522">
        <v>100520</v>
      </c>
      <c r="B522" s="3">
        <v>45370</v>
      </c>
      <c r="C522" s="3">
        <v>45370</v>
      </c>
      <c r="D522" s="3">
        <v>45371</v>
      </c>
      <c r="E522" t="s">
        <v>1544</v>
      </c>
      <c r="F522" t="s">
        <v>54</v>
      </c>
      <c r="G522" t="s">
        <v>165</v>
      </c>
      <c r="H522" t="s">
        <v>1545</v>
      </c>
      <c r="I522" t="s">
        <v>89</v>
      </c>
      <c r="J522" t="s">
        <v>62</v>
      </c>
      <c r="K522" t="s">
        <v>1546</v>
      </c>
      <c r="L522" t="s">
        <v>118</v>
      </c>
      <c r="M522" t="s">
        <v>54</v>
      </c>
      <c r="N522" t="s">
        <v>45</v>
      </c>
      <c r="O522" t="s">
        <v>46</v>
      </c>
      <c r="P522" t="s">
        <v>68</v>
      </c>
      <c r="Q522">
        <v>407</v>
      </c>
      <c r="R522">
        <v>28.82</v>
      </c>
      <c r="S522">
        <v>11729.74</v>
      </c>
      <c r="T522">
        <v>40.659999999999997</v>
      </c>
      <c r="U522">
        <v>1</v>
      </c>
      <c r="V522">
        <v>1</v>
      </c>
      <c r="W522">
        <v>2813</v>
      </c>
      <c r="X522" t="s">
        <v>3741</v>
      </c>
      <c r="Y522" t="s">
        <v>36</v>
      </c>
      <c r="Z522">
        <v>1837.06</v>
      </c>
    </row>
    <row r="523" spans="1:26" x14ac:dyDescent="0.25">
      <c r="A523">
        <v>100521</v>
      </c>
      <c r="B523" s="3">
        <v>45821</v>
      </c>
      <c r="C523" s="3">
        <v>45821</v>
      </c>
      <c r="D523" s="3">
        <v>45825</v>
      </c>
      <c r="E523" t="s">
        <v>1547</v>
      </c>
      <c r="F523" t="s">
        <v>65</v>
      </c>
      <c r="G523" t="s">
        <v>70</v>
      </c>
      <c r="H523" t="s">
        <v>1548</v>
      </c>
      <c r="I523" t="s">
        <v>41</v>
      </c>
      <c r="J523" t="s">
        <v>42</v>
      </c>
      <c r="K523" t="s">
        <v>1332</v>
      </c>
      <c r="L523" t="s">
        <v>44</v>
      </c>
      <c r="M523" t="s">
        <v>25</v>
      </c>
      <c r="N523" t="s">
        <v>55</v>
      </c>
      <c r="O523" t="s">
        <v>56</v>
      </c>
      <c r="P523" t="s">
        <v>123</v>
      </c>
      <c r="Q523">
        <v>93</v>
      </c>
      <c r="R523">
        <v>277.39999999999998</v>
      </c>
      <c r="S523">
        <v>25798.2</v>
      </c>
      <c r="T523">
        <v>12.95</v>
      </c>
      <c r="U523">
        <v>4</v>
      </c>
      <c r="V523">
        <v>4</v>
      </c>
      <c r="W523">
        <v>891</v>
      </c>
      <c r="X523" t="s">
        <v>3741</v>
      </c>
      <c r="Y523" t="s">
        <v>36</v>
      </c>
      <c r="Z523">
        <v>3152.85</v>
      </c>
    </row>
    <row r="524" spans="1:26" x14ac:dyDescent="0.25">
      <c r="A524">
        <v>100522</v>
      </c>
      <c r="B524" s="3">
        <v>45513</v>
      </c>
      <c r="C524" s="3">
        <v>45513</v>
      </c>
      <c r="D524" s="3">
        <v>45523</v>
      </c>
      <c r="E524" t="s">
        <v>671</v>
      </c>
      <c r="F524" t="s">
        <v>32</v>
      </c>
      <c r="G524" t="s">
        <v>364</v>
      </c>
      <c r="H524" t="s">
        <v>1549</v>
      </c>
      <c r="I524" t="s">
        <v>198</v>
      </c>
      <c r="J524" t="s">
        <v>52</v>
      </c>
      <c r="K524" t="s">
        <v>431</v>
      </c>
      <c r="L524" t="s">
        <v>44</v>
      </c>
      <c r="M524" t="s">
        <v>65</v>
      </c>
      <c r="N524" t="s">
        <v>45</v>
      </c>
      <c r="O524" t="s">
        <v>46</v>
      </c>
      <c r="P524" t="s">
        <v>123</v>
      </c>
      <c r="Q524">
        <v>300</v>
      </c>
      <c r="R524">
        <v>44.68</v>
      </c>
      <c r="S524">
        <v>13404</v>
      </c>
      <c r="T524">
        <v>17.98</v>
      </c>
      <c r="U524">
        <v>10</v>
      </c>
      <c r="V524">
        <v>10</v>
      </c>
      <c r="W524">
        <v>3961</v>
      </c>
      <c r="X524" t="s">
        <v>188</v>
      </c>
      <c r="Y524" t="s">
        <v>36</v>
      </c>
      <c r="Z524">
        <v>1241.68</v>
      </c>
    </row>
    <row r="525" spans="1:26" x14ac:dyDescent="0.25">
      <c r="A525">
        <v>100523</v>
      </c>
      <c r="B525" s="3">
        <v>45574</v>
      </c>
      <c r="C525" s="3">
        <v>45577</v>
      </c>
      <c r="D525" s="3">
        <v>45589</v>
      </c>
      <c r="E525" t="s">
        <v>1550</v>
      </c>
      <c r="F525" t="s">
        <v>65</v>
      </c>
      <c r="G525" t="s">
        <v>154</v>
      </c>
      <c r="H525" t="s">
        <v>1551</v>
      </c>
      <c r="I525" t="s">
        <v>416</v>
      </c>
      <c r="J525" t="s">
        <v>80</v>
      </c>
      <c r="K525" t="s">
        <v>1552</v>
      </c>
      <c r="L525" t="s">
        <v>44</v>
      </c>
      <c r="M525" t="s">
        <v>32</v>
      </c>
      <c r="N525" t="s">
        <v>151</v>
      </c>
      <c r="O525" t="s">
        <v>152</v>
      </c>
      <c r="P525" t="s">
        <v>123</v>
      </c>
      <c r="Q525">
        <v>477</v>
      </c>
      <c r="R525">
        <v>280.52</v>
      </c>
      <c r="S525">
        <v>133808.04</v>
      </c>
      <c r="T525">
        <v>22.28</v>
      </c>
      <c r="U525">
        <v>12</v>
      </c>
      <c r="V525">
        <v>15</v>
      </c>
      <c r="W525">
        <v>1042</v>
      </c>
      <c r="X525" t="s">
        <v>188</v>
      </c>
      <c r="Y525" t="s">
        <v>36</v>
      </c>
      <c r="Z525">
        <v>35668.639999999999</v>
      </c>
    </row>
    <row r="526" spans="1:26" x14ac:dyDescent="0.25">
      <c r="A526">
        <v>100524</v>
      </c>
      <c r="B526" s="3">
        <v>45528</v>
      </c>
      <c r="C526" s="3">
        <v>45529</v>
      </c>
      <c r="D526" s="3">
        <v>45530</v>
      </c>
      <c r="E526" t="s">
        <v>1553</v>
      </c>
      <c r="F526" t="s">
        <v>65</v>
      </c>
      <c r="G526" t="s">
        <v>142</v>
      </c>
      <c r="H526" t="s">
        <v>1554</v>
      </c>
      <c r="I526" t="s">
        <v>177</v>
      </c>
      <c r="J526" t="s">
        <v>29</v>
      </c>
      <c r="K526" t="s">
        <v>1453</v>
      </c>
      <c r="L526" t="s">
        <v>44</v>
      </c>
      <c r="M526" t="s">
        <v>25</v>
      </c>
      <c r="N526" t="s">
        <v>151</v>
      </c>
      <c r="O526" t="s">
        <v>152</v>
      </c>
      <c r="P526" t="s">
        <v>68</v>
      </c>
      <c r="Q526">
        <v>264</v>
      </c>
      <c r="R526">
        <v>89.5</v>
      </c>
      <c r="S526">
        <v>23628</v>
      </c>
      <c r="T526">
        <v>45.62</v>
      </c>
      <c r="U526">
        <v>1</v>
      </c>
      <c r="V526">
        <v>2</v>
      </c>
      <c r="W526">
        <v>1140</v>
      </c>
      <c r="X526" t="s">
        <v>3741</v>
      </c>
      <c r="Y526" t="s">
        <v>36</v>
      </c>
      <c r="Z526">
        <v>3581.41</v>
      </c>
    </row>
    <row r="527" spans="1:26" x14ac:dyDescent="0.25">
      <c r="A527">
        <v>100525</v>
      </c>
      <c r="B527" s="3">
        <v>45711</v>
      </c>
      <c r="C527" s="3">
        <v>45712</v>
      </c>
      <c r="D527" s="3">
        <v>45721</v>
      </c>
      <c r="E527" t="s">
        <v>1555</v>
      </c>
      <c r="F527" t="s">
        <v>32</v>
      </c>
      <c r="G527" t="s">
        <v>255</v>
      </c>
      <c r="H527" t="s">
        <v>1556</v>
      </c>
      <c r="I527" t="s">
        <v>238</v>
      </c>
      <c r="J527" t="s">
        <v>62</v>
      </c>
      <c r="K527" t="s">
        <v>1557</v>
      </c>
      <c r="L527" t="s">
        <v>64</v>
      </c>
      <c r="M527" t="s">
        <v>54</v>
      </c>
      <c r="N527" t="s">
        <v>55</v>
      </c>
      <c r="O527" t="s">
        <v>56</v>
      </c>
      <c r="P527" t="s">
        <v>35</v>
      </c>
      <c r="Q527">
        <v>347</v>
      </c>
      <c r="R527">
        <v>10.73</v>
      </c>
      <c r="S527">
        <v>3723.31</v>
      </c>
      <c r="T527">
        <v>22.31</v>
      </c>
      <c r="U527">
        <v>9</v>
      </c>
      <c r="V527">
        <v>10</v>
      </c>
      <c r="W527">
        <v>3408</v>
      </c>
      <c r="X527" t="s">
        <v>188</v>
      </c>
      <c r="Y527" t="s">
        <v>36</v>
      </c>
      <c r="Z527">
        <v>642.62</v>
      </c>
    </row>
    <row r="528" spans="1:26" x14ac:dyDescent="0.25">
      <c r="A528">
        <v>100526</v>
      </c>
      <c r="B528" s="3">
        <v>45377</v>
      </c>
      <c r="C528" s="3">
        <v>45379</v>
      </c>
      <c r="D528" s="3">
        <v>45388</v>
      </c>
      <c r="E528" t="s">
        <v>1558</v>
      </c>
      <c r="F528" t="s">
        <v>25</v>
      </c>
      <c r="G528" t="s">
        <v>169</v>
      </c>
      <c r="H528" t="s">
        <v>1559</v>
      </c>
      <c r="I528" t="s">
        <v>28</v>
      </c>
      <c r="J528" t="s">
        <v>29</v>
      </c>
      <c r="K528" t="s">
        <v>769</v>
      </c>
      <c r="L528" t="s">
        <v>44</v>
      </c>
      <c r="M528" t="s">
        <v>54</v>
      </c>
      <c r="N528" t="s">
        <v>203</v>
      </c>
      <c r="O528" t="s">
        <v>204</v>
      </c>
      <c r="P528" t="s">
        <v>68</v>
      </c>
      <c r="Q528">
        <v>487</v>
      </c>
      <c r="R528">
        <v>43.01</v>
      </c>
      <c r="S528">
        <v>20945.87</v>
      </c>
      <c r="T528">
        <v>60.07</v>
      </c>
      <c r="U528">
        <v>9</v>
      </c>
      <c r="V528">
        <v>11</v>
      </c>
      <c r="W528">
        <v>545</v>
      </c>
      <c r="X528" t="s">
        <v>188</v>
      </c>
      <c r="Y528" t="s">
        <v>36</v>
      </c>
      <c r="Z528">
        <v>2875.34</v>
      </c>
    </row>
    <row r="529" spans="1:26" x14ac:dyDescent="0.25">
      <c r="A529">
        <v>100527</v>
      </c>
      <c r="B529" s="3">
        <v>45910</v>
      </c>
      <c r="C529" s="3">
        <v>45911</v>
      </c>
      <c r="D529" s="3">
        <v>45916</v>
      </c>
      <c r="E529" t="s">
        <v>1560</v>
      </c>
      <c r="F529" t="s">
        <v>65</v>
      </c>
      <c r="G529" t="s">
        <v>154</v>
      </c>
      <c r="H529" t="s">
        <v>1561</v>
      </c>
      <c r="I529" t="s">
        <v>182</v>
      </c>
      <c r="J529" t="s">
        <v>80</v>
      </c>
      <c r="K529" t="s">
        <v>1562</v>
      </c>
      <c r="L529" t="s">
        <v>122</v>
      </c>
      <c r="M529" t="s">
        <v>25</v>
      </c>
      <c r="N529" t="s">
        <v>66</v>
      </c>
      <c r="O529" t="s">
        <v>67</v>
      </c>
      <c r="P529" t="s">
        <v>123</v>
      </c>
      <c r="Q529">
        <v>68</v>
      </c>
      <c r="R529">
        <v>288.57</v>
      </c>
      <c r="S529">
        <v>19622.759999999998</v>
      </c>
      <c r="T529">
        <v>12.34</v>
      </c>
      <c r="U529">
        <v>5</v>
      </c>
      <c r="V529">
        <v>6</v>
      </c>
      <c r="W529">
        <v>892</v>
      </c>
      <c r="X529" t="s">
        <v>3741</v>
      </c>
      <c r="Y529" t="s">
        <v>36</v>
      </c>
      <c r="Z529">
        <v>4666.91</v>
      </c>
    </row>
    <row r="530" spans="1:26" x14ac:dyDescent="0.25">
      <c r="A530">
        <v>100528</v>
      </c>
      <c r="B530" s="3">
        <v>45565</v>
      </c>
      <c r="C530" s="3">
        <v>45570</v>
      </c>
      <c r="D530" s="3">
        <v>45576</v>
      </c>
      <c r="E530" t="s">
        <v>1563</v>
      </c>
      <c r="F530" t="s">
        <v>32</v>
      </c>
      <c r="G530" t="s">
        <v>364</v>
      </c>
      <c r="H530" t="s">
        <v>1564</v>
      </c>
      <c r="I530" t="s">
        <v>79</v>
      </c>
      <c r="J530" t="s">
        <v>80</v>
      </c>
      <c r="K530" t="s">
        <v>1438</v>
      </c>
      <c r="L530" t="s">
        <v>113</v>
      </c>
      <c r="M530" t="s">
        <v>38</v>
      </c>
      <c r="N530" t="s">
        <v>92</v>
      </c>
      <c r="O530" t="s">
        <v>93</v>
      </c>
      <c r="P530" t="s">
        <v>35</v>
      </c>
      <c r="Q530">
        <v>373</v>
      </c>
      <c r="R530">
        <v>207.47</v>
      </c>
      <c r="S530">
        <v>77386.31</v>
      </c>
      <c r="T530">
        <v>23.05</v>
      </c>
      <c r="U530">
        <v>6</v>
      </c>
      <c r="V530">
        <v>11</v>
      </c>
      <c r="W530">
        <v>1766</v>
      </c>
      <c r="X530" t="s">
        <v>188</v>
      </c>
      <c r="Y530" t="s">
        <v>36</v>
      </c>
      <c r="Z530">
        <v>17682.59</v>
      </c>
    </row>
    <row r="531" spans="1:26" x14ac:dyDescent="0.25">
      <c r="A531">
        <v>100529</v>
      </c>
      <c r="B531" s="3">
        <v>45462</v>
      </c>
      <c r="C531" s="3">
        <v>45464</v>
      </c>
      <c r="D531" s="3">
        <v>45489</v>
      </c>
      <c r="E531" t="s">
        <v>1565</v>
      </c>
      <c r="F531" t="s">
        <v>38</v>
      </c>
      <c r="G531" t="s">
        <v>39</v>
      </c>
      <c r="H531" t="s">
        <v>1566</v>
      </c>
      <c r="I531" t="s">
        <v>368</v>
      </c>
      <c r="J531" t="s">
        <v>29</v>
      </c>
      <c r="K531" t="s">
        <v>1567</v>
      </c>
      <c r="L531" t="s">
        <v>187</v>
      </c>
      <c r="M531" t="s">
        <v>32</v>
      </c>
      <c r="N531" t="s">
        <v>92</v>
      </c>
      <c r="O531" t="s">
        <v>93</v>
      </c>
      <c r="P531" t="s">
        <v>76</v>
      </c>
      <c r="Q531">
        <v>315</v>
      </c>
      <c r="R531">
        <v>90.29</v>
      </c>
      <c r="S531">
        <v>28441.35</v>
      </c>
      <c r="T531">
        <v>13.76</v>
      </c>
      <c r="U531">
        <v>25</v>
      </c>
      <c r="V531">
        <v>27</v>
      </c>
      <c r="W531">
        <v>1242</v>
      </c>
      <c r="X531" t="s">
        <v>188</v>
      </c>
      <c r="Y531" t="s">
        <v>36</v>
      </c>
      <c r="Z531">
        <v>5147.82</v>
      </c>
    </row>
    <row r="532" spans="1:26" x14ac:dyDescent="0.25">
      <c r="A532">
        <v>100530</v>
      </c>
      <c r="B532" s="3">
        <v>45392</v>
      </c>
      <c r="C532" s="3">
        <v>45396</v>
      </c>
      <c r="D532" s="3">
        <v>45409</v>
      </c>
      <c r="E532" t="s">
        <v>1568</v>
      </c>
      <c r="F532" t="s">
        <v>25</v>
      </c>
      <c r="G532" t="s">
        <v>233</v>
      </c>
      <c r="H532" t="s">
        <v>1569</v>
      </c>
      <c r="I532" t="s">
        <v>416</v>
      </c>
      <c r="J532" t="s">
        <v>80</v>
      </c>
      <c r="K532" t="s">
        <v>1570</v>
      </c>
      <c r="L532" t="s">
        <v>44</v>
      </c>
      <c r="M532" t="s">
        <v>65</v>
      </c>
      <c r="N532" t="s">
        <v>74</v>
      </c>
      <c r="O532" t="s">
        <v>75</v>
      </c>
      <c r="P532" t="s">
        <v>123</v>
      </c>
      <c r="Q532">
        <v>346</v>
      </c>
      <c r="R532">
        <v>299.3</v>
      </c>
      <c r="S532">
        <v>103557.8</v>
      </c>
      <c r="T532">
        <v>19.100000000000001</v>
      </c>
      <c r="U532">
        <v>13</v>
      </c>
      <c r="V532">
        <v>17</v>
      </c>
      <c r="W532">
        <v>1591</v>
      </c>
      <c r="X532" t="s">
        <v>188</v>
      </c>
      <c r="Y532" t="s">
        <v>36</v>
      </c>
      <c r="Z532">
        <v>15238.09</v>
      </c>
    </row>
    <row r="533" spans="1:26" x14ac:dyDescent="0.25">
      <c r="A533">
        <v>100531</v>
      </c>
      <c r="B533" s="3">
        <v>45690</v>
      </c>
      <c r="C533" s="3">
        <v>45694</v>
      </c>
      <c r="D533" s="3">
        <v>45696</v>
      </c>
      <c r="E533" t="s">
        <v>1571</v>
      </c>
      <c r="F533" t="s">
        <v>38</v>
      </c>
      <c r="G533" t="s">
        <v>147</v>
      </c>
      <c r="H533" t="s">
        <v>1572</v>
      </c>
      <c r="I533" t="s">
        <v>85</v>
      </c>
      <c r="J533" t="s">
        <v>52</v>
      </c>
      <c r="K533" t="s">
        <v>1573</v>
      </c>
      <c r="L533" t="s">
        <v>64</v>
      </c>
      <c r="M533" t="s">
        <v>38</v>
      </c>
      <c r="N533" t="s">
        <v>102</v>
      </c>
      <c r="O533" t="s">
        <v>103</v>
      </c>
      <c r="P533" t="s">
        <v>35</v>
      </c>
      <c r="Q533">
        <v>167</v>
      </c>
      <c r="R533">
        <v>73.819999999999993</v>
      </c>
      <c r="S533">
        <v>12327.94</v>
      </c>
      <c r="T533">
        <v>12.75</v>
      </c>
      <c r="U533">
        <v>2</v>
      </c>
      <c r="V533">
        <v>6</v>
      </c>
      <c r="W533">
        <v>3253</v>
      </c>
      <c r="X533" t="s">
        <v>3742</v>
      </c>
      <c r="Y533" t="s">
        <v>57</v>
      </c>
      <c r="Z533">
        <v>1261.81</v>
      </c>
    </row>
    <row r="534" spans="1:26" x14ac:dyDescent="0.25">
      <c r="A534">
        <v>100532</v>
      </c>
      <c r="B534" s="3">
        <v>45571</v>
      </c>
      <c r="C534" s="3">
        <v>45576</v>
      </c>
      <c r="D534" s="3">
        <v>45579</v>
      </c>
      <c r="E534" t="s">
        <v>1574</v>
      </c>
      <c r="F534" t="s">
        <v>54</v>
      </c>
      <c r="G534" t="s">
        <v>193</v>
      </c>
      <c r="H534" t="s">
        <v>1575</v>
      </c>
      <c r="I534" t="s">
        <v>207</v>
      </c>
      <c r="J534" t="s">
        <v>80</v>
      </c>
      <c r="K534" t="s">
        <v>1576</v>
      </c>
      <c r="L534" t="s">
        <v>91</v>
      </c>
      <c r="M534" t="s">
        <v>32</v>
      </c>
      <c r="N534" t="s">
        <v>102</v>
      </c>
      <c r="O534" t="s">
        <v>103</v>
      </c>
      <c r="P534" t="s">
        <v>35</v>
      </c>
      <c r="Q534">
        <v>283</v>
      </c>
      <c r="R534">
        <v>301.08</v>
      </c>
      <c r="S534">
        <v>85205.64</v>
      </c>
      <c r="T534">
        <v>20.5</v>
      </c>
      <c r="U534">
        <v>3</v>
      </c>
      <c r="V534">
        <v>8</v>
      </c>
      <c r="W534">
        <v>1386</v>
      </c>
      <c r="X534" t="s">
        <v>188</v>
      </c>
      <c r="Y534" t="s">
        <v>36</v>
      </c>
      <c r="Z534">
        <v>10221.459999999999</v>
      </c>
    </row>
    <row r="535" spans="1:26" x14ac:dyDescent="0.25">
      <c r="A535">
        <v>100533</v>
      </c>
      <c r="B535" s="3">
        <v>45761</v>
      </c>
      <c r="C535" s="3">
        <v>45762</v>
      </c>
      <c r="D535" s="3">
        <v>45766</v>
      </c>
      <c r="E535" t="s">
        <v>1577</v>
      </c>
      <c r="F535" t="s">
        <v>25</v>
      </c>
      <c r="G535" t="s">
        <v>26</v>
      </c>
      <c r="H535" t="s">
        <v>1578</v>
      </c>
      <c r="I535" t="s">
        <v>116</v>
      </c>
      <c r="J535" t="s">
        <v>62</v>
      </c>
      <c r="K535" t="s">
        <v>383</v>
      </c>
      <c r="L535" t="s">
        <v>113</v>
      </c>
      <c r="M535" t="s">
        <v>54</v>
      </c>
      <c r="N535" t="s">
        <v>66</v>
      </c>
      <c r="O535" t="s">
        <v>67</v>
      </c>
      <c r="P535" t="s">
        <v>35</v>
      </c>
      <c r="Q535">
        <v>215</v>
      </c>
      <c r="R535">
        <v>23.1</v>
      </c>
      <c r="S535">
        <v>4966.5</v>
      </c>
      <c r="T535">
        <v>18.57</v>
      </c>
      <c r="U535">
        <v>4</v>
      </c>
      <c r="V535">
        <v>5</v>
      </c>
      <c r="W535">
        <v>2627</v>
      </c>
      <c r="X535" t="s">
        <v>3741</v>
      </c>
      <c r="Y535" t="s">
        <v>36</v>
      </c>
      <c r="Z535">
        <v>676.87</v>
      </c>
    </row>
    <row r="536" spans="1:26" x14ac:dyDescent="0.25">
      <c r="A536">
        <v>100534</v>
      </c>
      <c r="B536" s="3">
        <v>45391</v>
      </c>
      <c r="C536" s="3">
        <v>45395</v>
      </c>
      <c r="D536" s="3">
        <v>45397</v>
      </c>
      <c r="E536" t="s">
        <v>1579</v>
      </c>
      <c r="F536" t="s">
        <v>54</v>
      </c>
      <c r="G536" t="s">
        <v>165</v>
      </c>
      <c r="H536" t="s">
        <v>1580</v>
      </c>
      <c r="I536" t="s">
        <v>238</v>
      </c>
      <c r="J536" t="s">
        <v>62</v>
      </c>
      <c r="K536" t="s">
        <v>1581</v>
      </c>
      <c r="L536" t="s">
        <v>98</v>
      </c>
      <c r="M536" t="s">
        <v>25</v>
      </c>
      <c r="N536" t="s">
        <v>102</v>
      </c>
      <c r="O536" t="s">
        <v>103</v>
      </c>
      <c r="P536" t="s">
        <v>35</v>
      </c>
      <c r="Q536">
        <v>184</v>
      </c>
      <c r="R536">
        <v>5.69</v>
      </c>
      <c r="S536">
        <v>1046.96</v>
      </c>
      <c r="T536">
        <v>17.690000000000001</v>
      </c>
      <c r="U536">
        <v>2</v>
      </c>
      <c r="V536">
        <v>6</v>
      </c>
      <c r="W536">
        <v>3378</v>
      </c>
      <c r="X536" t="s">
        <v>3741</v>
      </c>
      <c r="Y536" t="s">
        <v>36</v>
      </c>
      <c r="Z536">
        <v>84.57</v>
      </c>
    </row>
    <row r="537" spans="1:26" x14ac:dyDescent="0.25">
      <c r="A537">
        <v>100535</v>
      </c>
      <c r="B537" s="3">
        <v>45753</v>
      </c>
      <c r="C537" s="3">
        <v>45757</v>
      </c>
      <c r="D537" s="3">
        <v>45768</v>
      </c>
      <c r="E537" t="s">
        <v>1582</v>
      </c>
      <c r="F537" t="s">
        <v>38</v>
      </c>
      <c r="G537" t="s">
        <v>39</v>
      </c>
      <c r="H537" t="s">
        <v>1583</v>
      </c>
      <c r="I537" t="s">
        <v>230</v>
      </c>
      <c r="J537" t="s">
        <v>80</v>
      </c>
      <c r="K537" t="s">
        <v>1584</v>
      </c>
      <c r="L537" t="s">
        <v>44</v>
      </c>
      <c r="M537" t="s">
        <v>54</v>
      </c>
      <c r="N537" t="s">
        <v>92</v>
      </c>
      <c r="O537" t="s">
        <v>93</v>
      </c>
      <c r="P537" t="s">
        <v>76</v>
      </c>
      <c r="Q537">
        <v>121</v>
      </c>
      <c r="R537">
        <v>195.99</v>
      </c>
      <c r="S537">
        <v>23714.79</v>
      </c>
      <c r="T537">
        <v>10.220000000000001</v>
      </c>
      <c r="U537">
        <v>11</v>
      </c>
      <c r="V537">
        <v>15</v>
      </c>
      <c r="W537">
        <v>1815</v>
      </c>
      <c r="X537" t="s">
        <v>188</v>
      </c>
      <c r="Y537" t="s">
        <v>36</v>
      </c>
      <c r="Z537">
        <v>3497.67</v>
      </c>
    </row>
    <row r="538" spans="1:26" x14ac:dyDescent="0.25">
      <c r="A538">
        <v>100536</v>
      </c>
      <c r="B538" s="3">
        <v>45886</v>
      </c>
      <c r="C538" s="3">
        <v>45889</v>
      </c>
      <c r="D538" s="3">
        <v>45903</v>
      </c>
      <c r="E538" t="s">
        <v>1585</v>
      </c>
      <c r="F538" t="s">
        <v>25</v>
      </c>
      <c r="G538" t="s">
        <v>59</v>
      </c>
      <c r="H538" t="s">
        <v>1586</v>
      </c>
      <c r="I538" t="s">
        <v>182</v>
      </c>
      <c r="J538" t="s">
        <v>80</v>
      </c>
      <c r="K538" t="s">
        <v>822</v>
      </c>
      <c r="L538" t="s">
        <v>64</v>
      </c>
      <c r="M538" t="s">
        <v>25</v>
      </c>
      <c r="N538" t="s">
        <v>92</v>
      </c>
      <c r="O538" t="s">
        <v>93</v>
      </c>
      <c r="P538" t="s">
        <v>123</v>
      </c>
      <c r="Q538">
        <v>371</v>
      </c>
      <c r="R538">
        <v>266.06</v>
      </c>
      <c r="S538">
        <v>98708.26</v>
      </c>
      <c r="T538">
        <v>14.6</v>
      </c>
      <c r="U538">
        <v>14</v>
      </c>
      <c r="V538">
        <v>17</v>
      </c>
      <c r="W538">
        <v>1377</v>
      </c>
      <c r="X538" t="s">
        <v>188</v>
      </c>
      <c r="Y538" t="s">
        <v>36</v>
      </c>
      <c r="Z538">
        <v>4374.62</v>
      </c>
    </row>
    <row r="539" spans="1:26" x14ac:dyDescent="0.25">
      <c r="A539">
        <v>100537</v>
      </c>
      <c r="B539" s="3">
        <v>45694</v>
      </c>
      <c r="C539" s="3">
        <v>45696</v>
      </c>
      <c r="D539" s="3">
        <v>45710</v>
      </c>
      <c r="E539" t="s">
        <v>1587</v>
      </c>
      <c r="F539" t="s">
        <v>25</v>
      </c>
      <c r="G539" t="s">
        <v>233</v>
      </c>
      <c r="H539" t="s">
        <v>1588</v>
      </c>
      <c r="I539" t="s">
        <v>416</v>
      </c>
      <c r="J539" t="s">
        <v>80</v>
      </c>
      <c r="K539" t="s">
        <v>661</v>
      </c>
      <c r="L539" t="s">
        <v>118</v>
      </c>
      <c r="M539" t="s">
        <v>38</v>
      </c>
      <c r="N539" t="s">
        <v>151</v>
      </c>
      <c r="O539" t="s">
        <v>152</v>
      </c>
      <c r="P539" t="s">
        <v>35</v>
      </c>
      <c r="Q539">
        <v>222</v>
      </c>
      <c r="R539">
        <v>248.66</v>
      </c>
      <c r="S539">
        <v>55202.52</v>
      </c>
      <c r="T539">
        <v>18.77</v>
      </c>
      <c r="U539">
        <v>14</v>
      </c>
      <c r="V539">
        <v>16</v>
      </c>
      <c r="W539">
        <v>1791</v>
      </c>
      <c r="X539" t="s">
        <v>3742</v>
      </c>
      <c r="Y539" t="s">
        <v>188</v>
      </c>
      <c r="Z539">
        <v>7669.68</v>
      </c>
    </row>
    <row r="540" spans="1:26" x14ac:dyDescent="0.25">
      <c r="A540">
        <v>100538</v>
      </c>
      <c r="B540" s="3">
        <v>45396</v>
      </c>
      <c r="C540" s="3">
        <v>45397</v>
      </c>
      <c r="D540" s="3">
        <v>45407</v>
      </c>
      <c r="E540" t="s">
        <v>1589</v>
      </c>
      <c r="F540" t="s">
        <v>38</v>
      </c>
      <c r="G540" t="s">
        <v>147</v>
      </c>
      <c r="H540" t="s">
        <v>1590</v>
      </c>
      <c r="I540" t="s">
        <v>368</v>
      </c>
      <c r="J540" t="s">
        <v>29</v>
      </c>
      <c r="K540" t="s">
        <v>1591</v>
      </c>
      <c r="L540" t="s">
        <v>118</v>
      </c>
      <c r="M540" t="s">
        <v>32</v>
      </c>
      <c r="N540" t="s">
        <v>92</v>
      </c>
      <c r="O540" t="s">
        <v>93</v>
      </c>
      <c r="P540" t="s">
        <v>35</v>
      </c>
      <c r="Q540">
        <v>388</v>
      </c>
      <c r="R540">
        <v>48.5</v>
      </c>
      <c r="S540">
        <v>18818</v>
      </c>
      <c r="T540">
        <v>23.47</v>
      </c>
      <c r="U540">
        <v>10</v>
      </c>
      <c r="V540">
        <v>11</v>
      </c>
      <c r="W540">
        <v>862</v>
      </c>
      <c r="X540" t="s">
        <v>188</v>
      </c>
      <c r="Y540" t="s">
        <v>36</v>
      </c>
      <c r="Z540">
        <v>5002.97</v>
      </c>
    </row>
    <row r="541" spans="1:26" x14ac:dyDescent="0.25">
      <c r="A541">
        <v>100539</v>
      </c>
      <c r="B541" s="3">
        <v>46003</v>
      </c>
      <c r="C541" s="3">
        <v>46007</v>
      </c>
      <c r="D541" s="3">
        <v>46011</v>
      </c>
      <c r="E541" t="s">
        <v>1592</v>
      </c>
      <c r="F541" t="s">
        <v>65</v>
      </c>
      <c r="G541" t="s">
        <v>70</v>
      </c>
      <c r="H541" t="s">
        <v>1593</v>
      </c>
      <c r="I541" t="s">
        <v>61</v>
      </c>
      <c r="J541" t="s">
        <v>62</v>
      </c>
      <c r="K541" t="s">
        <v>1594</v>
      </c>
      <c r="L541" t="s">
        <v>64</v>
      </c>
      <c r="M541" t="s">
        <v>38</v>
      </c>
      <c r="N541" t="s">
        <v>55</v>
      </c>
      <c r="O541" t="s">
        <v>56</v>
      </c>
      <c r="P541" t="s">
        <v>68</v>
      </c>
      <c r="Q541">
        <v>246</v>
      </c>
      <c r="R541">
        <v>30.32</v>
      </c>
      <c r="S541">
        <v>7458.72</v>
      </c>
      <c r="T541">
        <v>44.45</v>
      </c>
      <c r="U541">
        <v>4</v>
      </c>
      <c r="V541">
        <v>8</v>
      </c>
      <c r="W541">
        <v>809</v>
      </c>
      <c r="X541" t="s">
        <v>188</v>
      </c>
      <c r="Y541" t="s">
        <v>36</v>
      </c>
      <c r="Z541">
        <v>747.48</v>
      </c>
    </row>
    <row r="542" spans="1:26" x14ac:dyDescent="0.25">
      <c r="A542">
        <v>100540</v>
      </c>
      <c r="B542" s="3">
        <v>45901</v>
      </c>
      <c r="C542" s="3">
        <v>45901</v>
      </c>
      <c r="D542" s="3">
        <v>45912</v>
      </c>
      <c r="E542" t="s">
        <v>1595</v>
      </c>
      <c r="F542" t="s">
        <v>65</v>
      </c>
      <c r="G542" t="s">
        <v>142</v>
      </c>
      <c r="H542" t="s">
        <v>1596</v>
      </c>
      <c r="I542" t="s">
        <v>416</v>
      </c>
      <c r="J542" t="s">
        <v>80</v>
      </c>
      <c r="K542" t="s">
        <v>1597</v>
      </c>
      <c r="L542" t="s">
        <v>44</v>
      </c>
      <c r="M542" t="s">
        <v>32</v>
      </c>
      <c r="N542" t="s">
        <v>151</v>
      </c>
      <c r="O542" t="s">
        <v>152</v>
      </c>
      <c r="P542" t="s">
        <v>123</v>
      </c>
      <c r="Q542">
        <v>446</v>
      </c>
      <c r="R542">
        <v>347.71</v>
      </c>
      <c r="S542">
        <v>155078.66</v>
      </c>
      <c r="T542">
        <v>21.53</v>
      </c>
      <c r="U542">
        <v>11</v>
      </c>
      <c r="V542">
        <v>11</v>
      </c>
      <c r="W542">
        <v>1827</v>
      </c>
      <c r="X542" t="s">
        <v>188</v>
      </c>
      <c r="Y542" t="s">
        <v>36</v>
      </c>
      <c r="Z542">
        <v>20653.75</v>
      </c>
    </row>
    <row r="543" spans="1:26" x14ac:dyDescent="0.25">
      <c r="A543">
        <v>100541</v>
      </c>
      <c r="B543" s="3">
        <v>45593</v>
      </c>
      <c r="C543" s="3">
        <v>45598</v>
      </c>
      <c r="D543" s="3">
        <v>45601</v>
      </c>
      <c r="E543" t="s">
        <v>1598</v>
      </c>
      <c r="F543" t="s">
        <v>65</v>
      </c>
      <c r="G543" t="s">
        <v>142</v>
      </c>
      <c r="H543" t="s">
        <v>1599</v>
      </c>
      <c r="I543" t="s">
        <v>368</v>
      </c>
      <c r="J543" t="s">
        <v>29</v>
      </c>
      <c r="K543" t="s">
        <v>1600</v>
      </c>
      <c r="L543" t="s">
        <v>118</v>
      </c>
      <c r="M543" t="s">
        <v>65</v>
      </c>
      <c r="N543" t="s">
        <v>33</v>
      </c>
      <c r="O543" t="s">
        <v>34</v>
      </c>
      <c r="P543" t="s">
        <v>68</v>
      </c>
      <c r="Q543">
        <v>58</v>
      </c>
      <c r="R543">
        <v>28</v>
      </c>
      <c r="S543">
        <v>1624</v>
      </c>
      <c r="T543">
        <v>23.9</v>
      </c>
      <c r="U543">
        <v>3</v>
      </c>
      <c r="V543">
        <v>8</v>
      </c>
      <c r="W543">
        <v>1309</v>
      </c>
      <c r="X543" t="s">
        <v>188</v>
      </c>
      <c r="Y543" t="s">
        <v>36</v>
      </c>
      <c r="Z543">
        <v>257.81</v>
      </c>
    </row>
    <row r="544" spans="1:26" x14ac:dyDescent="0.25">
      <c r="A544">
        <v>100542</v>
      </c>
      <c r="B544" s="3">
        <v>45564</v>
      </c>
      <c r="C544" s="3">
        <v>45564</v>
      </c>
      <c r="D544" s="3">
        <v>45569</v>
      </c>
      <c r="E544" t="s">
        <v>1601</v>
      </c>
      <c r="F544" t="s">
        <v>32</v>
      </c>
      <c r="G544" t="s">
        <v>137</v>
      </c>
      <c r="H544" t="s">
        <v>1602</v>
      </c>
      <c r="I544" t="s">
        <v>61</v>
      </c>
      <c r="J544" t="s">
        <v>62</v>
      </c>
      <c r="K544" t="s">
        <v>1603</v>
      </c>
      <c r="L544" t="s">
        <v>44</v>
      </c>
      <c r="M544" t="s">
        <v>65</v>
      </c>
      <c r="N544" t="s">
        <v>55</v>
      </c>
      <c r="O544" t="s">
        <v>56</v>
      </c>
      <c r="P544" t="s">
        <v>35</v>
      </c>
      <c r="Q544">
        <v>486</v>
      </c>
      <c r="R544">
        <v>30.29</v>
      </c>
      <c r="S544">
        <v>14720.94</v>
      </c>
      <c r="T544">
        <v>26.25</v>
      </c>
      <c r="U544">
        <v>5</v>
      </c>
      <c r="V544">
        <v>5</v>
      </c>
      <c r="W544">
        <v>2021</v>
      </c>
      <c r="X544" t="s">
        <v>3742</v>
      </c>
      <c r="Y544" t="s">
        <v>57</v>
      </c>
      <c r="Z544">
        <v>1892.67</v>
      </c>
    </row>
    <row r="545" spans="1:26" x14ac:dyDescent="0.25">
      <c r="A545">
        <v>100543</v>
      </c>
      <c r="B545" s="3">
        <v>45356</v>
      </c>
      <c r="C545" s="3">
        <v>45359</v>
      </c>
      <c r="D545" s="3">
        <v>45377</v>
      </c>
      <c r="E545" t="s">
        <v>1604</v>
      </c>
      <c r="F545" t="s">
        <v>32</v>
      </c>
      <c r="G545" t="s">
        <v>364</v>
      </c>
      <c r="H545" t="s">
        <v>1605</v>
      </c>
      <c r="I545" t="s">
        <v>230</v>
      </c>
      <c r="J545" t="s">
        <v>80</v>
      </c>
      <c r="K545" t="s">
        <v>790</v>
      </c>
      <c r="L545" t="s">
        <v>113</v>
      </c>
      <c r="M545" t="s">
        <v>32</v>
      </c>
      <c r="N545" t="s">
        <v>74</v>
      </c>
      <c r="O545" t="s">
        <v>75</v>
      </c>
      <c r="P545" t="s">
        <v>76</v>
      </c>
      <c r="Q545">
        <v>204</v>
      </c>
      <c r="R545">
        <v>251.61</v>
      </c>
      <c r="S545">
        <v>51328.44</v>
      </c>
      <c r="T545">
        <v>8.69</v>
      </c>
      <c r="U545">
        <v>18</v>
      </c>
      <c r="V545">
        <v>21</v>
      </c>
      <c r="W545">
        <v>970</v>
      </c>
      <c r="X545" t="s">
        <v>188</v>
      </c>
      <c r="Y545" t="s">
        <v>36</v>
      </c>
      <c r="Z545">
        <v>9323.7900000000009</v>
      </c>
    </row>
    <row r="546" spans="1:26" x14ac:dyDescent="0.25">
      <c r="A546">
        <v>100544</v>
      </c>
      <c r="B546" s="3">
        <v>45344</v>
      </c>
      <c r="C546" s="3">
        <v>45345</v>
      </c>
      <c r="D546" s="3">
        <v>45353</v>
      </c>
      <c r="E546" t="s">
        <v>1606</v>
      </c>
      <c r="F546" t="s">
        <v>54</v>
      </c>
      <c r="G546" t="s">
        <v>158</v>
      </c>
      <c r="H546" t="s">
        <v>1607</v>
      </c>
      <c r="I546" t="s">
        <v>198</v>
      </c>
      <c r="J546" t="s">
        <v>52</v>
      </c>
      <c r="K546" t="s">
        <v>1608</v>
      </c>
      <c r="L546" t="s">
        <v>113</v>
      </c>
      <c r="M546" t="s">
        <v>54</v>
      </c>
      <c r="N546" t="s">
        <v>55</v>
      </c>
      <c r="O546" t="s">
        <v>56</v>
      </c>
      <c r="P546" t="s">
        <v>35</v>
      </c>
      <c r="Q546">
        <v>295</v>
      </c>
      <c r="R546">
        <v>62.52</v>
      </c>
      <c r="S546">
        <v>18443.400000000001</v>
      </c>
      <c r="T546">
        <v>15.43</v>
      </c>
      <c r="U546">
        <v>8</v>
      </c>
      <c r="V546">
        <v>9</v>
      </c>
      <c r="W546">
        <v>3050</v>
      </c>
      <c r="X546" t="s">
        <v>188</v>
      </c>
      <c r="Y546" t="s">
        <v>36</v>
      </c>
      <c r="Z546">
        <v>3252.5</v>
      </c>
    </row>
    <row r="547" spans="1:26" x14ac:dyDescent="0.25">
      <c r="A547">
        <v>100545</v>
      </c>
      <c r="B547" s="3">
        <v>45371</v>
      </c>
      <c r="C547" s="3">
        <v>45376</v>
      </c>
      <c r="D547" s="3">
        <v>45398</v>
      </c>
      <c r="E547" t="s">
        <v>1609</v>
      </c>
      <c r="F547" t="s">
        <v>54</v>
      </c>
      <c r="G547" t="s">
        <v>158</v>
      </c>
      <c r="H547" t="s">
        <v>1610</v>
      </c>
      <c r="I547" t="s">
        <v>198</v>
      </c>
      <c r="J547" t="s">
        <v>52</v>
      </c>
      <c r="K547" t="s">
        <v>1305</v>
      </c>
      <c r="L547" t="s">
        <v>118</v>
      </c>
      <c r="M547" t="s">
        <v>54</v>
      </c>
      <c r="N547" t="s">
        <v>55</v>
      </c>
      <c r="O547" t="s">
        <v>56</v>
      </c>
      <c r="P547" t="s">
        <v>76</v>
      </c>
      <c r="Q547">
        <v>112</v>
      </c>
      <c r="R547">
        <v>50.49</v>
      </c>
      <c r="S547">
        <v>5654.88</v>
      </c>
      <c r="T547">
        <v>7.45</v>
      </c>
      <c r="U547">
        <v>22</v>
      </c>
      <c r="V547">
        <v>27</v>
      </c>
      <c r="W547">
        <v>1073</v>
      </c>
      <c r="X547" t="s">
        <v>188</v>
      </c>
      <c r="Y547" t="s">
        <v>36</v>
      </c>
      <c r="Z547">
        <v>1090.46</v>
      </c>
    </row>
    <row r="548" spans="1:26" x14ac:dyDescent="0.25">
      <c r="A548">
        <v>100546</v>
      </c>
      <c r="B548" s="3">
        <v>45624</v>
      </c>
      <c r="C548" s="3">
        <v>45627</v>
      </c>
      <c r="D548" s="3">
        <v>45639</v>
      </c>
      <c r="E548" t="s">
        <v>1611</v>
      </c>
      <c r="F548" t="s">
        <v>38</v>
      </c>
      <c r="G548" t="s">
        <v>49</v>
      </c>
      <c r="H548" t="s">
        <v>1612</v>
      </c>
      <c r="I548" t="s">
        <v>85</v>
      </c>
      <c r="J548" t="s">
        <v>52</v>
      </c>
      <c r="K548" t="s">
        <v>948</v>
      </c>
      <c r="L548" t="s">
        <v>122</v>
      </c>
      <c r="M548" t="s">
        <v>25</v>
      </c>
      <c r="N548" t="s">
        <v>203</v>
      </c>
      <c r="O548" t="s">
        <v>204</v>
      </c>
      <c r="P548" t="s">
        <v>123</v>
      </c>
      <c r="Q548">
        <v>102</v>
      </c>
      <c r="R548">
        <v>29.07</v>
      </c>
      <c r="S548">
        <v>2965.14</v>
      </c>
      <c r="T548">
        <v>13.17</v>
      </c>
      <c r="U548">
        <v>12</v>
      </c>
      <c r="V548">
        <v>15</v>
      </c>
      <c r="W548">
        <v>2179</v>
      </c>
      <c r="X548" t="s">
        <v>188</v>
      </c>
      <c r="Y548" t="s">
        <v>36</v>
      </c>
      <c r="Z548">
        <v>388.56</v>
      </c>
    </row>
    <row r="549" spans="1:26" x14ac:dyDescent="0.25">
      <c r="A549">
        <v>100547</v>
      </c>
      <c r="B549" s="3">
        <v>45431</v>
      </c>
      <c r="C549" s="3">
        <v>45435</v>
      </c>
      <c r="D549" s="3">
        <v>45436</v>
      </c>
      <c r="E549" t="s">
        <v>1613</v>
      </c>
      <c r="F549" t="s">
        <v>38</v>
      </c>
      <c r="G549" t="s">
        <v>39</v>
      </c>
      <c r="H549" t="s">
        <v>1614</v>
      </c>
      <c r="I549" t="s">
        <v>79</v>
      </c>
      <c r="J549" t="s">
        <v>80</v>
      </c>
      <c r="K549" t="s">
        <v>1228</v>
      </c>
      <c r="L549" t="s">
        <v>31</v>
      </c>
      <c r="M549" t="s">
        <v>65</v>
      </c>
      <c r="N549" t="s">
        <v>203</v>
      </c>
      <c r="O549" t="s">
        <v>204</v>
      </c>
      <c r="P549" t="s">
        <v>68</v>
      </c>
      <c r="Q549">
        <v>356</v>
      </c>
      <c r="R549">
        <v>202.99</v>
      </c>
      <c r="S549">
        <v>72264.44</v>
      </c>
      <c r="T549">
        <v>51.58</v>
      </c>
      <c r="U549">
        <v>1</v>
      </c>
      <c r="V549">
        <v>5</v>
      </c>
      <c r="W549">
        <v>1064</v>
      </c>
      <c r="X549" t="s">
        <v>3741</v>
      </c>
      <c r="Y549" t="s">
        <v>36</v>
      </c>
      <c r="Z549">
        <v>18189.240000000002</v>
      </c>
    </row>
    <row r="550" spans="1:26" x14ac:dyDescent="0.25">
      <c r="A550">
        <v>100548</v>
      </c>
      <c r="B550" s="3">
        <v>45654</v>
      </c>
      <c r="C550" s="3">
        <v>45659</v>
      </c>
      <c r="D550" s="3">
        <v>45664</v>
      </c>
      <c r="E550" t="s">
        <v>1615</v>
      </c>
      <c r="F550" t="s">
        <v>65</v>
      </c>
      <c r="G550" t="s">
        <v>154</v>
      </c>
      <c r="H550" t="s">
        <v>1616</v>
      </c>
      <c r="I550" t="s">
        <v>191</v>
      </c>
      <c r="J550" t="s">
        <v>62</v>
      </c>
      <c r="K550" t="s">
        <v>1617</v>
      </c>
      <c r="L550" t="s">
        <v>91</v>
      </c>
      <c r="M550" t="s">
        <v>38</v>
      </c>
      <c r="N550" t="s">
        <v>102</v>
      </c>
      <c r="O550" t="s">
        <v>103</v>
      </c>
      <c r="P550" t="s">
        <v>68</v>
      </c>
      <c r="Q550">
        <v>108</v>
      </c>
      <c r="R550">
        <v>45.14</v>
      </c>
      <c r="S550">
        <v>4875.12</v>
      </c>
      <c r="T550">
        <v>35.51</v>
      </c>
      <c r="U550">
        <v>5</v>
      </c>
      <c r="V550">
        <v>10</v>
      </c>
      <c r="W550">
        <v>721</v>
      </c>
      <c r="X550" t="s">
        <v>188</v>
      </c>
      <c r="Y550" t="s">
        <v>36</v>
      </c>
      <c r="Z550">
        <v>376.9</v>
      </c>
    </row>
    <row r="551" spans="1:26" x14ac:dyDescent="0.25">
      <c r="A551">
        <v>100549</v>
      </c>
      <c r="B551" s="3">
        <v>45889</v>
      </c>
      <c r="C551" s="3">
        <v>45894</v>
      </c>
      <c r="D551" s="3">
        <v>45895</v>
      </c>
      <c r="E551" t="s">
        <v>1618</v>
      </c>
      <c r="F551" t="s">
        <v>38</v>
      </c>
      <c r="G551" t="s">
        <v>83</v>
      </c>
      <c r="H551" t="s">
        <v>1619</v>
      </c>
      <c r="I551" t="s">
        <v>85</v>
      </c>
      <c r="J551" t="s">
        <v>52</v>
      </c>
      <c r="K551" t="s">
        <v>1486</v>
      </c>
      <c r="L551" t="s">
        <v>31</v>
      </c>
      <c r="M551" t="s">
        <v>32</v>
      </c>
      <c r="N551" t="s">
        <v>55</v>
      </c>
      <c r="O551" t="s">
        <v>56</v>
      </c>
      <c r="P551" t="s">
        <v>68</v>
      </c>
      <c r="Q551">
        <v>377</v>
      </c>
      <c r="R551">
        <v>54.04</v>
      </c>
      <c r="S551">
        <v>20373.080000000002</v>
      </c>
      <c r="T551">
        <v>52.94</v>
      </c>
      <c r="U551">
        <v>1</v>
      </c>
      <c r="V551">
        <v>6</v>
      </c>
      <c r="W551">
        <v>3938</v>
      </c>
      <c r="X551" t="s">
        <v>3741</v>
      </c>
      <c r="Y551" t="s">
        <v>36</v>
      </c>
      <c r="Z551">
        <v>2540.11</v>
      </c>
    </row>
    <row r="552" spans="1:26" x14ac:dyDescent="0.25">
      <c r="A552">
        <v>100550</v>
      </c>
      <c r="B552" s="3">
        <v>45867</v>
      </c>
      <c r="C552" s="3">
        <v>45869</v>
      </c>
      <c r="D552" s="3">
        <v>45874</v>
      </c>
      <c r="E552" t="s">
        <v>1620</v>
      </c>
      <c r="F552" t="s">
        <v>65</v>
      </c>
      <c r="G552" t="s">
        <v>142</v>
      </c>
      <c r="H552" t="s">
        <v>1621</v>
      </c>
      <c r="I552" t="s">
        <v>191</v>
      </c>
      <c r="J552" t="s">
        <v>62</v>
      </c>
      <c r="K552" t="s">
        <v>1166</v>
      </c>
      <c r="L552" t="s">
        <v>118</v>
      </c>
      <c r="M552" t="s">
        <v>38</v>
      </c>
      <c r="N552" t="s">
        <v>74</v>
      </c>
      <c r="O552" t="s">
        <v>75</v>
      </c>
      <c r="P552" t="s">
        <v>68</v>
      </c>
      <c r="Q552">
        <v>28</v>
      </c>
      <c r="R552">
        <v>28.52</v>
      </c>
      <c r="S552">
        <v>798.56</v>
      </c>
      <c r="T552">
        <v>30.33</v>
      </c>
      <c r="U552">
        <v>5</v>
      </c>
      <c r="V552">
        <v>7</v>
      </c>
      <c r="W552">
        <v>4561</v>
      </c>
      <c r="X552" t="s">
        <v>3741</v>
      </c>
      <c r="Y552" t="s">
        <v>36</v>
      </c>
      <c r="Z552">
        <v>87.26</v>
      </c>
    </row>
    <row r="553" spans="1:26" x14ac:dyDescent="0.25">
      <c r="A553">
        <v>100551</v>
      </c>
      <c r="B553" s="3">
        <v>45735</v>
      </c>
      <c r="C553" s="3">
        <v>45738</v>
      </c>
      <c r="D553" s="3">
        <v>45746</v>
      </c>
      <c r="E553" t="s">
        <v>1622</v>
      </c>
      <c r="F553" t="s">
        <v>65</v>
      </c>
      <c r="G553" t="s">
        <v>142</v>
      </c>
      <c r="H553" t="s">
        <v>1623</v>
      </c>
      <c r="I553" t="s">
        <v>79</v>
      </c>
      <c r="J553" t="s">
        <v>80</v>
      </c>
      <c r="K553" t="s">
        <v>1624</v>
      </c>
      <c r="L553" t="s">
        <v>212</v>
      </c>
      <c r="M553" t="s">
        <v>54</v>
      </c>
      <c r="N553" t="s">
        <v>102</v>
      </c>
      <c r="O553" t="s">
        <v>103</v>
      </c>
      <c r="P553" t="s">
        <v>35</v>
      </c>
      <c r="Q553">
        <v>411</v>
      </c>
      <c r="R553">
        <v>287.17</v>
      </c>
      <c r="S553">
        <v>118026.87</v>
      </c>
      <c r="T553">
        <v>24.13</v>
      </c>
      <c r="U553">
        <v>8</v>
      </c>
      <c r="V553">
        <v>11</v>
      </c>
      <c r="W553">
        <v>567</v>
      </c>
      <c r="X553" t="s">
        <v>188</v>
      </c>
      <c r="Y553" t="s">
        <v>36</v>
      </c>
      <c r="Z553">
        <v>15238.88</v>
      </c>
    </row>
    <row r="554" spans="1:26" x14ac:dyDescent="0.25">
      <c r="A554">
        <v>100552</v>
      </c>
      <c r="B554" s="3">
        <v>45473</v>
      </c>
      <c r="C554" s="3">
        <v>45473</v>
      </c>
      <c r="D554" s="3">
        <v>45478</v>
      </c>
      <c r="E554" t="s">
        <v>1625</v>
      </c>
      <c r="F554" t="s">
        <v>54</v>
      </c>
      <c r="G554" t="s">
        <v>158</v>
      </c>
      <c r="H554" t="s">
        <v>1626</v>
      </c>
      <c r="I554" t="s">
        <v>198</v>
      </c>
      <c r="J554" t="s">
        <v>52</v>
      </c>
      <c r="K554" t="s">
        <v>1627</v>
      </c>
      <c r="L554" t="s">
        <v>187</v>
      </c>
      <c r="M554" t="s">
        <v>54</v>
      </c>
      <c r="N554" t="s">
        <v>66</v>
      </c>
      <c r="O554" t="s">
        <v>67</v>
      </c>
      <c r="P554" t="s">
        <v>68</v>
      </c>
      <c r="Q554">
        <v>355</v>
      </c>
      <c r="R554">
        <v>22.83</v>
      </c>
      <c r="S554">
        <v>8104.65</v>
      </c>
      <c r="T554">
        <v>38.159999999999997</v>
      </c>
      <c r="U554">
        <v>5</v>
      </c>
      <c r="V554">
        <v>5</v>
      </c>
      <c r="W554">
        <v>2226</v>
      </c>
      <c r="X554" t="s">
        <v>3741</v>
      </c>
      <c r="Y554" t="s">
        <v>36</v>
      </c>
      <c r="Z554">
        <v>608.75</v>
      </c>
    </row>
    <row r="555" spans="1:26" x14ac:dyDescent="0.25">
      <c r="A555">
        <v>100553</v>
      </c>
      <c r="B555" s="3">
        <v>45424</v>
      </c>
      <c r="C555" s="3">
        <v>45424</v>
      </c>
      <c r="D555" s="3">
        <v>45431</v>
      </c>
      <c r="E555" t="s">
        <v>1628</v>
      </c>
      <c r="F555" t="s">
        <v>25</v>
      </c>
      <c r="G555" t="s">
        <v>244</v>
      </c>
      <c r="H555" t="s">
        <v>1629</v>
      </c>
      <c r="I555" t="s">
        <v>28</v>
      </c>
      <c r="J555" t="s">
        <v>29</v>
      </c>
      <c r="K555" t="s">
        <v>1630</v>
      </c>
      <c r="L555" t="s">
        <v>98</v>
      </c>
      <c r="M555" t="s">
        <v>65</v>
      </c>
      <c r="N555" t="s">
        <v>66</v>
      </c>
      <c r="O555" t="s">
        <v>67</v>
      </c>
      <c r="P555" t="s">
        <v>35</v>
      </c>
      <c r="Q555">
        <v>48</v>
      </c>
      <c r="R555">
        <v>25.84</v>
      </c>
      <c r="S555">
        <v>1240.32</v>
      </c>
      <c r="T555">
        <v>13.83</v>
      </c>
      <c r="U555">
        <v>7</v>
      </c>
      <c r="V555">
        <v>7</v>
      </c>
      <c r="W555">
        <v>311</v>
      </c>
      <c r="X555" t="s">
        <v>3741</v>
      </c>
      <c r="Y555" t="s">
        <v>36</v>
      </c>
      <c r="Z555">
        <v>125.98</v>
      </c>
    </row>
    <row r="556" spans="1:26" x14ac:dyDescent="0.25">
      <c r="A556">
        <v>100554</v>
      </c>
      <c r="B556" s="3">
        <v>45325</v>
      </c>
      <c r="C556" s="3">
        <v>45326</v>
      </c>
      <c r="D556" s="3">
        <v>45341</v>
      </c>
      <c r="E556" t="s">
        <v>1631</v>
      </c>
      <c r="F556" t="s">
        <v>65</v>
      </c>
      <c r="G556" t="s">
        <v>70</v>
      </c>
      <c r="H556" t="s">
        <v>1632</v>
      </c>
      <c r="I556" t="s">
        <v>198</v>
      </c>
      <c r="J556" t="s">
        <v>52</v>
      </c>
      <c r="K556" t="s">
        <v>1633</v>
      </c>
      <c r="L556" t="s">
        <v>64</v>
      </c>
      <c r="M556" t="s">
        <v>54</v>
      </c>
      <c r="N556" t="s">
        <v>33</v>
      </c>
      <c r="O556" t="s">
        <v>34</v>
      </c>
      <c r="P556" t="s">
        <v>35</v>
      </c>
      <c r="Q556">
        <v>144</v>
      </c>
      <c r="R556">
        <v>13.12</v>
      </c>
      <c r="S556">
        <v>1889.28</v>
      </c>
      <c r="T556">
        <v>16.559999999999999</v>
      </c>
      <c r="U556">
        <v>15</v>
      </c>
      <c r="V556">
        <v>16</v>
      </c>
      <c r="W556">
        <v>2948</v>
      </c>
      <c r="X556" t="s">
        <v>3742</v>
      </c>
      <c r="Y556" t="s">
        <v>188</v>
      </c>
      <c r="Z556">
        <v>125.78</v>
      </c>
    </row>
    <row r="557" spans="1:26" x14ac:dyDescent="0.25">
      <c r="A557">
        <v>100555</v>
      </c>
      <c r="B557" s="3">
        <v>45335</v>
      </c>
      <c r="C557" s="3">
        <v>45338</v>
      </c>
      <c r="D557" s="3">
        <v>45361</v>
      </c>
      <c r="E557" t="s">
        <v>1634</v>
      </c>
      <c r="F557" t="s">
        <v>38</v>
      </c>
      <c r="G557" t="s">
        <v>39</v>
      </c>
      <c r="H557" t="s">
        <v>1635</v>
      </c>
      <c r="I557" t="s">
        <v>116</v>
      </c>
      <c r="J557" t="s">
        <v>62</v>
      </c>
      <c r="K557" t="s">
        <v>1636</v>
      </c>
      <c r="L557" t="s">
        <v>98</v>
      </c>
      <c r="M557" t="s">
        <v>25</v>
      </c>
      <c r="N557" t="s">
        <v>203</v>
      </c>
      <c r="O557" t="s">
        <v>204</v>
      </c>
      <c r="P557" t="s">
        <v>76</v>
      </c>
      <c r="Q557">
        <v>117</v>
      </c>
      <c r="R557">
        <v>21.05</v>
      </c>
      <c r="S557">
        <v>2462.85</v>
      </c>
      <c r="T557">
        <v>10.15</v>
      </c>
      <c r="U557">
        <v>23</v>
      </c>
      <c r="V557">
        <v>26</v>
      </c>
      <c r="W557">
        <v>4201</v>
      </c>
      <c r="X557" t="s">
        <v>188</v>
      </c>
      <c r="Y557" t="s">
        <v>36</v>
      </c>
      <c r="Z557">
        <v>323.64999999999998</v>
      </c>
    </row>
    <row r="558" spans="1:26" x14ac:dyDescent="0.25">
      <c r="A558">
        <v>100556</v>
      </c>
      <c r="B558" s="3">
        <v>45670</v>
      </c>
      <c r="C558" s="3">
        <v>45670</v>
      </c>
      <c r="D558" s="3">
        <v>45675</v>
      </c>
      <c r="E558" t="s">
        <v>1637</v>
      </c>
      <c r="F558" t="s">
        <v>54</v>
      </c>
      <c r="G558" t="s">
        <v>165</v>
      </c>
      <c r="H558" t="s">
        <v>1638</v>
      </c>
      <c r="I558" t="s">
        <v>198</v>
      </c>
      <c r="J558" t="s">
        <v>52</v>
      </c>
      <c r="K558" t="s">
        <v>1639</v>
      </c>
      <c r="L558" t="s">
        <v>187</v>
      </c>
      <c r="M558" t="s">
        <v>65</v>
      </c>
      <c r="N558" t="s">
        <v>45</v>
      </c>
      <c r="O558" t="s">
        <v>46</v>
      </c>
      <c r="P558" t="s">
        <v>123</v>
      </c>
      <c r="Q558">
        <v>190</v>
      </c>
      <c r="R558">
        <v>59.05</v>
      </c>
      <c r="S558">
        <v>11219.5</v>
      </c>
      <c r="T558">
        <v>15.31</v>
      </c>
      <c r="U558">
        <v>5</v>
      </c>
      <c r="V558">
        <v>5</v>
      </c>
      <c r="W558">
        <v>4378</v>
      </c>
      <c r="X558" t="s">
        <v>3741</v>
      </c>
      <c r="Y558" t="s">
        <v>36</v>
      </c>
      <c r="Z558">
        <v>1161.68</v>
      </c>
    </row>
    <row r="559" spans="1:26" x14ac:dyDescent="0.25">
      <c r="A559">
        <v>100557</v>
      </c>
      <c r="B559" s="3">
        <v>45974</v>
      </c>
      <c r="C559" s="3">
        <v>45974</v>
      </c>
      <c r="D559" s="3">
        <v>45978</v>
      </c>
      <c r="E559" t="s">
        <v>1640</v>
      </c>
      <c r="F559" t="s">
        <v>32</v>
      </c>
      <c r="G559" t="s">
        <v>255</v>
      </c>
      <c r="H559" t="s">
        <v>1641</v>
      </c>
      <c r="I559" t="s">
        <v>368</v>
      </c>
      <c r="J559" t="s">
        <v>29</v>
      </c>
      <c r="K559" t="s">
        <v>581</v>
      </c>
      <c r="L559" t="s">
        <v>118</v>
      </c>
      <c r="M559" t="s">
        <v>38</v>
      </c>
      <c r="N559" t="s">
        <v>45</v>
      </c>
      <c r="O559" t="s">
        <v>46</v>
      </c>
      <c r="P559" t="s">
        <v>123</v>
      </c>
      <c r="Q559">
        <v>58</v>
      </c>
      <c r="R559">
        <v>116.26</v>
      </c>
      <c r="S559">
        <v>6743.08</v>
      </c>
      <c r="T559">
        <v>12.1</v>
      </c>
      <c r="U559">
        <v>4</v>
      </c>
      <c r="V559">
        <v>4</v>
      </c>
      <c r="W559">
        <v>442</v>
      </c>
      <c r="X559" t="s">
        <v>3741</v>
      </c>
      <c r="Y559" t="s">
        <v>36</v>
      </c>
      <c r="Z559">
        <v>858.06</v>
      </c>
    </row>
    <row r="560" spans="1:26" x14ac:dyDescent="0.25">
      <c r="A560">
        <v>100558</v>
      </c>
      <c r="B560" s="3">
        <v>45896</v>
      </c>
      <c r="C560" s="3">
        <v>45901</v>
      </c>
      <c r="D560" s="3">
        <v>45920</v>
      </c>
      <c r="E560" t="s">
        <v>161</v>
      </c>
      <c r="F560" t="s">
        <v>65</v>
      </c>
      <c r="G560" t="s">
        <v>154</v>
      </c>
      <c r="H560" t="s">
        <v>1642</v>
      </c>
      <c r="I560" t="s">
        <v>89</v>
      </c>
      <c r="J560" t="s">
        <v>62</v>
      </c>
      <c r="K560" t="s">
        <v>1643</v>
      </c>
      <c r="L560" t="s">
        <v>122</v>
      </c>
      <c r="M560" t="s">
        <v>32</v>
      </c>
      <c r="N560" t="s">
        <v>102</v>
      </c>
      <c r="O560" t="s">
        <v>103</v>
      </c>
      <c r="P560" t="s">
        <v>76</v>
      </c>
      <c r="Q560">
        <v>21</v>
      </c>
      <c r="R560">
        <v>34.630000000000003</v>
      </c>
      <c r="S560">
        <v>727.23</v>
      </c>
      <c r="T560">
        <v>8.4</v>
      </c>
      <c r="U560">
        <v>19</v>
      </c>
      <c r="V560">
        <v>24</v>
      </c>
      <c r="W560">
        <v>3823</v>
      </c>
      <c r="X560" t="s">
        <v>3742</v>
      </c>
      <c r="Y560" t="s">
        <v>188</v>
      </c>
      <c r="Z560">
        <v>114.48</v>
      </c>
    </row>
    <row r="561" spans="1:26" x14ac:dyDescent="0.25">
      <c r="A561">
        <v>100559</v>
      </c>
      <c r="B561" s="3">
        <v>45520</v>
      </c>
      <c r="C561" s="3">
        <v>45520</v>
      </c>
      <c r="D561" s="3">
        <v>45523</v>
      </c>
      <c r="E561" t="s">
        <v>1644</v>
      </c>
      <c r="F561" t="s">
        <v>54</v>
      </c>
      <c r="G561" t="s">
        <v>158</v>
      </c>
      <c r="H561" t="s">
        <v>1645</v>
      </c>
      <c r="I561" t="s">
        <v>207</v>
      </c>
      <c r="J561" t="s">
        <v>80</v>
      </c>
      <c r="K561" t="s">
        <v>1335</v>
      </c>
      <c r="L561" t="s">
        <v>118</v>
      </c>
      <c r="M561" t="s">
        <v>65</v>
      </c>
      <c r="N561" t="s">
        <v>66</v>
      </c>
      <c r="O561" t="s">
        <v>67</v>
      </c>
      <c r="P561" t="s">
        <v>35</v>
      </c>
      <c r="Q561">
        <v>368</v>
      </c>
      <c r="R561">
        <v>344.04</v>
      </c>
      <c r="S561">
        <v>126606.72</v>
      </c>
      <c r="T561">
        <v>22.91</v>
      </c>
      <c r="U561">
        <v>3</v>
      </c>
      <c r="V561">
        <v>3</v>
      </c>
      <c r="W561">
        <v>2172</v>
      </c>
      <c r="X561" t="s">
        <v>3741</v>
      </c>
      <c r="Y561" t="s">
        <v>36</v>
      </c>
      <c r="Z561">
        <v>24725.13</v>
      </c>
    </row>
    <row r="562" spans="1:26" x14ac:dyDescent="0.25">
      <c r="A562">
        <v>100560</v>
      </c>
      <c r="B562" s="3">
        <v>45714</v>
      </c>
      <c r="C562" s="3">
        <v>45718</v>
      </c>
      <c r="D562" s="3">
        <v>45732</v>
      </c>
      <c r="E562" t="s">
        <v>1646</v>
      </c>
      <c r="F562" t="s">
        <v>38</v>
      </c>
      <c r="G562" t="s">
        <v>83</v>
      </c>
      <c r="H562" t="s">
        <v>1647</v>
      </c>
      <c r="I562" t="s">
        <v>139</v>
      </c>
      <c r="J562" t="s">
        <v>42</v>
      </c>
      <c r="K562" t="s">
        <v>518</v>
      </c>
      <c r="L562" t="s">
        <v>113</v>
      </c>
      <c r="M562" t="s">
        <v>32</v>
      </c>
      <c r="N562" t="s">
        <v>151</v>
      </c>
      <c r="O562" t="s">
        <v>152</v>
      </c>
      <c r="P562" t="s">
        <v>76</v>
      </c>
      <c r="Q562">
        <v>401</v>
      </c>
      <c r="R562">
        <v>388.23</v>
      </c>
      <c r="S562">
        <v>155680.23000000001</v>
      </c>
      <c r="T562">
        <v>15.33</v>
      </c>
      <c r="U562">
        <v>14</v>
      </c>
      <c r="V562">
        <v>18</v>
      </c>
      <c r="W562">
        <v>1011</v>
      </c>
      <c r="X562" t="s">
        <v>188</v>
      </c>
      <c r="Y562" t="s">
        <v>36</v>
      </c>
      <c r="Z562">
        <v>19546.650000000001</v>
      </c>
    </row>
    <row r="563" spans="1:26" x14ac:dyDescent="0.25">
      <c r="A563">
        <v>100561</v>
      </c>
      <c r="B563" s="3">
        <v>45906</v>
      </c>
      <c r="C563" s="3">
        <v>45908</v>
      </c>
      <c r="D563" s="3">
        <v>45923</v>
      </c>
      <c r="E563" t="s">
        <v>1648</v>
      </c>
      <c r="F563" t="s">
        <v>65</v>
      </c>
      <c r="G563" t="s">
        <v>142</v>
      </c>
      <c r="H563" t="s">
        <v>1649</v>
      </c>
      <c r="I563" t="s">
        <v>149</v>
      </c>
      <c r="J563" t="s">
        <v>42</v>
      </c>
      <c r="K563" t="s">
        <v>1650</v>
      </c>
      <c r="L563" t="s">
        <v>98</v>
      </c>
      <c r="M563" t="s">
        <v>54</v>
      </c>
      <c r="N563" t="s">
        <v>55</v>
      </c>
      <c r="O563" t="s">
        <v>56</v>
      </c>
      <c r="P563" t="s">
        <v>76</v>
      </c>
      <c r="Q563">
        <v>195</v>
      </c>
      <c r="R563">
        <v>438.52</v>
      </c>
      <c r="S563">
        <v>85511.4</v>
      </c>
      <c r="T563">
        <v>11.57</v>
      </c>
      <c r="U563">
        <v>15</v>
      </c>
      <c r="V563">
        <v>17</v>
      </c>
      <c r="W563">
        <v>214</v>
      </c>
      <c r="X563" t="s">
        <v>188</v>
      </c>
      <c r="Y563" t="s">
        <v>36</v>
      </c>
      <c r="Z563">
        <v>18552.689999999999</v>
      </c>
    </row>
    <row r="564" spans="1:26" x14ac:dyDescent="0.25">
      <c r="A564">
        <v>100562</v>
      </c>
      <c r="B564" s="3">
        <v>45484</v>
      </c>
      <c r="C564" s="3">
        <v>45486</v>
      </c>
      <c r="D564" s="3">
        <v>45488</v>
      </c>
      <c r="E564" t="s">
        <v>1651</v>
      </c>
      <c r="F564" t="s">
        <v>25</v>
      </c>
      <c r="G564" t="s">
        <v>59</v>
      </c>
      <c r="H564" t="s">
        <v>1652</v>
      </c>
      <c r="I564" t="s">
        <v>368</v>
      </c>
      <c r="J564" t="s">
        <v>29</v>
      </c>
      <c r="K564" t="s">
        <v>1653</v>
      </c>
      <c r="L564" t="s">
        <v>31</v>
      </c>
      <c r="M564" t="s">
        <v>32</v>
      </c>
      <c r="N564" t="s">
        <v>102</v>
      </c>
      <c r="O564" t="s">
        <v>103</v>
      </c>
      <c r="P564" t="s">
        <v>68</v>
      </c>
      <c r="Q564">
        <v>349</v>
      </c>
      <c r="R564">
        <v>42.41</v>
      </c>
      <c r="S564">
        <v>14801.09</v>
      </c>
      <c r="T564">
        <v>51.13</v>
      </c>
      <c r="U564">
        <v>2</v>
      </c>
      <c r="V564">
        <v>4</v>
      </c>
      <c r="W564">
        <v>2663</v>
      </c>
      <c r="X564" t="s">
        <v>3742</v>
      </c>
      <c r="Y564" t="s">
        <v>47</v>
      </c>
      <c r="Z564">
        <v>-10.38</v>
      </c>
    </row>
    <row r="565" spans="1:26" x14ac:dyDescent="0.25">
      <c r="A565">
        <v>100563</v>
      </c>
      <c r="B565" s="3">
        <v>45948</v>
      </c>
      <c r="C565" s="3">
        <v>45953</v>
      </c>
      <c r="D565" s="3">
        <v>45963</v>
      </c>
      <c r="E565" t="s">
        <v>1654</v>
      </c>
      <c r="F565" t="s">
        <v>38</v>
      </c>
      <c r="G565" t="s">
        <v>49</v>
      </c>
      <c r="H565" t="s">
        <v>1655</v>
      </c>
      <c r="I565" t="s">
        <v>79</v>
      </c>
      <c r="J565" t="s">
        <v>80</v>
      </c>
      <c r="K565" t="s">
        <v>1656</v>
      </c>
      <c r="L565" t="s">
        <v>118</v>
      </c>
      <c r="M565" t="s">
        <v>54</v>
      </c>
      <c r="N565" t="s">
        <v>33</v>
      </c>
      <c r="O565" t="s">
        <v>34</v>
      </c>
      <c r="P565" t="s">
        <v>35</v>
      </c>
      <c r="Q565">
        <v>127</v>
      </c>
      <c r="R565">
        <v>159.80000000000001</v>
      </c>
      <c r="S565">
        <v>20294.599999999999</v>
      </c>
      <c r="T565">
        <v>16.07</v>
      </c>
      <c r="U565">
        <v>10</v>
      </c>
      <c r="V565">
        <v>15</v>
      </c>
      <c r="W565">
        <v>715</v>
      </c>
      <c r="X565" t="s">
        <v>3742</v>
      </c>
      <c r="Y565" t="s">
        <v>57</v>
      </c>
      <c r="Z565">
        <v>2674.21</v>
      </c>
    </row>
    <row r="566" spans="1:26" x14ac:dyDescent="0.25">
      <c r="A566">
        <v>100564</v>
      </c>
      <c r="B566" s="3">
        <v>45440</v>
      </c>
      <c r="C566" s="3">
        <v>45445</v>
      </c>
      <c r="D566" s="3">
        <v>45449</v>
      </c>
      <c r="E566" t="s">
        <v>1657</v>
      </c>
      <c r="F566" t="s">
        <v>32</v>
      </c>
      <c r="G566" t="s">
        <v>273</v>
      </c>
      <c r="H566" t="s">
        <v>1658</v>
      </c>
      <c r="I566" t="s">
        <v>278</v>
      </c>
      <c r="J566" t="s">
        <v>29</v>
      </c>
      <c r="K566" t="s">
        <v>1659</v>
      </c>
      <c r="L566" t="s">
        <v>64</v>
      </c>
      <c r="M566" t="s">
        <v>65</v>
      </c>
      <c r="N566" t="s">
        <v>45</v>
      </c>
      <c r="O566" t="s">
        <v>46</v>
      </c>
      <c r="P566" t="s">
        <v>68</v>
      </c>
      <c r="Q566">
        <v>482</v>
      </c>
      <c r="R566">
        <v>82.83</v>
      </c>
      <c r="S566">
        <v>39924.06</v>
      </c>
      <c r="T566">
        <v>59.75</v>
      </c>
      <c r="U566">
        <v>4</v>
      </c>
      <c r="V566">
        <v>9</v>
      </c>
      <c r="W566">
        <v>3287</v>
      </c>
      <c r="X566" t="s">
        <v>3742</v>
      </c>
      <c r="Y566" t="s">
        <v>57</v>
      </c>
      <c r="Z566">
        <v>9275.73</v>
      </c>
    </row>
    <row r="567" spans="1:26" x14ac:dyDescent="0.25">
      <c r="A567">
        <v>100565</v>
      </c>
      <c r="B567" s="3">
        <v>45382</v>
      </c>
      <c r="C567" s="3">
        <v>45386</v>
      </c>
      <c r="D567" s="3">
        <v>45390</v>
      </c>
      <c r="E567" t="s">
        <v>1660</v>
      </c>
      <c r="F567" t="s">
        <v>38</v>
      </c>
      <c r="G567" t="s">
        <v>217</v>
      </c>
      <c r="H567" t="s">
        <v>1661</v>
      </c>
      <c r="I567" t="s">
        <v>139</v>
      </c>
      <c r="J567" t="s">
        <v>42</v>
      </c>
      <c r="K567" t="s">
        <v>106</v>
      </c>
      <c r="L567" t="s">
        <v>113</v>
      </c>
      <c r="M567" t="s">
        <v>32</v>
      </c>
      <c r="N567" t="s">
        <v>55</v>
      </c>
      <c r="O567" t="s">
        <v>56</v>
      </c>
      <c r="P567" t="s">
        <v>123</v>
      </c>
      <c r="Q567">
        <v>393</v>
      </c>
      <c r="R567">
        <v>129.11000000000001</v>
      </c>
      <c r="S567">
        <v>50740.23</v>
      </c>
      <c r="T567">
        <v>20.239999999999998</v>
      </c>
      <c r="U567">
        <v>4</v>
      </c>
      <c r="V567">
        <v>8</v>
      </c>
      <c r="W567">
        <v>800</v>
      </c>
      <c r="X567" t="s">
        <v>188</v>
      </c>
      <c r="Y567" t="s">
        <v>36</v>
      </c>
      <c r="Z567">
        <v>6811.71</v>
      </c>
    </row>
    <row r="568" spans="1:26" x14ac:dyDescent="0.25">
      <c r="A568">
        <v>100566</v>
      </c>
      <c r="B568" s="3">
        <v>45303</v>
      </c>
      <c r="C568" s="3">
        <v>45306</v>
      </c>
      <c r="D568" s="3">
        <v>45327</v>
      </c>
      <c r="E568" t="s">
        <v>1662</v>
      </c>
      <c r="F568" t="s">
        <v>25</v>
      </c>
      <c r="G568" t="s">
        <v>26</v>
      </c>
      <c r="H568" t="s">
        <v>1663</v>
      </c>
      <c r="I568" t="s">
        <v>177</v>
      </c>
      <c r="J568" t="s">
        <v>29</v>
      </c>
      <c r="K568" t="s">
        <v>1292</v>
      </c>
      <c r="L568" t="s">
        <v>44</v>
      </c>
      <c r="M568" t="s">
        <v>54</v>
      </c>
      <c r="N568" t="s">
        <v>107</v>
      </c>
      <c r="O568" t="s">
        <v>108</v>
      </c>
      <c r="P568" t="s">
        <v>76</v>
      </c>
      <c r="Q568">
        <v>350</v>
      </c>
      <c r="R568">
        <v>75.599999999999994</v>
      </c>
      <c r="S568">
        <v>26460</v>
      </c>
      <c r="T568">
        <v>14.4</v>
      </c>
      <c r="U568">
        <v>21</v>
      </c>
      <c r="V568">
        <v>24</v>
      </c>
      <c r="W568">
        <v>2025</v>
      </c>
      <c r="X568" t="s">
        <v>188</v>
      </c>
      <c r="Y568" t="s">
        <v>36</v>
      </c>
      <c r="Z568">
        <v>5143.82</v>
      </c>
    </row>
    <row r="569" spans="1:26" x14ac:dyDescent="0.25">
      <c r="A569">
        <v>100567</v>
      </c>
      <c r="B569" s="3">
        <v>45745</v>
      </c>
      <c r="C569" s="3">
        <v>45748</v>
      </c>
      <c r="D569" s="3">
        <v>45752</v>
      </c>
      <c r="E569" t="s">
        <v>1664</v>
      </c>
      <c r="F569" t="s">
        <v>25</v>
      </c>
      <c r="G569" t="s">
        <v>221</v>
      </c>
      <c r="H569" t="s">
        <v>1665</v>
      </c>
      <c r="I569" t="s">
        <v>368</v>
      </c>
      <c r="J569" t="s">
        <v>29</v>
      </c>
      <c r="K569" t="s">
        <v>1546</v>
      </c>
      <c r="L569" t="s">
        <v>118</v>
      </c>
      <c r="M569" t="s">
        <v>54</v>
      </c>
      <c r="N569" t="s">
        <v>92</v>
      </c>
      <c r="O569" t="s">
        <v>93</v>
      </c>
      <c r="P569" t="s">
        <v>68</v>
      </c>
      <c r="Q569">
        <v>258</v>
      </c>
      <c r="R569">
        <v>37.26</v>
      </c>
      <c r="S569">
        <v>9613.08</v>
      </c>
      <c r="T569">
        <v>45.23</v>
      </c>
      <c r="U569">
        <v>4</v>
      </c>
      <c r="V569">
        <v>7</v>
      </c>
      <c r="W569">
        <v>283</v>
      </c>
      <c r="X569" t="s">
        <v>3741</v>
      </c>
      <c r="Y569" t="s">
        <v>36</v>
      </c>
      <c r="Z569">
        <v>2190.36</v>
      </c>
    </row>
    <row r="570" spans="1:26" x14ac:dyDescent="0.25">
      <c r="A570">
        <v>100568</v>
      </c>
      <c r="B570" s="3">
        <v>45370</v>
      </c>
      <c r="C570" s="3">
        <v>45371</v>
      </c>
      <c r="D570" s="3">
        <v>45380</v>
      </c>
      <c r="E570" t="s">
        <v>1666</v>
      </c>
      <c r="F570" t="s">
        <v>65</v>
      </c>
      <c r="G570" t="s">
        <v>142</v>
      </c>
      <c r="H570" t="s">
        <v>1667</v>
      </c>
      <c r="I570" t="s">
        <v>238</v>
      </c>
      <c r="J570" t="s">
        <v>62</v>
      </c>
      <c r="K570" t="s">
        <v>458</v>
      </c>
      <c r="L570" t="s">
        <v>118</v>
      </c>
      <c r="M570" t="s">
        <v>25</v>
      </c>
      <c r="N570" t="s">
        <v>33</v>
      </c>
      <c r="O570" t="s">
        <v>34</v>
      </c>
      <c r="P570" t="s">
        <v>35</v>
      </c>
      <c r="Q570">
        <v>236</v>
      </c>
      <c r="R570">
        <v>29.34</v>
      </c>
      <c r="S570">
        <v>6924.24</v>
      </c>
      <c r="T570">
        <v>19.16</v>
      </c>
      <c r="U570">
        <v>9</v>
      </c>
      <c r="V570">
        <v>10</v>
      </c>
      <c r="W570">
        <v>601</v>
      </c>
      <c r="X570" t="s">
        <v>188</v>
      </c>
      <c r="Y570" t="s">
        <v>36</v>
      </c>
      <c r="Z570">
        <v>950.75</v>
      </c>
    </row>
    <row r="571" spans="1:26" x14ac:dyDescent="0.25">
      <c r="A571">
        <v>100569</v>
      </c>
      <c r="B571" s="3">
        <v>45842</v>
      </c>
      <c r="C571" s="3">
        <v>45844</v>
      </c>
      <c r="D571" s="3">
        <v>45857</v>
      </c>
      <c r="E571" t="s">
        <v>1668</v>
      </c>
      <c r="F571" t="s">
        <v>38</v>
      </c>
      <c r="G571" t="s">
        <v>147</v>
      </c>
      <c r="H571" t="s">
        <v>1669</v>
      </c>
      <c r="I571" t="s">
        <v>41</v>
      </c>
      <c r="J571" t="s">
        <v>42</v>
      </c>
      <c r="K571" t="s">
        <v>1388</v>
      </c>
      <c r="L571" t="s">
        <v>31</v>
      </c>
      <c r="M571" t="s">
        <v>32</v>
      </c>
      <c r="N571" t="s">
        <v>203</v>
      </c>
      <c r="O571" t="s">
        <v>204</v>
      </c>
      <c r="P571" t="s">
        <v>76</v>
      </c>
      <c r="Q571">
        <v>434</v>
      </c>
      <c r="R571">
        <v>309.36</v>
      </c>
      <c r="S571">
        <v>134262.24</v>
      </c>
      <c r="T571">
        <v>15.93</v>
      </c>
      <c r="U571">
        <v>13</v>
      </c>
      <c r="V571">
        <v>15</v>
      </c>
      <c r="W571">
        <v>1737</v>
      </c>
      <c r="X571" t="s">
        <v>188</v>
      </c>
      <c r="Y571" t="s">
        <v>36</v>
      </c>
      <c r="Z571">
        <v>15534.61</v>
      </c>
    </row>
    <row r="572" spans="1:26" x14ac:dyDescent="0.25">
      <c r="A572">
        <v>100570</v>
      </c>
      <c r="B572" s="3">
        <v>45677</v>
      </c>
      <c r="C572" s="3">
        <v>45682</v>
      </c>
      <c r="D572" s="3">
        <v>45686</v>
      </c>
      <c r="E572" t="s">
        <v>1670</v>
      </c>
      <c r="F572" t="s">
        <v>32</v>
      </c>
      <c r="G572" t="s">
        <v>110</v>
      </c>
      <c r="H572" t="s">
        <v>1671</v>
      </c>
      <c r="I572" t="s">
        <v>416</v>
      </c>
      <c r="J572" t="s">
        <v>80</v>
      </c>
      <c r="K572" t="s">
        <v>649</v>
      </c>
      <c r="L572" t="s">
        <v>122</v>
      </c>
      <c r="M572" t="s">
        <v>25</v>
      </c>
      <c r="N572" t="s">
        <v>92</v>
      </c>
      <c r="O572" t="s">
        <v>93</v>
      </c>
      <c r="P572" t="s">
        <v>35</v>
      </c>
      <c r="Q572">
        <v>118</v>
      </c>
      <c r="R572">
        <v>318.57</v>
      </c>
      <c r="S572">
        <v>37591.26</v>
      </c>
      <c r="T572">
        <v>15.82</v>
      </c>
      <c r="U572">
        <v>4</v>
      </c>
      <c r="V572">
        <v>9</v>
      </c>
      <c r="W572">
        <v>1211</v>
      </c>
      <c r="X572" t="s">
        <v>188</v>
      </c>
      <c r="Y572" t="s">
        <v>36</v>
      </c>
      <c r="Z572">
        <v>7087.07</v>
      </c>
    </row>
    <row r="573" spans="1:26" x14ac:dyDescent="0.25">
      <c r="A573">
        <v>100571</v>
      </c>
      <c r="B573" s="3">
        <v>45885</v>
      </c>
      <c r="C573" s="3">
        <v>45888</v>
      </c>
      <c r="D573" s="3">
        <v>45889</v>
      </c>
      <c r="E573" t="s">
        <v>1672</v>
      </c>
      <c r="F573" t="s">
        <v>25</v>
      </c>
      <c r="G573" t="s">
        <v>172</v>
      </c>
      <c r="H573" t="s">
        <v>1673</v>
      </c>
      <c r="I573" t="s">
        <v>41</v>
      </c>
      <c r="J573" t="s">
        <v>42</v>
      </c>
      <c r="K573" t="s">
        <v>199</v>
      </c>
      <c r="L573" t="s">
        <v>122</v>
      </c>
      <c r="M573" t="s">
        <v>65</v>
      </c>
      <c r="N573" t="s">
        <v>102</v>
      </c>
      <c r="O573" t="s">
        <v>103</v>
      </c>
      <c r="P573" t="s">
        <v>68</v>
      </c>
      <c r="Q573">
        <v>163</v>
      </c>
      <c r="R573">
        <v>118.41</v>
      </c>
      <c r="S573">
        <v>19300.830000000002</v>
      </c>
      <c r="T573">
        <v>39.07</v>
      </c>
      <c r="U573">
        <v>1</v>
      </c>
      <c r="V573">
        <v>4</v>
      </c>
      <c r="W573">
        <v>655</v>
      </c>
      <c r="X573" t="s">
        <v>3741</v>
      </c>
      <c r="Y573" t="s">
        <v>36</v>
      </c>
      <c r="Z573">
        <v>2305.3000000000002</v>
      </c>
    </row>
    <row r="574" spans="1:26" x14ac:dyDescent="0.25">
      <c r="A574">
        <v>100572</v>
      </c>
      <c r="B574" s="3">
        <v>45758</v>
      </c>
      <c r="C574" s="3">
        <v>45759</v>
      </c>
      <c r="D574" s="3">
        <v>45765</v>
      </c>
      <c r="E574" t="s">
        <v>1674</v>
      </c>
      <c r="F574" t="s">
        <v>38</v>
      </c>
      <c r="G574" t="s">
        <v>49</v>
      </c>
      <c r="H574" t="s">
        <v>1675</v>
      </c>
      <c r="I574" t="s">
        <v>177</v>
      </c>
      <c r="J574" t="s">
        <v>29</v>
      </c>
      <c r="K574" t="s">
        <v>1676</v>
      </c>
      <c r="L574" t="s">
        <v>91</v>
      </c>
      <c r="M574" t="s">
        <v>54</v>
      </c>
      <c r="N574" t="s">
        <v>203</v>
      </c>
      <c r="O574" t="s">
        <v>204</v>
      </c>
      <c r="P574" t="s">
        <v>35</v>
      </c>
      <c r="Q574">
        <v>333</v>
      </c>
      <c r="R574">
        <v>46.52</v>
      </c>
      <c r="S574">
        <v>15491.16</v>
      </c>
      <c r="T574">
        <v>21.91</v>
      </c>
      <c r="U574">
        <v>6</v>
      </c>
      <c r="V574">
        <v>7</v>
      </c>
      <c r="W574">
        <v>939</v>
      </c>
      <c r="X574" t="s">
        <v>3741</v>
      </c>
      <c r="Y574" t="s">
        <v>36</v>
      </c>
      <c r="Z574">
        <v>2392.06</v>
      </c>
    </row>
    <row r="575" spans="1:26" x14ac:dyDescent="0.25">
      <c r="A575">
        <v>100573</v>
      </c>
      <c r="B575" s="3">
        <v>45583</v>
      </c>
      <c r="C575" s="3">
        <v>45587</v>
      </c>
      <c r="D575" s="3">
        <v>45607</v>
      </c>
      <c r="E575" t="s">
        <v>1677</v>
      </c>
      <c r="F575" t="s">
        <v>65</v>
      </c>
      <c r="G575" t="s">
        <v>70</v>
      </c>
      <c r="H575" t="s">
        <v>1678</v>
      </c>
      <c r="I575" t="s">
        <v>416</v>
      </c>
      <c r="J575" t="s">
        <v>80</v>
      </c>
      <c r="K575" t="s">
        <v>1679</v>
      </c>
      <c r="L575" t="s">
        <v>118</v>
      </c>
      <c r="M575" t="s">
        <v>25</v>
      </c>
      <c r="N575" t="s">
        <v>55</v>
      </c>
      <c r="O575" t="s">
        <v>56</v>
      </c>
      <c r="P575" t="s">
        <v>123</v>
      </c>
      <c r="Q575">
        <v>431</v>
      </c>
      <c r="R575">
        <v>243.19</v>
      </c>
      <c r="S575">
        <v>104814.89</v>
      </c>
      <c r="T575">
        <v>21.17</v>
      </c>
      <c r="U575">
        <v>20</v>
      </c>
      <c r="V575">
        <v>24</v>
      </c>
      <c r="W575">
        <v>996</v>
      </c>
      <c r="X575" t="s">
        <v>3742</v>
      </c>
      <c r="Y575" t="s">
        <v>47</v>
      </c>
      <c r="Z575">
        <v>-106.21</v>
      </c>
    </row>
    <row r="576" spans="1:26" x14ac:dyDescent="0.25">
      <c r="A576">
        <v>100574</v>
      </c>
      <c r="B576" s="3">
        <v>45333</v>
      </c>
      <c r="C576" s="3">
        <v>45336</v>
      </c>
      <c r="D576" s="3">
        <v>45344</v>
      </c>
      <c r="E576" t="s">
        <v>1680</v>
      </c>
      <c r="F576" t="s">
        <v>38</v>
      </c>
      <c r="G576" t="s">
        <v>217</v>
      </c>
      <c r="H576" t="s">
        <v>1473</v>
      </c>
      <c r="I576" t="s">
        <v>139</v>
      </c>
      <c r="J576" t="s">
        <v>42</v>
      </c>
      <c r="K576" t="s">
        <v>1528</v>
      </c>
      <c r="L576" t="s">
        <v>118</v>
      </c>
      <c r="M576" t="s">
        <v>25</v>
      </c>
      <c r="N576" t="s">
        <v>107</v>
      </c>
      <c r="O576" t="s">
        <v>108</v>
      </c>
      <c r="P576" t="s">
        <v>35</v>
      </c>
      <c r="Q576">
        <v>440</v>
      </c>
      <c r="R576">
        <v>170.58</v>
      </c>
      <c r="S576">
        <v>75055.199999999997</v>
      </c>
      <c r="T576">
        <v>24.95</v>
      </c>
      <c r="U576">
        <v>8</v>
      </c>
      <c r="V576">
        <v>11</v>
      </c>
      <c r="W576">
        <v>1489</v>
      </c>
      <c r="X576" t="s">
        <v>188</v>
      </c>
      <c r="Y576" t="s">
        <v>36</v>
      </c>
      <c r="Z576">
        <v>12934.11</v>
      </c>
    </row>
    <row r="577" spans="1:26" x14ac:dyDescent="0.25">
      <c r="A577">
        <v>100575</v>
      </c>
      <c r="B577" s="3">
        <v>45925</v>
      </c>
      <c r="C577" s="3">
        <v>45926</v>
      </c>
      <c r="D577" s="3">
        <v>45928</v>
      </c>
      <c r="E577" t="s">
        <v>1681</v>
      </c>
      <c r="F577" t="s">
        <v>38</v>
      </c>
      <c r="G577" t="s">
        <v>217</v>
      </c>
      <c r="H577" t="s">
        <v>1682</v>
      </c>
      <c r="I577" t="s">
        <v>177</v>
      </c>
      <c r="J577" t="s">
        <v>29</v>
      </c>
      <c r="K577" t="s">
        <v>1683</v>
      </c>
      <c r="L577" t="s">
        <v>91</v>
      </c>
      <c r="M577" t="s">
        <v>54</v>
      </c>
      <c r="N577" t="s">
        <v>151</v>
      </c>
      <c r="O577" t="s">
        <v>152</v>
      </c>
      <c r="P577" t="s">
        <v>68</v>
      </c>
      <c r="Q577">
        <v>100</v>
      </c>
      <c r="R577">
        <v>43.3</v>
      </c>
      <c r="S577">
        <v>4330</v>
      </c>
      <c r="T577">
        <v>34.99</v>
      </c>
      <c r="U577">
        <v>2</v>
      </c>
      <c r="V577">
        <v>3</v>
      </c>
      <c r="W577">
        <v>951</v>
      </c>
      <c r="X577" t="s">
        <v>3741</v>
      </c>
      <c r="Y577" t="s">
        <v>36</v>
      </c>
      <c r="Z577">
        <v>1089.5</v>
      </c>
    </row>
    <row r="578" spans="1:26" x14ac:dyDescent="0.25">
      <c r="A578">
        <v>100576</v>
      </c>
      <c r="B578" s="3">
        <v>45647</v>
      </c>
      <c r="C578" s="3">
        <v>45650</v>
      </c>
      <c r="D578" s="3">
        <v>45661</v>
      </c>
      <c r="E578" t="s">
        <v>1684</v>
      </c>
      <c r="F578" t="s">
        <v>32</v>
      </c>
      <c r="G578" t="s">
        <v>110</v>
      </c>
      <c r="H578" t="s">
        <v>1685</v>
      </c>
      <c r="I578" t="s">
        <v>191</v>
      </c>
      <c r="J578" t="s">
        <v>62</v>
      </c>
      <c r="K578" t="s">
        <v>1686</v>
      </c>
      <c r="L578" t="s">
        <v>91</v>
      </c>
      <c r="M578" t="s">
        <v>38</v>
      </c>
      <c r="N578" t="s">
        <v>107</v>
      </c>
      <c r="O578" t="s">
        <v>108</v>
      </c>
      <c r="P578" t="s">
        <v>123</v>
      </c>
      <c r="Q578">
        <v>155</v>
      </c>
      <c r="R578">
        <v>42.07</v>
      </c>
      <c r="S578">
        <v>6520.85</v>
      </c>
      <c r="T578">
        <v>14.46</v>
      </c>
      <c r="U578">
        <v>11</v>
      </c>
      <c r="V578">
        <v>14</v>
      </c>
      <c r="W578">
        <v>598</v>
      </c>
      <c r="X578" t="s">
        <v>3742</v>
      </c>
      <c r="Y578" t="s">
        <v>47</v>
      </c>
      <c r="Z578">
        <v>-68.47</v>
      </c>
    </row>
    <row r="579" spans="1:26" x14ac:dyDescent="0.25">
      <c r="A579">
        <v>100577</v>
      </c>
      <c r="B579" s="3">
        <v>45755</v>
      </c>
      <c r="C579" s="3">
        <v>45759</v>
      </c>
      <c r="D579" s="3">
        <v>45784</v>
      </c>
      <c r="E579" t="s">
        <v>1687</v>
      </c>
      <c r="F579" t="s">
        <v>65</v>
      </c>
      <c r="G579" t="s">
        <v>142</v>
      </c>
      <c r="H579" t="s">
        <v>1688</v>
      </c>
      <c r="I579" t="s">
        <v>246</v>
      </c>
      <c r="J579" t="s">
        <v>29</v>
      </c>
      <c r="K579" t="s">
        <v>223</v>
      </c>
      <c r="L579" t="s">
        <v>118</v>
      </c>
      <c r="M579" t="s">
        <v>38</v>
      </c>
      <c r="N579" t="s">
        <v>66</v>
      </c>
      <c r="O579" t="s">
        <v>67</v>
      </c>
      <c r="P579" t="s">
        <v>76</v>
      </c>
      <c r="Q579">
        <v>134</v>
      </c>
      <c r="R579">
        <v>75.569999999999993</v>
      </c>
      <c r="S579">
        <v>10126.379999999999</v>
      </c>
      <c r="T579">
        <v>10.46</v>
      </c>
      <c r="U579">
        <v>25</v>
      </c>
      <c r="V579">
        <v>29</v>
      </c>
      <c r="W579">
        <v>879</v>
      </c>
      <c r="X579" t="s">
        <v>3742</v>
      </c>
      <c r="Y579" t="s">
        <v>57</v>
      </c>
      <c r="Z579">
        <v>2115.44</v>
      </c>
    </row>
    <row r="580" spans="1:26" x14ac:dyDescent="0.25">
      <c r="A580">
        <v>100578</v>
      </c>
      <c r="B580" s="3">
        <v>45530</v>
      </c>
      <c r="C580" s="3">
        <v>45533</v>
      </c>
      <c r="D580" s="3">
        <v>45539</v>
      </c>
      <c r="E580" t="s">
        <v>1689</v>
      </c>
      <c r="F580" t="s">
        <v>25</v>
      </c>
      <c r="G580" t="s">
        <v>172</v>
      </c>
      <c r="H580" t="s">
        <v>1690</v>
      </c>
      <c r="I580" t="s">
        <v>144</v>
      </c>
      <c r="J580" t="s">
        <v>52</v>
      </c>
      <c r="K580" t="s">
        <v>1691</v>
      </c>
      <c r="L580" t="s">
        <v>91</v>
      </c>
      <c r="M580" t="s">
        <v>38</v>
      </c>
      <c r="N580" t="s">
        <v>102</v>
      </c>
      <c r="O580" t="s">
        <v>103</v>
      </c>
      <c r="P580" t="s">
        <v>35</v>
      </c>
      <c r="Q580">
        <v>262</v>
      </c>
      <c r="R580">
        <v>27.53</v>
      </c>
      <c r="S580">
        <v>7212.86</v>
      </c>
      <c r="T580">
        <v>19.899999999999999</v>
      </c>
      <c r="U580">
        <v>6</v>
      </c>
      <c r="V580">
        <v>9</v>
      </c>
      <c r="W580">
        <v>3447</v>
      </c>
      <c r="X580" t="s">
        <v>188</v>
      </c>
      <c r="Y580" t="s">
        <v>36</v>
      </c>
      <c r="Z580">
        <v>1019.65</v>
      </c>
    </row>
    <row r="581" spans="1:26" x14ac:dyDescent="0.25">
      <c r="A581">
        <v>100579</v>
      </c>
      <c r="B581" s="3">
        <v>45928</v>
      </c>
      <c r="C581" s="3">
        <v>45929</v>
      </c>
      <c r="D581" s="3">
        <v>45931</v>
      </c>
      <c r="E581" t="s">
        <v>1692</v>
      </c>
      <c r="F581" t="s">
        <v>65</v>
      </c>
      <c r="G581" t="s">
        <v>70</v>
      </c>
      <c r="H581" t="s">
        <v>1693</v>
      </c>
      <c r="I581" t="s">
        <v>28</v>
      </c>
      <c r="J581" t="s">
        <v>29</v>
      </c>
      <c r="K581" t="s">
        <v>784</v>
      </c>
      <c r="L581" t="s">
        <v>91</v>
      </c>
      <c r="M581" t="s">
        <v>38</v>
      </c>
      <c r="N581" t="s">
        <v>66</v>
      </c>
      <c r="O581" t="s">
        <v>67</v>
      </c>
      <c r="P581" t="s">
        <v>35</v>
      </c>
      <c r="Q581">
        <v>280</v>
      </c>
      <c r="R581">
        <v>119.97</v>
      </c>
      <c r="S581">
        <v>33591.599999999999</v>
      </c>
      <c r="T581">
        <v>20.41</v>
      </c>
      <c r="U581">
        <v>2</v>
      </c>
      <c r="V581">
        <v>3</v>
      </c>
      <c r="W581">
        <v>2010</v>
      </c>
      <c r="X581" t="s">
        <v>3741</v>
      </c>
      <c r="Y581" t="s">
        <v>36</v>
      </c>
      <c r="Z581">
        <v>5383.19</v>
      </c>
    </row>
    <row r="582" spans="1:26" x14ac:dyDescent="0.25">
      <c r="A582">
        <v>100580</v>
      </c>
      <c r="B582" s="3">
        <v>45527</v>
      </c>
      <c r="C582" s="3">
        <v>45527</v>
      </c>
      <c r="D582" s="3">
        <v>45547</v>
      </c>
      <c r="E582" t="s">
        <v>1694</v>
      </c>
      <c r="F582" t="s">
        <v>32</v>
      </c>
      <c r="G582" t="s">
        <v>273</v>
      </c>
      <c r="H582" t="s">
        <v>1695</v>
      </c>
      <c r="I582" t="s">
        <v>134</v>
      </c>
      <c r="J582" t="s">
        <v>52</v>
      </c>
      <c r="K582" t="s">
        <v>1696</v>
      </c>
      <c r="L582" t="s">
        <v>31</v>
      </c>
      <c r="M582" t="s">
        <v>25</v>
      </c>
      <c r="N582" t="s">
        <v>66</v>
      </c>
      <c r="O582" t="s">
        <v>67</v>
      </c>
      <c r="P582" t="s">
        <v>76</v>
      </c>
      <c r="Q582">
        <v>314</v>
      </c>
      <c r="R582">
        <v>57.05</v>
      </c>
      <c r="S582">
        <v>17913.7</v>
      </c>
      <c r="T582">
        <v>13.74</v>
      </c>
      <c r="U582">
        <v>20</v>
      </c>
      <c r="V582">
        <v>20</v>
      </c>
      <c r="W582">
        <v>2947</v>
      </c>
      <c r="X582" t="s">
        <v>188</v>
      </c>
      <c r="Y582" t="s">
        <v>36</v>
      </c>
      <c r="Z582">
        <v>3086.57</v>
      </c>
    </row>
    <row r="583" spans="1:26" x14ac:dyDescent="0.25">
      <c r="A583">
        <v>100581</v>
      </c>
      <c r="B583" s="3">
        <v>45305</v>
      </c>
      <c r="C583" s="3">
        <v>45308</v>
      </c>
      <c r="D583" s="3">
        <v>45313</v>
      </c>
      <c r="E583" t="s">
        <v>1697</v>
      </c>
      <c r="F583" t="s">
        <v>38</v>
      </c>
      <c r="G583" t="s">
        <v>39</v>
      </c>
      <c r="H583" t="s">
        <v>1698</v>
      </c>
      <c r="I583" t="s">
        <v>198</v>
      </c>
      <c r="J583" t="s">
        <v>52</v>
      </c>
      <c r="K583" t="s">
        <v>1699</v>
      </c>
      <c r="L583" t="s">
        <v>98</v>
      </c>
      <c r="M583" t="s">
        <v>25</v>
      </c>
      <c r="N583" t="s">
        <v>107</v>
      </c>
      <c r="O583" t="s">
        <v>108</v>
      </c>
      <c r="P583" t="s">
        <v>35</v>
      </c>
      <c r="Q583">
        <v>94</v>
      </c>
      <c r="R583">
        <v>79.34</v>
      </c>
      <c r="S583">
        <v>7457.96</v>
      </c>
      <c r="T583">
        <v>15.14</v>
      </c>
      <c r="U583">
        <v>5</v>
      </c>
      <c r="V583">
        <v>8</v>
      </c>
      <c r="W583">
        <v>3479</v>
      </c>
      <c r="X583" t="s">
        <v>188</v>
      </c>
      <c r="Y583" t="s">
        <v>36</v>
      </c>
      <c r="Z583">
        <v>785.42</v>
      </c>
    </row>
    <row r="584" spans="1:26" x14ac:dyDescent="0.25">
      <c r="A584">
        <v>100582</v>
      </c>
      <c r="B584" s="3">
        <v>45832</v>
      </c>
      <c r="C584" s="3">
        <v>45833</v>
      </c>
      <c r="D584" s="3">
        <v>45841</v>
      </c>
      <c r="E584" t="s">
        <v>1700</v>
      </c>
      <c r="F584" t="s">
        <v>32</v>
      </c>
      <c r="G584" t="s">
        <v>255</v>
      </c>
      <c r="H584" t="s">
        <v>1701</v>
      </c>
      <c r="I584" t="s">
        <v>51</v>
      </c>
      <c r="J584" t="s">
        <v>52</v>
      </c>
      <c r="K584" t="s">
        <v>1702</v>
      </c>
      <c r="L584" t="s">
        <v>64</v>
      </c>
      <c r="M584" t="s">
        <v>65</v>
      </c>
      <c r="N584" t="s">
        <v>66</v>
      </c>
      <c r="O584" t="s">
        <v>67</v>
      </c>
      <c r="P584" t="s">
        <v>35</v>
      </c>
      <c r="Q584">
        <v>280</v>
      </c>
      <c r="R584">
        <v>33.909999999999997</v>
      </c>
      <c r="S584">
        <v>9494.7999999999993</v>
      </c>
      <c r="T584">
        <v>20.41</v>
      </c>
      <c r="U584">
        <v>8</v>
      </c>
      <c r="V584">
        <v>9</v>
      </c>
      <c r="W584">
        <v>3409</v>
      </c>
      <c r="X584" t="s">
        <v>188</v>
      </c>
      <c r="Y584" t="s">
        <v>36</v>
      </c>
      <c r="Z584">
        <v>1708.07</v>
      </c>
    </row>
    <row r="585" spans="1:26" x14ac:dyDescent="0.25">
      <c r="A585">
        <v>100583</v>
      </c>
      <c r="B585" s="3">
        <v>45608</v>
      </c>
      <c r="C585" s="3">
        <v>45609</v>
      </c>
      <c r="D585" s="3">
        <v>45624</v>
      </c>
      <c r="E585" t="s">
        <v>1703</v>
      </c>
      <c r="F585" t="s">
        <v>25</v>
      </c>
      <c r="G585" t="s">
        <v>169</v>
      </c>
      <c r="H585" t="s">
        <v>1704</v>
      </c>
      <c r="I585" t="s">
        <v>198</v>
      </c>
      <c r="J585" t="s">
        <v>52</v>
      </c>
      <c r="K585" t="s">
        <v>1705</v>
      </c>
      <c r="L585" t="s">
        <v>31</v>
      </c>
      <c r="M585" t="s">
        <v>65</v>
      </c>
      <c r="N585" t="s">
        <v>92</v>
      </c>
      <c r="O585" t="s">
        <v>93</v>
      </c>
      <c r="P585" t="s">
        <v>76</v>
      </c>
      <c r="Q585">
        <v>118</v>
      </c>
      <c r="R585">
        <v>16.04</v>
      </c>
      <c r="S585">
        <v>1892.72</v>
      </c>
      <c r="T585">
        <v>10.17</v>
      </c>
      <c r="U585">
        <v>15</v>
      </c>
      <c r="V585">
        <v>16</v>
      </c>
      <c r="W585">
        <v>4137</v>
      </c>
      <c r="X585" t="s">
        <v>188</v>
      </c>
      <c r="Y585" t="s">
        <v>36</v>
      </c>
      <c r="Z585">
        <v>176.3</v>
      </c>
    </row>
    <row r="586" spans="1:26" x14ac:dyDescent="0.25">
      <c r="A586">
        <v>100584</v>
      </c>
      <c r="B586" s="3">
        <v>45414</v>
      </c>
      <c r="C586" s="3">
        <v>45414</v>
      </c>
      <c r="D586" s="3">
        <v>45426</v>
      </c>
      <c r="E586" t="s">
        <v>1706</v>
      </c>
      <c r="F586" t="s">
        <v>65</v>
      </c>
      <c r="G586" t="s">
        <v>142</v>
      </c>
      <c r="H586" t="s">
        <v>1707</v>
      </c>
      <c r="I586" t="s">
        <v>368</v>
      </c>
      <c r="J586" t="s">
        <v>29</v>
      </c>
      <c r="K586" t="s">
        <v>1708</v>
      </c>
      <c r="L586" t="s">
        <v>122</v>
      </c>
      <c r="M586" t="s">
        <v>38</v>
      </c>
      <c r="N586" t="s">
        <v>55</v>
      </c>
      <c r="O586" t="s">
        <v>56</v>
      </c>
      <c r="P586" t="s">
        <v>123</v>
      </c>
      <c r="Q586">
        <v>39</v>
      </c>
      <c r="R586">
        <v>16</v>
      </c>
      <c r="S586">
        <v>624</v>
      </c>
      <c r="T586">
        <v>11.64</v>
      </c>
      <c r="U586">
        <v>12</v>
      </c>
      <c r="V586">
        <v>12</v>
      </c>
      <c r="W586">
        <v>3241</v>
      </c>
      <c r="X586" t="s">
        <v>188</v>
      </c>
      <c r="Y586" t="s">
        <v>36</v>
      </c>
      <c r="Z586">
        <v>57.59</v>
      </c>
    </row>
    <row r="587" spans="1:26" x14ac:dyDescent="0.25">
      <c r="A587">
        <v>100585</v>
      </c>
      <c r="B587" s="3">
        <v>45678</v>
      </c>
      <c r="C587" s="3">
        <v>45678</v>
      </c>
      <c r="D587" s="3">
        <v>45682</v>
      </c>
      <c r="E587" t="s">
        <v>1709</v>
      </c>
      <c r="F587" t="s">
        <v>65</v>
      </c>
      <c r="G587" t="s">
        <v>154</v>
      </c>
      <c r="H587" t="s">
        <v>1710</v>
      </c>
      <c r="I587" t="s">
        <v>89</v>
      </c>
      <c r="J587" t="s">
        <v>62</v>
      </c>
      <c r="K587" t="s">
        <v>1711</v>
      </c>
      <c r="L587" t="s">
        <v>64</v>
      </c>
      <c r="M587" t="s">
        <v>32</v>
      </c>
      <c r="N587" t="s">
        <v>45</v>
      </c>
      <c r="O587" t="s">
        <v>46</v>
      </c>
      <c r="P587" t="s">
        <v>68</v>
      </c>
      <c r="Q587">
        <v>335</v>
      </c>
      <c r="R587">
        <v>15.53</v>
      </c>
      <c r="S587">
        <v>5202.55</v>
      </c>
      <c r="T587">
        <v>50.22</v>
      </c>
      <c r="U587">
        <v>4</v>
      </c>
      <c r="V587">
        <v>4</v>
      </c>
      <c r="W587">
        <v>649</v>
      </c>
      <c r="X587" t="s">
        <v>3741</v>
      </c>
      <c r="Y587" t="s">
        <v>36</v>
      </c>
      <c r="Z587">
        <v>667.17</v>
      </c>
    </row>
    <row r="588" spans="1:26" x14ac:dyDescent="0.25">
      <c r="A588">
        <v>100586</v>
      </c>
      <c r="B588" s="3">
        <v>45723</v>
      </c>
      <c r="C588" s="3">
        <v>45724</v>
      </c>
      <c r="D588" s="3">
        <v>45732</v>
      </c>
      <c r="E588" t="s">
        <v>1712</v>
      </c>
      <c r="F588" t="s">
        <v>65</v>
      </c>
      <c r="G588" t="s">
        <v>154</v>
      </c>
      <c r="H588" t="s">
        <v>1713</v>
      </c>
      <c r="I588" t="s">
        <v>238</v>
      </c>
      <c r="J588" t="s">
        <v>62</v>
      </c>
      <c r="K588" t="s">
        <v>1714</v>
      </c>
      <c r="L588" t="s">
        <v>113</v>
      </c>
      <c r="M588" t="s">
        <v>54</v>
      </c>
      <c r="N588" t="s">
        <v>92</v>
      </c>
      <c r="O588" t="s">
        <v>93</v>
      </c>
      <c r="P588" t="s">
        <v>123</v>
      </c>
      <c r="Q588">
        <v>156</v>
      </c>
      <c r="R588">
        <v>21.5</v>
      </c>
      <c r="S588">
        <v>3354</v>
      </c>
      <c r="T588">
        <v>14.48</v>
      </c>
      <c r="U588">
        <v>8</v>
      </c>
      <c r="V588">
        <v>9</v>
      </c>
      <c r="W588">
        <v>1462</v>
      </c>
      <c r="X588" t="s">
        <v>188</v>
      </c>
      <c r="Y588" t="s">
        <v>36</v>
      </c>
      <c r="Z588">
        <v>552.07000000000005</v>
      </c>
    </row>
    <row r="589" spans="1:26" x14ac:dyDescent="0.25">
      <c r="A589">
        <v>100587</v>
      </c>
      <c r="B589" s="3">
        <v>45645</v>
      </c>
      <c r="C589" s="3">
        <v>45646</v>
      </c>
      <c r="D589" s="3">
        <v>45647</v>
      </c>
      <c r="E589" t="s">
        <v>1715</v>
      </c>
      <c r="F589" t="s">
        <v>65</v>
      </c>
      <c r="G589" t="s">
        <v>154</v>
      </c>
      <c r="H589" t="s">
        <v>1716</v>
      </c>
      <c r="I589" t="s">
        <v>198</v>
      </c>
      <c r="J589" t="s">
        <v>52</v>
      </c>
      <c r="K589" t="s">
        <v>1717</v>
      </c>
      <c r="L589" t="s">
        <v>122</v>
      </c>
      <c r="M589" t="s">
        <v>38</v>
      </c>
      <c r="N589" t="s">
        <v>33</v>
      </c>
      <c r="O589" t="s">
        <v>34</v>
      </c>
      <c r="P589" t="s">
        <v>68</v>
      </c>
      <c r="Q589">
        <v>335</v>
      </c>
      <c r="R589">
        <v>13.88</v>
      </c>
      <c r="S589">
        <v>4649.8</v>
      </c>
      <c r="T589">
        <v>50.22</v>
      </c>
      <c r="U589">
        <v>1</v>
      </c>
      <c r="V589">
        <v>2</v>
      </c>
      <c r="W589">
        <v>2103</v>
      </c>
      <c r="X589" t="s">
        <v>3741</v>
      </c>
      <c r="Y589" t="s">
        <v>36</v>
      </c>
      <c r="Z589">
        <v>692.25</v>
      </c>
    </row>
    <row r="590" spans="1:26" x14ac:dyDescent="0.25">
      <c r="A590">
        <v>100588</v>
      </c>
      <c r="B590" s="3">
        <v>45768</v>
      </c>
      <c r="C590" s="3">
        <v>45770</v>
      </c>
      <c r="D590" s="3">
        <v>45771</v>
      </c>
      <c r="E590" t="s">
        <v>1718</v>
      </c>
      <c r="F590" t="s">
        <v>32</v>
      </c>
      <c r="G590" t="s">
        <v>110</v>
      </c>
      <c r="H590" t="s">
        <v>1719</v>
      </c>
      <c r="I590" t="s">
        <v>238</v>
      </c>
      <c r="J590" t="s">
        <v>62</v>
      </c>
      <c r="K590" t="s">
        <v>1347</v>
      </c>
      <c r="L590" t="s">
        <v>44</v>
      </c>
      <c r="M590" t="s">
        <v>25</v>
      </c>
      <c r="N590" t="s">
        <v>151</v>
      </c>
      <c r="O590" t="s">
        <v>152</v>
      </c>
      <c r="P590" t="s">
        <v>68</v>
      </c>
      <c r="Q590">
        <v>287</v>
      </c>
      <c r="R590">
        <v>44.28</v>
      </c>
      <c r="S590">
        <v>12708.36</v>
      </c>
      <c r="T590">
        <v>47.11</v>
      </c>
      <c r="U590">
        <v>1</v>
      </c>
      <c r="V590">
        <v>3</v>
      </c>
      <c r="W590">
        <v>980</v>
      </c>
      <c r="X590" t="s">
        <v>3741</v>
      </c>
      <c r="Y590" t="s">
        <v>36</v>
      </c>
      <c r="Z590">
        <v>1769.78</v>
      </c>
    </row>
    <row r="591" spans="1:26" x14ac:dyDescent="0.25">
      <c r="A591">
        <v>100589</v>
      </c>
      <c r="B591" s="3">
        <v>45997</v>
      </c>
      <c r="C591" s="3">
        <v>45997</v>
      </c>
      <c r="D591" s="3">
        <v>46001</v>
      </c>
      <c r="E591" t="s">
        <v>1720</v>
      </c>
      <c r="F591" t="s">
        <v>38</v>
      </c>
      <c r="G591" t="s">
        <v>147</v>
      </c>
      <c r="H591" t="s">
        <v>1721</v>
      </c>
      <c r="I591" t="s">
        <v>79</v>
      </c>
      <c r="J591" t="s">
        <v>80</v>
      </c>
      <c r="K591" t="s">
        <v>902</v>
      </c>
      <c r="L591" t="s">
        <v>31</v>
      </c>
      <c r="M591" t="s">
        <v>25</v>
      </c>
      <c r="N591" t="s">
        <v>102</v>
      </c>
      <c r="O591" t="s">
        <v>103</v>
      </c>
      <c r="P591" t="s">
        <v>35</v>
      </c>
      <c r="Q591">
        <v>191</v>
      </c>
      <c r="R591">
        <v>141.87</v>
      </c>
      <c r="S591">
        <v>27097.17</v>
      </c>
      <c r="T591">
        <v>17.89</v>
      </c>
      <c r="U591">
        <v>4</v>
      </c>
      <c r="V591">
        <v>4</v>
      </c>
      <c r="W591">
        <v>876</v>
      </c>
      <c r="X591" t="s">
        <v>3741</v>
      </c>
      <c r="Y591" t="s">
        <v>36</v>
      </c>
      <c r="Z591">
        <v>4062.32</v>
      </c>
    </row>
    <row r="592" spans="1:26" x14ac:dyDescent="0.25">
      <c r="A592">
        <v>100590</v>
      </c>
      <c r="B592" s="3">
        <v>45447</v>
      </c>
      <c r="C592" s="3">
        <v>45451</v>
      </c>
      <c r="D592" s="3">
        <v>45455</v>
      </c>
      <c r="E592" t="s">
        <v>1411</v>
      </c>
      <c r="F592" t="s">
        <v>38</v>
      </c>
      <c r="G592" t="s">
        <v>147</v>
      </c>
      <c r="H592" t="s">
        <v>1722</v>
      </c>
      <c r="I592" t="s">
        <v>230</v>
      </c>
      <c r="J592" t="s">
        <v>80</v>
      </c>
      <c r="K592" t="s">
        <v>1723</v>
      </c>
      <c r="L592" t="s">
        <v>64</v>
      </c>
      <c r="M592" t="s">
        <v>54</v>
      </c>
      <c r="N592" t="s">
        <v>45</v>
      </c>
      <c r="O592" t="s">
        <v>46</v>
      </c>
      <c r="P592" t="s">
        <v>68</v>
      </c>
      <c r="Q592">
        <v>391</v>
      </c>
      <c r="R592">
        <v>332.39</v>
      </c>
      <c r="S592">
        <v>129964.49</v>
      </c>
      <c r="T592">
        <v>53.85</v>
      </c>
      <c r="U592">
        <v>4</v>
      </c>
      <c r="V592">
        <v>8</v>
      </c>
      <c r="W592">
        <v>892</v>
      </c>
      <c r="X592" t="s">
        <v>188</v>
      </c>
      <c r="Y592" t="s">
        <v>36</v>
      </c>
      <c r="Z592">
        <v>33050.36</v>
      </c>
    </row>
    <row r="593" spans="1:26" x14ac:dyDescent="0.25">
      <c r="A593">
        <v>100591</v>
      </c>
      <c r="B593" s="3">
        <v>45622</v>
      </c>
      <c r="C593" s="3">
        <v>45626</v>
      </c>
      <c r="D593" s="3">
        <v>45627</v>
      </c>
      <c r="E593" t="s">
        <v>1724</v>
      </c>
      <c r="F593" t="s">
        <v>32</v>
      </c>
      <c r="G593" t="s">
        <v>137</v>
      </c>
      <c r="H593" t="s">
        <v>1725</v>
      </c>
      <c r="I593" t="s">
        <v>144</v>
      </c>
      <c r="J593" t="s">
        <v>52</v>
      </c>
      <c r="K593" t="s">
        <v>830</v>
      </c>
      <c r="L593" t="s">
        <v>44</v>
      </c>
      <c r="M593" t="s">
        <v>54</v>
      </c>
      <c r="N593" t="s">
        <v>74</v>
      </c>
      <c r="O593" t="s">
        <v>75</v>
      </c>
      <c r="P593" t="s">
        <v>68</v>
      </c>
      <c r="Q593">
        <v>40</v>
      </c>
      <c r="R593">
        <v>74.150000000000006</v>
      </c>
      <c r="S593">
        <v>2966</v>
      </c>
      <c r="T593">
        <v>31.1</v>
      </c>
      <c r="U593">
        <v>1</v>
      </c>
      <c r="V593">
        <v>5</v>
      </c>
      <c r="W593">
        <v>4481</v>
      </c>
      <c r="X593" t="s">
        <v>3741</v>
      </c>
      <c r="Y593" t="s">
        <v>36</v>
      </c>
      <c r="Z593">
        <v>339.15</v>
      </c>
    </row>
    <row r="594" spans="1:26" x14ac:dyDescent="0.25">
      <c r="A594">
        <v>100592</v>
      </c>
      <c r="B594" s="3">
        <v>45310</v>
      </c>
      <c r="C594" s="3">
        <v>45313</v>
      </c>
      <c r="D594" s="3">
        <v>45322</v>
      </c>
      <c r="E594" t="s">
        <v>1726</v>
      </c>
      <c r="F594" t="s">
        <v>32</v>
      </c>
      <c r="G594" t="s">
        <v>180</v>
      </c>
      <c r="H594" t="s">
        <v>1727</v>
      </c>
      <c r="I594" t="s">
        <v>85</v>
      </c>
      <c r="J594" t="s">
        <v>52</v>
      </c>
      <c r="K594" t="s">
        <v>163</v>
      </c>
      <c r="L594" t="s">
        <v>118</v>
      </c>
      <c r="M594" t="s">
        <v>32</v>
      </c>
      <c r="N594" t="s">
        <v>92</v>
      </c>
      <c r="O594" t="s">
        <v>93</v>
      </c>
      <c r="P594" t="s">
        <v>35</v>
      </c>
      <c r="Q594">
        <v>474</v>
      </c>
      <c r="R594">
        <v>30.47</v>
      </c>
      <c r="S594">
        <v>14442.78</v>
      </c>
      <c r="T594">
        <v>19.190000000000001</v>
      </c>
      <c r="U594">
        <v>9</v>
      </c>
      <c r="V594">
        <v>12</v>
      </c>
      <c r="W594">
        <v>2768</v>
      </c>
      <c r="X594" t="s">
        <v>188</v>
      </c>
      <c r="Y594" t="s">
        <v>36</v>
      </c>
      <c r="Z594">
        <v>2827.78</v>
      </c>
    </row>
    <row r="595" spans="1:26" x14ac:dyDescent="0.25">
      <c r="A595">
        <v>100593</v>
      </c>
      <c r="B595" s="3">
        <v>45582</v>
      </c>
      <c r="C595" s="3">
        <v>45586</v>
      </c>
      <c r="D595" s="3">
        <v>45610</v>
      </c>
      <c r="E595" t="s">
        <v>1728</v>
      </c>
      <c r="F595" t="s">
        <v>32</v>
      </c>
      <c r="G595" t="s">
        <v>110</v>
      </c>
      <c r="H595" t="s">
        <v>1729</v>
      </c>
      <c r="I595" t="s">
        <v>85</v>
      </c>
      <c r="J595" t="s">
        <v>52</v>
      </c>
      <c r="K595" t="s">
        <v>1730</v>
      </c>
      <c r="L595" t="s">
        <v>113</v>
      </c>
      <c r="M595" t="s">
        <v>65</v>
      </c>
      <c r="N595" t="s">
        <v>151</v>
      </c>
      <c r="O595" t="s">
        <v>152</v>
      </c>
      <c r="P595" t="s">
        <v>76</v>
      </c>
      <c r="Q595">
        <v>433</v>
      </c>
      <c r="R595">
        <v>16.11</v>
      </c>
      <c r="S595">
        <v>6975.63</v>
      </c>
      <c r="T595">
        <v>15.91</v>
      </c>
      <c r="U595">
        <v>24</v>
      </c>
      <c r="V595">
        <v>28</v>
      </c>
      <c r="W595">
        <v>293</v>
      </c>
      <c r="X595" t="s">
        <v>3742</v>
      </c>
      <c r="Y595" t="s">
        <v>57</v>
      </c>
      <c r="Z595">
        <v>663.07</v>
      </c>
    </row>
    <row r="596" spans="1:26" x14ac:dyDescent="0.25">
      <c r="A596">
        <v>100594</v>
      </c>
      <c r="B596" s="3">
        <v>45942</v>
      </c>
      <c r="C596" s="3">
        <v>45946</v>
      </c>
      <c r="D596" s="3">
        <v>45968</v>
      </c>
      <c r="E596" t="s">
        <v>1731</v>
      </c>
      <c r="F596" t="s">
        <v>54</v>
      </c>
      <c r="G596" t="s">
        <v>193</v>
      </c>
      <c r="H596" t="s">
        <v>1732</v>
      </c>
      <c r="I596" t="s">
        <v>139</v>
      </c>
      <c r="J596" t="s">
        <v>42</v>
      </c>
      <c r="K596" t="s">
        <v>297</v>
      </c>
      <c r="L596" t="s">
        <v>64</v>
      </c>
      <c r="M596" t="s">
        <v>32</v>
      </c>
      <c r="N596" t="s">
        <v>151</v>
      </c>
      <c r="O596" t="s">
        <v>152</v>
      </c>
      <c r="P596" t="s">
        <v>76</v>
      </c>
      <c r="Q596">
        <v>111</v>
      </c>
      <c r="R596">
        <v>315.08999999999997</v>
      </c>
      <c r="S596">
        <v>34974.99</v>
      </c>
      <c r="T596">
        <v>10.039999999999999</v>
      </c>
      <c r="U596">
        <v>22</v>
      </c>
      <c r="V596">
        <v>26</v>
      </c>
      <c r="W596">
        <v>600</v>
      </c>
      <c r="X596" t="s">
        <v>188</v>
      </c>
      <c r="Y596" t="s">
        <v>36</v>
      </c>
      <c r="Z596">
        <v>7428</v>
      </c>
    </row>
    <row r="597" spans="1:26" x14ac:dyDescent="0.25">
      <c r="A597">
        <v>100595</v>
      </c>
      <c r="B597" s="3">
        <v>45733</v>
      </c>
      <c r="C597" s="3">
        <v>45736</v>
      </c>
      <c r="D597" s="3">
        <v>45750</v>
      </c>
      <c r="E597" t="s">
        <v>1733</v>
      </c>
      <c r="F597" t="s">
        <v>38</v>
      </c>
      <c r="G597" t="s">
        <v>83</v>
      </c>
      <c r="H597" t="s">
        <v>1734</v>
      </c>
      <c r="I597" t="s">
        <v>182</v>
      </c>
      <c r="J597" t="s">
        <v>80</v>
      </c>
      <c r="K597" t="s">
        <v>1283</v>
      </c>
      <c r="L597" t="s">
        <v>113</v>
      </c>
      <c r="M597" t="s">
        <v>25</v>
      </c>
      <c r="N597" t="s">
        <v>151</v>
      </c>
      <c r="O597" t="s">
        <v>152</v>
      </c>
      <c r="P597" t="s">
        <v>76</v>
      </c>
      <c r="Q597">
        <v>93</v>
      </c>
      <c r="R597">
        <v>62.44</v>
      </c>
      <c r="S597">
        <v>5806.92</v>
      </c>
      <c r="T597">
        <v>9.7100000000000009</v>
      </c>
      <c r="U597">
        <v>14</v>
      </c>
      <c r="V597">
        <v>17</v>
      </c>
      <c r="W597">
        <v>594</v>
      </c>
      <c r="X597" t="s">
        <v>188</v>
      </c>
      <c r="Y597" t="s">
        <v>36</v>
      </c>
      <c r="Z597">
        <v>899.58</v>
      </c>
    </row>
    <row r="598" spans="1:26" x14ac:dyDescent="0.25">
      <c r="A598">
        <v>100596</v>
      </c>
      <c r="B598" s="3">
        <v>45915</v>
      </c>
      <c r="C598" s="3">
        <v>45916</v>
      </c>
      <c r="D598" s="3">
        <v>45917</v>
      </c>
      <c r="E598" t="s">
        <v>1735</v>
      </c>
      <c r="F598" t="s">
        <v>25</v>
      </c>
      <c r="G598" t="s">
        <v>26</v>
      </c>
      <c r="H598" t="s">
        <v>1736</v>
      </c>
      <c r="I598" t="s">
        <v>134</v>
      </c>
      <c r="J598" t="s">
        <v>52</v>
      </c>
      <c r="K598" t="s">
        <v>309</v>
      </c>
      <c r="L598" t="s">
        <v>98</v>
      </c>
      <c r="M598" t="s">
        <v>38</v>
      </c>
      <c r="N598" t="s">
        <v>102</v>
      </c>
      <c r="O598" t="s">
        <v>103</v>
      </c>
      <c r="P598" t="s">
        <v>68</v>
      </c>
      <c r="Q598">
        <v>277</v>
      </c>
      <c r="R598">
        <v>80.78</v>
      </c>
      <c r="S598">
        <v>22376.06</v>
      </c>
      <c r="T598">
        <v>46.46</v>
      </c>
      <c r="U598">
        <v>1</v>
      </c>
      <c r="V598">
        <v>2</v>
      </c>
      <c r="W598">
        <v>2424</v>
      </c>
      <c r="X598" t="s">
        <v>3741</v>
      </c>
      <c r="Y598" t="s">
        <v>36</v>
      </c>
      <c r="Z598">
        <v>4300.7</v>
      </c>
    </row>
    <row r="599" spans="1:26" x14ac:dyDescent="0.25">
      <c r="A599">
        <v>100597</v>
      </c>
      <c r="B599" s="3">
        <v>45580</v>
      </c>
      <c r="C599" s="3">
        <v>45585</v>
      </c>
      <c r="D599" s="3">
        <v>45605</v>
      </c>
      <c r="E599" t="s">
        <v>1737</v>
      </c>
      <c r="F599" t="s">
        <v>54</v>
      </c>
      <c r="G599" t="s">
        <v>129</v>
      </c>
      <c r="H599" t="s">
        <v>1738</v>
      </c>
      <c r="I599" t="s">
        <v>368</v>
      </c>
      <c r="J599" t="s">
        <v>29</v>
      </c>
      <c r="K599" t="s">
        <v>1019</v>
      </c>
      <c r="L599" t="s">
        <v>44</v>
      </c>
      <c r="M599" t="s">
        <v>38</v>
      </c>
      <c r="N599" t="s">
        <v>107</v>
      </c>
      <c r="O599" t="s">
        <v>108</v>
      </c>
      <c r="P599" t="s">
        <v>76</v>
      </c>
      <c r="Q599">
        <v>288</v>
      </c>
      <c r="R599">
        <v>102.68</v>
      </c>
      <c r="S599">
        <v>29571.84</v>
      </c>
      <c r="T599">
        <v>13.27</v>
      </c>
      <c r="U599">
        <v>20</v>
      </c>
      <c r="V599">
        <v>25</v>
      </c>
      <c r="W599">
        <v>3027</v>
      </c>
      <c r="X599" t="s">
        <v>188</v>
      </c>
      <c r="Y599" t="s">
        <v>36</v>
      </c>
      <c r="Z599">
        <v>3391.22</v>
      </c>
    </row>
    <row r="600" spans="1:26" x14ac:dyDescent="0.25">
      <c r="A600">
        <v>100598</v>
      </c>
      <c r="B600" s="3">
        <v>45540</v>
      </c>
      <c r="C600" s="3">
        <v>45545</v>
      </c>
      <c r="D600" s="3">
        <v>45559</v>
      </c>
      <c r="E600" t="s">
        <v>1739</v>
      </c>
      <c r="F600" t="s">
        <v>32</v>
      </c>
      <c r="G600" t="s">
        <v>110</v>
      </c>
      <c r="H600" t="s">
        <v>1740</v>
      </c>
      <c r="I600" t="s">
        <v>207</v>
      </c>
      <c r="J600" t="s">
        <v>80</v>
      </c>
      <c r="K600" t="s">
        <v>792</v>
      </c>
      <c r="L600" t="s">
        <v>64</v>
      </c>
      <c r="M600" t="s">
        <v>54</v>
      </c>
      <c r="N600" t="s">
        <v>92</v>
      </c>
      <c r="O600" t="s">
        <v>93</v>
      </c>
      <c r="P600" t="s">
        <v>123</v>
      </c>
      <c r="Q600">
        <v>447</v>
      </c>
      <c r="R600">
        <v>81.069999999999993</v>
      </c>
      <c r="S600">
        <v>36238.29</v>
      </c>
      <c r="T600">
        <v>21.55</v>
      </c>
      <c r="U600">
        <v>14</v>
      </c>
      <c r="V600">
        <v>19</v>
      </c>
      <c r="W600">
        <v>1924</v>
      </c>
      <c r="X600" t="s">
        <v>188</v>
      </c>
      <c r="Y600" t="s">
        <v>36</v>
      </c>
      <c r="Z600">
        <v>9747.26</v>
      </c>
    </row>
    <row r="601" spans="1:26" x14ac:dyDescent="0.25">
      <c r="A601">
        <v>100599</v>
      </c>
      <c r="B601" s="3">
        <v>45634</v>
      </c>
      <c r="C601" s="3">
        <v>45638</v>
      </c>
      <c r="D601" s="3">
        <v>45653</v>
      </c>
      <c r="E601" t="s">
        <v>1741</v>
      </c>
      <c r="F601" t="s">
        <v>38</v>
      </c>
      <c r="G601" t="s">
        <v>49</v>
      </c>
      <c r="H601" t="s">
        <v>1742</v>
      </c>
      <c r="I601" t="s">
        <v>230</v>
      </c>
      <c r="J601" t="s">
        <v>80</v>
      </c>
      <c r="K601" t="s">
        <v>1557</v>
      </c>
      <c r="L601" t="s">
        <v>31</v>
      </c>
      <c r="M601" t="s">
        <v>25</v>
      </c>
      <c r="N601" t="s">
        <v>102</v>
      </c>
      <c r="O601" t="s">
        <v>103</v>
      </c>
      <c r="P601" t="s">
        <v>35</v>
      </c>
      <c r="Q601">
        <v>326</v>
      </c>
      <c r="R601">
        <v>114.62</v>
      </c>
      <c r="S601">
        <v>37366.120000000003</v>
      </c>
      <c r="T601">
        <v>21.72</v>
      </c>
      <c r="U601">
        <v>15</v>
      </c>
      <c r="V601">
        <v>19</v>
      </c>
      <c r="W601">
        <v>1204</v>
      </c>
      <c r="X601" t="s">
        <v>3742</v>
      </c>
      <c r="Y601" t="s">
        <v>188</v>
      </c>
      <c r="Z601">
        <v>10013.370000000001</v>
      </c>
    </row>
    <row r="602" spans="1:26" x14ac:dyDescent="0.25">
      <c r="A602">
        <v>100600</v>
      </c>
      <c r="B602" s="3">
        <v>45652</v>
      </c>
      <c r="C602" s="3">
        <v>45653</v>
      </c>
      <c r="D602" s="3">
        <v>45656</v>
      </c>
      <c r="E602" t="s">
        <v>1743</v>
      </c>
      <c r="F602" t="s">
        <v>32</v>
      </c>
      <c r="G602" t="s">
        <v>273</v>
      </c>
      <c r="H602" t="s">
        <v>1744</v>
      </c>
      <c r="I602" t="s">
        <v>191</v>
      </c>
      <c r="J602" t="s">
        <v>62</v>
      </c>
      <c r="K602" t="s">
        <v>1576</v>
      </c>
      <c r="L602" t="s">
        <v>64</v>
      </c>
      <c r="M602" t="s">
        <v>38</v>
      </c>
      <c r="N602" t="s">
        <v>33</v>
      </c>
      <c r="O602" t="s">
        <v>34</v>
      </c>
      <c r="P602" t="s">
        <v>68</v>
      </c>
      <c r="Q602">
        <v>228</v>
      </c>
      <c r="R602">
        <v>34.76</v>
      </c>
      <c r="S602">
        <v>7925.28</v>
      </c>
      <c r="T602">
        <v>43.29</v>
      </c>
      <c r="U602">
        <v>3</v>
      </c>
      <c r="V602">
        <v>4</v>
      </c>
      <c r="W602">
        <v>1948</v>
      </c>
      <c r="X602" t="s">
        <v>3741</v>
      </c>
      <c r="Y602" t="s">
        <v>36</v>
      </c>
      <c r="Z602">
        <v>751.88</v>
      </c>
    </row>
    <row r="603" spans="1:26" x14ac:dyDescent="0.25">
      <c r="A603">
        <v>100601</v>
      </c>
      <c r="B603" s="3">
        <v>45402</v>
      </c>
      <c r="C603" s="3">
        <v>45406</v>
      </c>
      <c r="D603" s="3">
        <v>45422</v>
      </c>
      <c r="E603" t="s">
        <v>1745</v>
      </c>
      <c r="F603" t="s">
        <v>54</v>
      </c>
      <c r="G603" t="s">
        <v>165</v>
      </c>
      <c r="H603" t="s">
        <v>1746</v>
      </c>
      <c r="I603" t="s">
        <v>72</v>
      </c>
      <c r="J603" t="s">
        <v>42</v>
      </c>
      <c r="K603" t="s">
        <v>1747</v>
      </c>
      <c r="L603" t="s">
        <v>113</v>
      </c>
      <c r="M603" t="s">
        <v>54</v>
      </c>
      <c r="N603" t="s">
        <v>45</v>
      </c>
      <c r="O603" t="s">
        <v>46</v>
      </c>
      <c r="P603" t="s">
        <v>76</v>
      </c>
      <c r="Q603">
        <v>419</v>
      </c>
      <c r="R603">
        <v>134.69</v>
      </c>
      <c r="S603">
        <v>56435.11</v>
      </c>
      <c r="T603">
        <v>11.6</v>
      </c>
      <c r="U603">
        <v>16</v>
      </c>
      <c r="V603">
        <v>20</v>
      </c>
      <c r="W603">
        <v>328</v>
      </c>
      <c r="X603" t="s">
        <v>3742</v>
      </c>
      <c r="Y603" t="s">
        <v>47</v>
      </c>
      <c r="Z603">
        <v>-27.59</v>
      </c>
    </row>
    <row r="604" spans="1:26" x14ac:dyDescent="0.25">
      <c r="A604">
        <v>100602</v>
      </c>
      <c r="B604" s="3">
        <v>45343</v>
      </c>
      <c r="C604" s="3">
        <v>45343</v>
      </c>
      <c r="D604" s="3">
        <v>45358</v>
      </c>
      <c r="E604" t="s">
        <v>1748</v>
      </c>
      <c r="F604" t="s">
        <v>54</v>
      </c>
      <c r="G604" t="s">
        <v>158</v>
      </c>
      <c r="H604" t="s">
        <v>1749</v>
      </c>
      <c r="I604" t="s">
        <v>89</v>
      </c>
      <c r="J604" t="s">
        <v>62</v>
      </c>
      <c r="K604" t="s">
        <v>584</v>
      </c>
      <c r="L604" t="s">
        <v>122</v>
      </c>
      <c r="M604" t="s">
        <v>38</v>
      </c>
      <c r="N604" t="s">
        <v>55</v>
      </c>
      <c r="O604" t="s">
        <v>56</v>
      </c>
      <c r="P604" t="s">
        <v>76</v>
      </c>
      <c r="Q604">
        <v>150</v>
      </c>
      <c r="R604">
        <v>32.17</v>
      </c>
      <c r="S604">
        <v>4825.5</v>
      </c>
      <c r="T604">
        <v>10.75</v>
      </c>
      <c r="U604">
        <v>15</v>
      </c>
      <c r="V604">
        <v>15</v>
      </c>
      <c r="W604">
        <v>920</v>
      </c>
      <c r="X604" t="s">
        <v>188</v>
      </c>
      <c r="Y604" t="s">
        <v>36</v>
      </c>
      <c r="Z604">
        <v>76.75</v>
      </c>
    </row>
    <row r="605" spans="1:26" x14ac:dyDescent="0.25">
      <c r="A605">
        <v>100603</v>
      </c>
      <c r="B605" s="3">
        <v>45908</v>
      </c>
      <c r="C605" s="3">
        <v>45909</v>
      </c>
      <c r="D605" s="3">
        <v>45922</v>
      </c>
      <c r="E605" t="s">
        <v>1750</v>
      </c>
      <c r="F605" t="s">
        <v>32</v>
      </c>
      <c r="G605" t="s">
        <v>255</v>
      </c>
      <c r="H605" t="s">
        <v>1751</v>
      </c>
      <c r="I605" t="s">
        <v>198</v>
      </c>
      <c r="J605" t="s">
        <v>52</v>
      </c>
      <c r="K605" t="s">
        <v>1752</v>
      </c>
      <c r="L605" t="s">
        <v>212</v>
      </c>
      <c r="M605" t="s">
        <v>32</v>
      </c>
      <c r="N605" t="s">
        <v>151</v>
      </c>
      <c r="O605" t="s">
        <v>152</v>
      </c>
      <c r="P605" t="s">
        <v>76</v>
      </c>
      <c r="Q605">
        <v>238</v>
      </c>
      <c r="R605">
        <v>78.760000000000005</v>
      </c>
      <c r="S605">
        <v>18744.88</v>
      </c>
      <c r="T605">
        <v>9.15</v>
      </c>
      <c r="U605">
        <v>13</v>
      </c>
      <c r="V605">
        <v>14</v>
      </c>
      <c r="W605">
        <v>467</v>
      </c>
      <c r="X605" t="s">
        <v>188</v>
      </c>
      <c r="Y605" t="s">
        <v>36</v>
      </c>
      <c r="Z605">
        <v>1346.83</v>
      </c>
    </row>
    <row r="606" spans="1:26" x14ac:dyDescent="0.25">
      <c r="A606">
        <v>100604</v>
      </c>
      <c r="B606" s="3">
        <v>45802</v>
      </c>
      <c r="C606" s="3">
        <v>45802</v>
      </c>
      <c r="D606" s="3">
        <v>45814</v>
      </c>
      <c r="E606" t="s">
        <v>1753</v>
      </c>
      <c r="F606" t="s">
        <v>65</v>
      </c>
      <c r="G606" t="s">
        <v>70</v>
      </c>
      <c r="H606" t="s">
        <v>1754</v>
      </c>
      <c r="I606" t="s">
        <v>51</v>
      </c>
      <c r="J606" t="s">
        <v>52</v>
      </c>
      <c r="K606" t="s">
        <v>1755</v>
      </c>
      <c r="L606" t="s">
        <v>212</v>
      </c>
      <c r="M606" t="s">
        <v>38</v>
      </c>
      <c r="N606" t="s">
        <v>151</v>
      </c>
      <c r="O606" t="s">
        <v>152</v>
      </c>
      <c r="P606" t="s">
        <v>76</v>
      </c>
      <c r="Q606">
        <v>290</v>
      </c>
      <c r="R606">
        <v>44.7</v>
      </c>
      <c r="S606">
        <v>12963</v>
      </c>
      <c r="T606">
        <v>13.3</v>
      </c>
      <c r="U606">
        <v>12</v>
      </c>
      <c r="V606">
        <v>12</v>
      </c>
      <c r="W606">
        <v>816</v>
      </c>
      <c r="X606" t="s">
        <v>188</v>
      </c>
      <c r="Y606" t="s">
        <v>36</v>
      </c>
      <c r="Z606">
        <v>1720.61</v>
      </c>
    </row>
    <row r="607" spans="1:26" x14ac:dyDescent="0.25">
      <c r="A607">
        <v>100605</v>
      </c>
      <c r="B607" s="3">
        <v>45580</v>
      </c>
      <c r="C607" s="3">
        <v>45581</v>
      </c>
      <c r="D607" s="3">
        <v>45582</v>
      </c>
      <c r="E607" t="s">
        <v>1756</v>
      </c>
      <c r="F607" t="s">
        <v>25</v>
      </c>
      <c r="G607" t="s">
        <v>244</v>
      </c>
      <c r="H607" t="s">
        <v>1757</v>
      </c>
      <c r="I607" t="s">
        <v>79</v>
      </c>
      <c r="J607" t="s">
        <v>80</v>
      </c>
      <c r="K607" t="s">
        <v>778</v>
      </c>
      <c r="L607" t="s">
        <v>113</v>
      </c>
      <c r="M607" t="s">
        <v>54</v>
      </c>
      <c r="N607" t="s">
        <v>66</v>
      </c>
      <c r="O607" t="s">
        <v>67</v>
      </c>
      <c r="P607" t="s">
        <v>68</v>
      </c>
      <c r="Q607">
        <v>440</v>
      </c>
      <c r="R607">
        <v>249.9</v>
      </c>
      <c r="S607">
        <v>109956</v>
      </c>
      <c r="T607">
        <v>57.02</v>
      </c>
      <c r="U607">
        <v>1</v>
      </c>
      <c r="V607">
        <v>2</v>
      </c>
      <c r="W607">
        <v>319</v>
      </c>
      <c r="X607" t="s">
        <v>3741</v>
      </c>
      <c r="Y607" t="s">
        <v>36</v>
      </c>
      <c r="Z607">
        <v>21055.45</v>
      </c>
    </row>
    <row r="608" spans="1:26" x14ac:dyDescent="0.25">
      <c r="A608">
        <v>100606</v>
      </c>
      <c r="B608" s="3">
        <v>45363</v>
      </c>
      <c r="C608" s="3">
        <v>45364</v>
      </c>
      <c r="D608" s="3">
        <v>45375</v>
      </c>
      <c r="E608" t="s">
        <v>1758</v>
      </c>
      <c r="F608" t="s">
        <v>54</v>
      </c>
      <c r="G608" t="s">
        <v>225</v>
      </c>
      <c r="H608" t="s">
        <v>1759</v>
      </c>
      <c r="I608" t="s">
        <v>116</v>
      </c>
      <c r="J608" t="s">
        <v>62</v>
      </c>
      <c r="K608" t="s">
        <v>195</v>
      </c>
      <c r="L608" t="s">
        <v>122</v>
      </c>
      <c r="M608" t="s">
        <v>38</v>
      </c>
      <c r="N608" t="s">
        <v>102</v>
      </c>
      <c r="O608" t="s">
        <v>103</v>
      </c>
      <c r="P608" t="s">
        <v>76</v>
      </c>
      <c r="Q608">
        <v>337</v>
      </c>
      <c r="R608">
        <v>24.46</v>
      </c>
      <c r="S608">
        <v>8243.02</v>
      </c>
      <c r="T608">
        <v>14.16</v>
      </c>
      <c r="U608">
        <v>11</v>
      </c>
      <c r="V608">
        <v>12</v>
      </c>
      <c r="W608">
        <v>1209</v>
      </c>
      <c r="X608" t="s">
        <v>188</v>
      </c>
      <c r="Y608" t="s">
        <v>36</v>
      </c>
      <c r="Z608">
        <v>593.69000000000005</v>
      </c>
    </row>
    <row r="609" spans="1:26" x14ac:dyDescent="0.25">
      <c r="A609">
        <v>100607</v>
      </c>
      <c r="B609" s="3">
        <v>45637</v>
      </c>
      <c r="C609" s="3">
        <v>45637</v>
      </c>
      <c r="D609" s="3">
        <v>45641</v>
      </c>
      <c r="E609" t="s">
        <v>1760</v>
      </c>
      <c r="F609" t="s">
        <v>32</v>
      </c>
      <c r="G609" t="s">
        <v>255</v>
      </c>
      <c r="H609" t="s">
        <v>1761</v>
      </c>
      <c r="I609" t="s">
        <v>177</v>
      </c>
      <c r="J609" t="s">
        <v>29</v>
      </c>
      <c r="K609" t="s">
        <v>392</v>
      </c>
      <c r="L609" t="s">
        <v>212</v>
      </c>
      <c r="M609" t="s">
        <v>38</v>
      </c>
      <c r="N609" t="s">
        <v>33</v>
      </c>
      <c r="O609" t="s">
        <v>34</v>
      </c>
      <c r="P609" t="s">
        <v>68</v>
      </c>
      <c r="Q609">
        <v>412</v>
      </c>
      <c r="R609">
        <v>12.02</v>
      </c>
      <c r="S609">
        <v>4952.24</v>
      </c>
      <c r="T609">
        <v>55.21</v>
      </c>
      <c r="U609">
        <v>4</v>
      </c>
      <c r="V609">
        <v>4</v>
      </c>
      <c r="W609">
        <v>2797</v>
      </c>
      <c r="X609" t="s">
        <v>3741</v>
      </c>
      <c r="Y609" t="s">
        <v>36</v>
      </c>
      <c r="Z609">
        <v>477.63</v>
      </c>
    </row>
    <row r="610" spans="1:26" x14ac:dyDescent="0.25">
      <c r="A610">
        <v>100608</v>
      </c>
      <c r="B610" s="3">
        <v>45876</v>
      </c>
      <c r="C610" s="3">
        <v>45879</v>
      </c>
      <c r="D610" s="3">
        <v>45904</v>
      </c>
      <c r="E610" t="s">
        <v>1762</v>
      </c>
      <c r="F610" t="s">
        <v>54</v>
      </c>
      <c r="G610" t="s">
        <v>129</v>
      </c>
      <c r="H610" t="s">
        <v>1763</v>
      </c>
      <c r="I610" t="s">
        <v>89</v>
      </c>
      <c r="J610" t="s">
        <v>62</v>
      </c>
      <c r="K610" t="s">
        <v>1573</v>
      </c>
      <c r="L610" t="s">
        <v>187</v>
      </c>
      <c r="M610" t="s">
        <v>32</v>
      </c>
      <c r="N610" t="s">
        <v>102</v>
      </c>
      <c r="O610" t="s">
        <v>103</v>
      </c>
      <c r="P610" t="s">
        <v>76</v>
      </c>
      <c r="Q610">
        <v>147</v>
      </c>
      <c r="R610">
        <v>31.66</v>
      </c>
      <c r="S610">
        <v>4654.0200000000004</v>
      </c>
      <c r="T610">
        <v>10.7</v>
      </c>
      <c r="U610">
        <v>25</v>
      </c>
      <c r="V610">
        <v>28</v>
      </c>
      <c r="W610">
        <v>2089</v>
      </c>
      <c r="X610" t="s">
        <v>188</v>
      </c>
      <c r="Y610" t="s">
        <v>36</v>
      </c>
      <c r="Z610">
        <v>388.64</v>
      </c>
    </row>
    <row r="611" spans="1:26" x14ac:dyDescent="0.25">
      <c r="A611">
        <v>100609</v>
      </c>
      <c r="B611" s="3">
        <v>45495</v>
      </c>
      <c r="C611" s="3">
        <v>45499</v>
      </c>
      <c r="D611" s="3">
        <v>45509</v>
      </c>
      <c r="E611" t="s">
        <v>1764</v>
      </c>
      <c r="F611" t="s">
        <v>32</v>
      </c>
      <c r="G611" t="s">
        <v>110</v>
      </c>
      <c r="H611" t="s">
        <v>1765</v>
      </c>
      <c r="I611" t="s">
        <v>126</v>
      </c>
      <c r="J611" t="s">
        <v>42</v>
      </c>
      <c r="K611" t="s">
        <v>1766</v>
      </c>
      <c r="L611" t="s">
        <v>113</v>
      </c>
      <c r="M611" t="s">
        <v>38</v>
      </c>
      <c r="N611" t="s">
        <v>55</v>
      </c>
      <c r="O611" t="s">
        <v>56</v>
      </c>
      <c r="P611" t="s">
        <v>123</v>
      </c>
      <c r="Q611">
        <v>67</v>
      </c>
      <c r="R611">
        <v>319</v>
      </c>
      <c r="S611">
        <v>21373</v>
      </c>
      <c r="T611">
        <v>12.32</v>
      </c>
      <c r="U611">
        <v>10</v>
      </c>
      <c r="V611">
        <v>14</v>
      </c>
      <c r="W611">
        <v>1595</v>
      </c>
      <c r="X611" t="s">
        <v>188</v>
      </c>
      <c r="Y611" t="s">
        <v>36</v>
      </c>
      <c r="Z611">
        <v>3852.92</v>
      </c>
    </row>
    <row r="612" spans="1:26" x14ac:dyDescent="0.25">
      <c r="A612">
        <v>100610</v>
      </c>
      <c r="B612" s="3">
        <v>45590</v>
      </c>
      <c r="C612" s="3">
        <v>45594</v>
      </c>
      <c r="D612" s="3">
        <v>45599</v>
      </c>
      <c r="E612" t="s">
        <v>1767</v>
      </c>
      <c r="F612" t="s">
        <v>38</v>
      </c>
      <c r="G612" t="s">
        <v>147</v>
      </c>
      <c r="H612" t="s">
        <v>1768</v>
      </c>
      <c r="I612" t="s">
        <v>41</v>
      </c>
      <c r="J612" t="s">
        <v>42</v>
      </c>
      <c r="K612" t="s">
        <v>584</v>
      </c>
      <c r="L612" t="s">
        <v>113</v>
      </c>
      <c r="M612" t="s">
        <v>32</v>
      </c>
      <c r="N612" t="s">
        <v>55</v>
      </c>
      <c r="O612" t="s">
        <v>56</v>
      </c>
      <c r="P612" t="s">
        <v>35</v>
      </c>
      <c r="Q612">
        <v>240</v>
      </c>
      <c r="R612">
        <v>330.1</v>
      </c>
      <c r="S612">
        <v>79224</v>
      </c>
      <c r="T612">
        <v>19.28</v>
      </c>
      <c r="U612">
        <v>5</v>
      </c>
      <c r="V612">
        <v>9</v>
      </c>
      <c r="W612">
        <v>141</v>
      </c>
      <c r="X612" t="s">
        <v>188</v>
      </c>
      <c r="Y612" t="s">
        <v>36</v>
      </c>
      <c r="Z612">
        <v>11774.12</v>
      </c>
    </row>
    <row r="613" spans="1:26" x14ac:dyDescent="0.25">
      <c r="A613">
        <v>100611</v>
      </c>
      <c r="B613" s="3">
        <v>45726</v>
      </c>
      <c r="C613" s="3">
        <v>45727</v>
      </c>
      <c r="D613" s="3">
        <v>45731</v>
      </c>
      <c r="E613" t="s">
        <v>1769</v>
      </c>
      <c r="F613" t="s">
        <v>54</v>
      </c>
      <c r="G613" t="s">
        <v>225</v>
      </c>
      <c r="H613" t="s">
        <v>1770</v>
      </c>
      <c r="I613" t="s">
        <v>207</v>
      </c>
      <c r="J613" t="s">
        <v>80</v>
      </c>
      <c r="K613" t="s">
        <v>1771</v>
      </c>
      <c r="L613" t="s">
        <v>187</v>
      </c>
      <c r="M613" t="s">
        <v>38</v>
      </c>
      <c r="N613" t="s">
        <v>203</v>
      </c>
      <c r="O613" t="s">
        <v>204</v>
      </c>
      <c r="P613" t="s">
        <v>35</v>
      </c>
      <c r="Q613">
        <v>475</v>
      </c>
      <c r="R613">
        <v>127.63</v>
      </c>
      <c r="S613">
        <v>60624.25</v>
      </c>
      <c r="T613">
        <v>25.94</v>
      </c>
      <c r="U613">
        <v>4</v>
      </c>
      <c r="V613">
        <v>5</v>
      </c>
      <c r="W613">
        <v>1657</v>
      </c>
      <c r="X613" t="s">
        <v>3741</v>
      </c>
      <c r="Y613" t="s">
        <v>36</v>
      </c>
      <c r="Z613">
        <v>11967.4</v>
      </c>
    </row>
    <row r="614" spans="1:26" x14ac:dyDescent="0.25">
      <c r="A614">
        <v>100612</v>
      </c>
      <c r="B614" s="3">
        <v>45604</v>
      </c>
      <c r="C614" s="3">
        <v>45608</v>
      </c>
      <c r="D614" s="3">
        <v>45626</v>
      </c>
      <c r="E614" t="s">
        <v>1772</v>
      </c>
      <c r="F614" t="s">
        <v>54</v>
      </c>
      <c r="G614" t="s">
        <v>129</v>
      </c>
      <c r="H614" t="s">
        <v>1773</v>
      </c>
      <c r="I614" t="s">
        <v>368</v>
      </c>
      <c r="J614" t="s">
        <v>29</v>
      </c>
      <c r="K614" t="s">
        <v>1774</v>
      </c>
      <c r="L614" t="s">
        <v>212</v>
      </c>
      <c r="M614" t="s">
        <v>25</v>
      </c>
      <c r="N614" t="s">
        <v>203</v>
      </c>
      <c r="O614" t="s">
        <v>204</v>
      </c>
      <c r="P614" t="s">
        <v>76</v>
      </c>
      <c r="Q614">
        <v>300</v>
      </c>
      <c r="R614">
        <v>24.58</v>
      </c>
      <c r="S614">
        <v>7374</v>
      </c>
      <c r="T614">
        <v>13.49</v>
      </c>
      <c r="U614">
        <v>18</v>
      </c>
      <c r="V614">
        <v>22</v>
      </c>
      <c r="W614">
        <v>2005</v>
      </c>
      <c r="X614" t="s">
        <v>3742</v>
      </c>
      <c r="Y614" t="s">
        <v>57</v>
      </c>
      <c r="Z614">
        <v>1644.13</v>
      </c>
    </row>
    <row r="615" spans="1:26" x14ac:dyDescent="0.25">
      <c r="A615">
        <v>100613</v>
      </c>
      <c r="B615" s="3">
        <v>45387</v>
      </c>
      <c r="C615" s="3">
        <v>45392</v>
      </c>
      <c r="D615" s="3">
        <v>45415</v>
      </c>
      <c r="E615" t="s">
        <v>1775</v>
      </c>
      <c r="F615" t="s">
        <v>65</v>
      </c>
      <c r="G615" t="s">
        <v>154</v>
      </c>
      <c r="H615" t="s">
        <v>1776</v>
      </c>
      <c r="I615" t="s">
        <v>89</v>
      </c>
      <c r="J615" t="s">
        <v>62</v>
      </c>
      <c r="K615" t="s">
        <v>833</v>
      </c>
      <c r="L615" t="s">
        <v>98</v>
      </c>
      <c r="M615" t="s">
        <v>38</v>
      </c>
      <c r="N615" t="s">
        <v>102</v>
      </c>
      <c r="O615" t="s">
        <v>103</v>
      </c>
      <c r="P615" t="s">
        <v>76</v>
      </c>
      <c r="Q615">
        <v>92</v>
      </c>
      <c r="R615">
        <v>9.68</v>
      </c>
      <c r="S615">
        <v>890.56</v>
      </c>
      <c r="T615">
        <v>9.6999999999999993</v>
      </c>
      <c r="U615">
        <v>23</v>
      </c>
      <c r="V615">
        <v>28</v>
      </c>
      <c r="W615">
        <v>3328</v>
      </c>
      <c r="X615" t="s">
        <v>188</v>
      </c>
      <c r="Y615" t="s">
        <v>36</v>
      </c>
      <c r="Z615">
        <v>130.08000000000001</v>
      </c>
    </row>
    <row r="616" spans="1:26" x14ac:dyDescent="0.25">
      <c r="A616">
        <v>100614</v>
      </c>
      <c r="B616" s="3">
        <v>45681</v>
      </c>
      <c r="C616" s="3">
        <v>45684</v>
      </c>
      <c r="D616" s="3">
        <v>45696</v>
      </c>
      <c r="E616" t="s">
        <v>1777</v>
      </c>
      <c r="F616" t="s">
        <v>65</v>
      </c>
      <c r="G616" t="s">
        <v>70</v>
      </c>
      <c r="H616" t="s">
        <v>1778</v>
      </c>
      <c r="I616" t="s">
        <v>41</v>
      </c>
      <c r="J616" t="s">
        <v>42</v>
      </c>
      <c r="K616" t="s">
        <v>1779</v>
      </c>
      <c r="L616" t="s">
        <v>212</v>
      </c>
      <c r="M616" t="s">
        <v>38</v>
      </c>
      <c r="N616" t="s">
        <v>33</v>
      </c>
      <c r="O616" t="s">
        <v>34</v>
      </c>
      <c r="P616" t="s">
        <v>123</v>
      </c>
      <c r="Q616">
        <v>219</v>
      </c>
      <c r="R616">
        <v>305.39999999999998</v>
      </c>
      <c r="S616">
        <v>66882.600000000006</v>
      </c>
      <c r="T616">
        <v>16.010000000000002</v>
      </c>
      <c r="U616">
        <v>12</v>
      </c>
      <c r="V616">
        <v>15</v>
      </c>
      <c r="W616">
        <v>1064</v>
      </c>
      <c r="X616" t="s">
        <v>188</v>
      </c>
      <c r="Y616" t="s">
        <v>36</v>
      </c>
      <c r="Z616">
        <v>11179.26</v>
      </c>
    </row>
    <row r="617" spans="1:26" x14ac:dyDescent="0.25">
      <c r="A617">
        <v>100615</v>
      </c>
      <c r="B617" s="3">
        <v>45881</v>
      </c>
      <c r="C617" s="3">
        <v>45884</v>
      </c>
      <c r="D617" s="3">
        <v>45893</v>
      </c>
      <c r="E617" t="s">
        <v>1780</v>
      </c>
      <c r="F617" t="s">
        <v>54</v>
      </c>
      <c r="G617" t="s">
        <v>193</v>
      </c>
      <c r="H617" t="s">
        <v>1781</v>
      </c>
      <c r="I617" t="s">
        <v>177</v>
      </c>
      <c r="J617" t="s">
        <v>29</v>
      </c>
      <c r="K617" t="s">
        <v>1782</v>
      </c>
      <c r="L617" t="s">
        <v>64</v>
      </c>
      <c r="M617" t="s">
        <v>25</v>
      </c>
      <c r="N617" t="s">
        <v>66</v>
      </c>
      <c r="O617" t="s">
        <v>67</v>
      </c>
      <c r="P617" t="s">
        <v>35</v>
      </c>
      <c r="Q617">
        <v>131</v>
      </c>
      <c r="R617">
        <v>20.65</v>
      </c>
      <c r="S617">
        <v>2705.15</v>
      </c>
      <c r="T617">
        <v>16.190000000000001</v>
      </c>
      <c r="U617">
        <v>9</v>
      </c>
      <c r="V617">
        <v>12</v>
      </c>
      <c r="W617">
        <v>2735</v>
      </c>
      <c r="X617" t="s">
        <v>188</v>
      </c>
      <c r="Y617" t="s">
        <v>36</v>
      </c>
      <c r="Z617">
        <v>501.09</v>
      </c>
    </row>
    <row r="618" spans="1:26" x14ac:dyDescent="0.25">
      <c r="A618">
        <v>100616</v>
      </c>
      <c r="B618" s="3">
        <v>45564</v>
      </c>
      <c r="C618" s="3">
        <v>45567</v>
      </c>
      <c r="D618" s="3">
        <v>45581</v>
      </c>
      <c r="E618" t="s">
        <v>1783</v>
      </c>
      <c r="F618" t="s">
        <v>38</v>
      </c>
      <c r="G618" t="s">
        <v>83</v>
      </c>
      <c r="H618" t="s">
        <v>1784</v>
      </c>
      <c r="I618" t="s">
        <v>368</v>
      </c>
      <c r="J618" t="s">
        <v>29</v>
      </c>
      <c r="K618" t="s">
        <v>1785</v>
      </c>
      <c r="L618" t="s">
        <v>91</v>
      </c>
      <c r="M618" t="s">
        <v>38</v>
      </c>
      <c r="N618" t="s">
        <v>74</v>
      </c>
      <c r="O618" t="s">
        <v>75</v>
      </c>
      <c r="P618" t="s">
        <v>123</v>
      </c>
      <c r="Q618">
        <v>120</v>
      </c>
      <c r="R618">
        <v>29.34</v>
      </c>
      <c r="S618">
        <v>3520.8</v>
      </c>
      <c r="T618">
        <v>10.08</v>
      </c>
      <c r="U618">
        <v>14</v>
      </c>
      <c r="V618">
        <v>17</v>
      </c>
      <c r="W618">
        <v>3310</v>
      </c>
      <c r="X618" t="s">
        <v>188</v>
      </c>
      <c r="Y618" t="s">
        <v>36</v>
      </c>
      <c r="Z618">
        <v>736.25</v>
      </c>
    </row>
    <row r="619" spans="1:26" x14ac:dyDescent="0.25">
      <c r="A619">
        <v>100617</v>
      </c>
      <c r="B619" s="3">
        <v>45985</v>
      </c>
      <c r="C619" s="3">
        <v>45985</v>
      </c>
      <c r="D619" s="3">
        <v>45990</v>
      </c>
      <c r="E619" t="s">
        <v>1786</v>
      </c>
      <c r="F619" t="s">
        <v>54</v>
      </c>
      <c r="G619" t="s">
        <v>193</v>
      </c>
      <c r="H619" t="s">
        <v>1787</v>
      </c>
      <c r="I619" t="s">
        <v>79</v>
      </c>
      <c r="J619" t="s">
        <v>80</v>
      </c>
      <c r="K619" t="s">
        <v>1788</v>
      </c>
      <c r="L619" t="s">
        <v>118</v>
      </c>
      <c r="M619" t="s">
        <v>54</v>
      </c>
      <c r="N619" t="s">
        <v>66</v>
      </c>
      <c r="O619" t="s">
        <v>67</v>
      </c>
      <c r="P619" t="s">
        <v>68</v>
      </c>
      <c r="Q619">
        <v>174</v>
      </c>
      <c r="R619">
        <v>277.51</v>
      </c>
      <c r="S619">
        <v>48286.74</v>
      </c>
      <c r="T619">
        <v>29.47</v>
      </c>
      <c r="U619">
        <v>5</v>
      </c>
      <c r="V619">
        <v>5</v>
      </c>
      <c r="W619">
        <v>1593</v>
      </c>
      <c r="X619" t="s">
        <v>3741</v>
      </c>
      <c r="Y619" t="s">
        <v>36</v>
      </c>
      <c r="Z619">
        <v>10678.13</v>
      </c>
    </row>
    <row r="620" spans="1:26" x14ac:dyDescent="0.25">
      <c r="A620">
        <v>100618</v>
      </c>
      <c r="B620" s="3">
        <v>45905</v>
      </c>
      <c r="C620" s="3">
        <v>45910</v>
      </c>
      <c r="D620" s="3">
        <v>45911</v>
      </c>
      <c r="E620" t="s">
        <v>1789</v>
      </c>
      <c r="F620" t="s">
        <v>38</v>
      </c>
      <c r="G620" t="s">
        <v>147</v>
      </c>
      <c r="H620" t="s">
        <v>1790</v>
      </c>
      <c r="I620" t="s">
        <v>207</v>
      </c>
      <c r="J620" t="s">
        <v>80</v>
      </c>
      <c r="K620" t="s">
        <v>1791</v>
      </c>
      <c r="L620" t="s">
        <v>98</v>
      </c>
      <c r="M620" t="s">
        <v>38</v>
      </c>
      <c r="N620" t="s">
        <v>74</v>
      </c>
      <c r="O620" t="s">
        <v>75</v>
      </c>
      <c r="P620" t="s">
        <v>68</v>
      </c>
      <c r="Q620">
        <v>232</v>
      </c>
      <c r="R620">
        <v>166.06</v>
      </c>
      <c r="S620">
        <v>38525.919999999998</v>
      </c>
      <c r="T620">
        <v>32.26</v>
      </c>
      <c r="U620">
        <v>1</v>
      </c>
      <c r="V620">
        <v>6</v>
      </c>
      <c r="W620">
        <v>336</v>
      </c>
      <c r="X620" t="s">
        <v>3741</v>
      </c>
      <c r="Y620" t="s">
        <v>36</v>
      </c>
      <c r="Z620">
        <v>10407.049999999999</v>
      </c>
    </row>
    <row r="621" spans="1:26" x14ac:dyDescent="0.25">
      <c r="A621">
        <v>100619</v>
      </c>
      <c r="B621" s="3">
        <v>45314</v>
      </c>
      <c r="C621" s="3">
        <v>45318</v>
      </c>
      <c r="D621" s="3">
        <v>45329</v>
      </c>
      <c r="E621" t="s">
        <v>1792</v>
      </c>
      <c r="F621" t="s">
        <v>32</v>
      </c>
      <c r="G621" t="s">
        <v>180</v>
      </c>
      <c r="H621" t="s">
        <v>1793</v>
      </c>
      <c r="I621" t="s">
        <v>126</v>
      </c>
      <c r="J621" t="s">
        <v>42</v>
      </c>
      <c r="K621" t="s">
        <v>1794</v>
      </c>
      <c r="L621" t="s">
        <v>113</v>
      </c>
      <c r="M621" t="s">
        <v>32</v>
      </c>
      <c r="N621" t="s">
        <v>33</v>
      </c>
      <c r="O621" t="s">
        <v>34</v>
      </c>
      <c r="P621" t="s">
        <v>123</v>
      </c>
      <c r="Q621">
        <v>322</v>
      </c>
      <c r="R621">
        <v>99.45</v>
      </c>
      <c r="S621">
        <v>32022.9</v>
      </c>
      <c r="T621">
        <v>13.72</v>
      </c>
      <c r="U621">
        <v>11</v>
      </c>
      <c r="V621">
        <v>15</v>
      </c>
      <c r="W621">
        <v>376</v>
      </c>
      <c r="X621" t="s">
        <v>188</v>
      </c>
      <c r="Y621" t="s">
        <v>36</v>
      </c>
      <c r="Z621">
        <v>3645.22</v>
      </c>
    </row>
    <row r="622" spans="1:26" x14ac:dyDescent="0.25">
      <c r="A622">
        <v>100620</v>
      </c>
      <c r="B622" s="3">
        <v>45656</v>
      </c>
      <c r="C622" s="3">
        <v>45657</v>
      </c>
      <c r="D622" s="3">
        <v>45672</v>
      </c>
      <c r="E622" t="s">
        <v>1795</v>
      </c>
      <c r="F622" t="s">
        <v>38</v>
      </c>
      <c r="G622" t="s">
        <v>39</v>
      </c>
      <c r="H622" t="s">
        <v>1796</v>
      </c>
      <c r="I622" t="s">
        <v>368</v>
      </c>
      <c r="J622" t="s">
        <v>29</v>
      </c>
      <c r="K622" t="s">
        <v>1435</v>
      </c>
      <c r="L622" t="s">
        <v>212</v>
      </c>
      <c r="M622" t="s">
        <v>25</v>
      </c>
      <c r="N622" t="s">
        <v>66</v>
      </c>
      <c r="O622" t="s">
        <v>67</v>
      </c>
      <c r="P622" t="s">
        <v>76</v>
      </c>
      <c r="Q622">
        <v>283</v>
      </c>
      <c r="R622">
        <v>71.77</v>
      </c>
      <c r="S622">
        <v>20310.91</v>
      </c>
      <c r="T622">
        <v>13.18</v>
      </c>
      <c r="U622">
        <v>15</v>
      </c>
      <c r="V622">
        <v>16</v>
      </c>
      <c r="W622">
        <v>2102</v>
      </c>
      <c r="X622" t="s">
        <v>3742</v>
      </c>
      <c r="Y622" t="s">
        <v>57</v>
      </c>
      <c r="Z622">
        <v>4227.24</v>
      </c>
    </row>
    <row r="623" spans="1:26" x14ac:dyDescent="0.25">
      <c r="A623">
        <v>100621</v>
      </c>
      <c r="B623" s="3">
        <v>45351</v>
      </c>
      <c r="C623" s="3">
        <v>45351</v>
      </c>
      <c r="D623" s="3">
        <v>45357</v>
      </c>
      <c r="E623" t="s">
        <v>1797</v>
      </c>
      <c r="F623" t="s">
        <v>25</v>
      </c>
      <c r="G623" t="s">
        <v>59</v>
      </c>
      <c r="H623" t="s">
        <v>1798</v>
      </c>
      <c r="I623" t="s">
        <v>126</v>
      </c>
      <c r="J623" t="s">
        <v>42</v>
      </c>
      <c r="K623" t="s">
        <v>81</v>
      </c>
      <c r="L623" t="s">
        <v>113</v>
      </c>
      <c r="M623" t="s">
        <v>38</v>
      </c>
      <c r="N623" t="s">
        <v>203</v>
      </c>
      <c r="O623" t="s">
        <v>204</v>
      </c>
      <c r="P623" t="s">
        <v>123</v>
      </c>
      <c r="Q623">
        <v>408</v>
      </c>
      <c r="R623">
        <v>437.56</v>
      </c>
      <c r="S623">
        <v>178524.48</v>
      </c>
      <c r="T623">
        <v>20.61</v>
      </c>
      <c r="U623">
        <v>6</v>
      </c>
      <c r="V623">
        <v>6</v>
      </c>
      <c r="W623">
        <v>1791</v>
      </c>
      <c r="X623" t="s">
        <v>3741</v>
      </c>
      <c r="Y623" t="s">
        <v>36</v>
      </c>
      <c r="Z623">
        <v>27556.18</v>
      </c>
    </row>
    <row r="624" spans="1:26" x14ac:dyDescent="0.25">
      <c r="A624">
        <v>100622</v>
      </c>
      <c r="B624" s="3">
        <v>45382</v>
      </c>
      <c r="C624" s="3">
        <v>45383</v>
      </c>
      <c r="D624" s="3">
        <v>45385</v>
      </c>
      <c r="E624" t="s">
        <v>1799</v>
      </c>
      <c r="F624" t="s">
        <v>25</v>
      </c>
      <c r="G624" t="s">
        <v>169</v>
      </c>
      <c r="H624" t="s">
        <v>1800</v>
      </c>
      <c r="I624" t="s">
        <v>238</v>
      </c>
      <c r="J624" t="s">
        <v>62</v>
      </c>
      <c r="K624" t="s">
        <v>1506</v>
      </c>
      <c r="L624" t="s">
        <v>44</v>
      </c>
      <c r="M624" t="s">
        <v>38</v>
      </c>
      <c r="N624" t="s">
        <v>151</v>
      </c>
      <c r="O624" t="s">
        <v>152</v>
      </c>
      <c r="P624" t="s">
        <v>35</v>
      </c>
      <c r="Q624">
        <v>315</v>
      </c>
      <c r="R624">
        <v>46.82</v>
      </c>
      <c r="S624">
        <v>14748.3</v>
      </c>
      <c r="T624">
        <v>21.4</v>
      </c>
      <c r="U624">
        <v>2</v>
      </c>
      <c r="V624">
        <v>3</v>
      </c>
      <c r="W624">
        <v>4790</v>
      </c>
      <c r="X624" t="s">
        <v>3741</v>
      </c>
      <c r="Y624" t="s">
        <v>36</v>
      </c>
      <c r="Z624">
        <v>264.87</v>
      </c>
    </row>
    <row r="625" spans="1:26" x14ac:dyDescent="0.25">
      <c r="A625">
        <v>100623</v>
      </c>
      <c r="B625" s="3">
        <v>45432</v>
      </c>
      <c r="C625" s="3">
        <v>45432</v>
      </c>
      <c r="D625" s="3">
        <v>45446</v>
      </c>
      <c r="E625" t="s">
        <v>1801</v>
      </c>
      <c r="F625" t="s">
        <v>54</v>
      </c>
      <c r="G625" t="s">
        <v>225</v>
      </c>
      <c r="H625" t="s">
        <v>1802</v>
      </c>
      <c r="I625" t="s">
        <v>134</v>
      </c>
      <c r="J625" t="s">
        <v>52</v>
      </c>
      <c r="K625" t="s">
        <v>1803</v>
      </c>
      <c r="L625" t="s">
        <v>212</v>
      </c>
      <c r="M625" t="s">
        <v>25</v>
      </c>
      <c r="N625" t="s">
        <v>66</v>
      </c>
      <c r="O625" t="s">
        <v>67</v>
      </c>
      <c r="P625" t="s">
        <v>123</v>
      </c>
      <c r="Q625">
        <v>223</v>
      </c>
      <c r="R625">
        <v>74.08</v>
      </c>
      <c r="S625">
        <v>16519.84</v>
      </c>
      <c r="T625">
        <v>16.11</v>
      </c>
      <c r="U625">
        <v>14</v>
      </c>
      <c r="V625">
        <v>14</v>
      </c>
      <c r="W625">
        <v>1081</v>
      </c>
      <c r="X625" t="s">
        <v>188</v>
      </c>
      <c r="Y625" t="s">
        <v>36</v>
      </c>
      <c r="Z625">
        <v>3063.75</v>
      </c>
    </row>
    <row r="626" spans="1:26" x14ac:dyDescent="0.25">
      <c r="A626">
        <v>100624</v>
      </c>
      <c r="B626" s="3">
        <v>45579</v>
      </c>
      <c r="C626" s="3">
        <v>45580</v>
      </c>
      <c r="D626" s="3">
        <v>45593</v>
      </c>
      <c r="E626" t="s">
        <v>1804</v>
      </c>
      <c r="F626" t="s">
        <v>54</v>
      </c>
      <c r="G626" t="s">
        <v>158</v>
      </c>
      <c r="H626" t="s">
        <v>1805</v>
      </c>
      <c r="I626" t="s">
        <v>116</v>
      </c>
      <c r="J626" t="s">
        <v>62</v>
      </c>
      <c r="K626" t="s">
        <v>1806</v>
      </c>
      <c r="L626" t="s">
        <v>98</v>
      </c>
      <c r="M626" t="s">
        <v>32</v>
      </c>
      <c r="N626" t="s">
        <v>151</v>
      </c>
      <c r="O626" t="s">
        <v>152</v>
      </c>
      <c r="P626" t="s">
        <v>123</v>
      </c>
      <c r="Q626">
        <v>406</v>
      </c>
      <c r="R626">
        <v>39.130000000000003</v>
      </c>
      <c r="S626">
        <v>15886.78</v>
      </c>
      <c r="T626">
        <v>20.56</v>
      </c>
      <c r="U626">
        <v>13</v>
      </c>
      <c r="V626">
        <v>14</v>
      </c>
      <c r="W626">
        <v>337</v>
      </c>
      <c r="X626" t="s">
        <v>3742</v>
      </c>
      <c r="Y626" t="s">
        <v>188</v>
      </c>
      <c r="Z626">
        <v>989.73</v>
      </c>
    </row>
    <row r="627" spans="1:26" x14ac:dyDescent="0.25">
      <c r="A627">
        <v>100625</v>
      </c>
      <c r="B627" s="3">
        <v>45648</v>
      </c>
      <c r="C627" s="3">
        <v>45648</v>
      </c>
      <c r="D627" s="3">
        <v>45671</v>
      </c>
      <c r="E627" t="s">
        <v>923</v>
      </c>
      <c r="F627" t="s">
        <v>38</v>
      </c>
      <c r="G627" t="s">
        <v>49</v>
      </c>
      <c r="H627" t="s">
        <v>1807</v>
      </c>
      <c r="I627" t="s">
        <v>139</v>
      </c>
      <c r="J627" t="s">
        <v>42</v>
      </c>
      <c r="K627" t="s">
        <v>1808</v>
      </c>
      <c r="L627" t="s">
        <v>31</v>
      </c>
      <c r="M627" t="s">
        <v>25</v>
      </c>
      <c r="N627" t="s">
        <v>66</v>
      </c>
      <c r="O627" t="s">
        <v>67</v>
      </c>
      <c r="P627" t="s">
        <v>76</v>
      </c>
      <c r="Q627">
        <v>65</v>
      </c>
      <c r="R627">
        <v>388.56</v>
      </c>
      <c r="S627">
        <v>25256.400000000001</v>
      </c>
      <c r="T627">
        <v>9.1999999999999993</v>
      </c>
      <c r="U627">
        <v>23</v>
      </c>
      <c r="V627">
        <v>23</v>
      </c>
      <c r="W627">
        <v>118</v>
      </c>
      <c r="X627" t="s">
        <v>188</v>
      </c>
      <c r="Y627" t="s">
        <v>36</v>
      </c>
      <c r="Z627">
        <v>2238.5</v>
      </c>
    </row>
    <row r="628" spans="1:26" x14ac:dyDescent="0.25">
      <c r="A628">
        <v>100626</v>
      </c>
      <c r="B628" s="3">
        <v>45781</v>
      </c>
      <c r="C628" s="3">
        <v>45782</v>
      </c>
      <c r="D628" s="3">
        <v>45786</v>
      </c>
      <c r="E628" t="s">
        <v>1809</v>
      </c>
      <c r="F628" t="s">
        <v>65</v>
      </c>
      <c r="G628" t="s">
        <v>154</v>
      </c>
      <c r="H628" t="s">
        <v>1810</v>
      </c>
      <c r="I628" t="s">
        <v>177</v>
      </c>
      <c r="J628" t="s">
        <v>29</v>
      </c>
      <c r="K628" t="s">
        <v>117</v>
      </c>
      <c r="L628" t="s">
        <v>91</v>
      </c>
      <c r="M628" t="s">
        <v>38</v>
      </c>
      <c r="N628" t="s">
        <v>45</v>
      </c>
      <c r="O628" t="s">
        <v>46</v>
      </c>
      <c r="P628" t="s">
        <v>35</v>
      </c>
      <c r="Q628">
        <v>338</v>
      </c>
      <c r="R628">
        <v>24.19</v>
      </c>
      <c r="S628">
        <v>8176.22</v>
      </c>
      <c r="T628">
        <v>22.06</v>
      </c>
      <c r="U628">
        <v>4</v>
      </c>
      <c r="V628">
        <v>5</v>
      </c>
      <c r="W628">
        <v>2129</v>
      </c>
      <c r="X628" t="s">
        <v>3741</v>
      </c>
      <c r="Y628" t="s">
        <v>36</v>
      </c>
      <c r="Z628">
        <v>1891.13</v>
      </c>
    </row>
    <row r="629" spans="1:26" x14ac:dyDescent="0.25">
      <c r="A629">
        <v>100627</v>
      </c>
      <c r="B629" s="3">
        <v>45725</v>
      </c>
      <c r="C629" s="3">
        <v>45727</v>
      </c>
      <c r="D629" s="3">
        <v>45737</v>
      </c>
      <c r="E629" t="s">
        <v>1811</v>
      </c>
      <c r="F629" t="s">
        <v>25</v>
      </c>
      <c r="G629" t="s">
        <v>172</v>
      </c>
      <c r="H629" t="s">
        <v>1812</v>
      </c>
      <c r="I629" t="s">
        <v>134</v>
      </c>
      <c r="J629" t="s">
        <v>52</v>
      </c>
      <c r="K629" t="s">
        <v>1355</v>
      </c>
      <c r="L629" t="s">
        <v>118</v>
      </c>
      <c r="M629" t="s">
        <v>38</v>
      </c>
      <c r="N629" t="s">
        <v>74</v>
      </c>
      <c r="O629" t="s">
        <v>75</v>
      </c>
      <c r="P629" t="s">
        <v>35</v>
      </c>
      <c r="Q629">
        <v>280</v>
      </c>
      <c r="R629">
        <v>71.2</v>
      </c>
      <c r="S629">
        <v>19936</v>
      </c>
      <c r="T629">
        <v>20.41</v>
      </c>
      <c r="U629">
        <v>10</v>
      </c>
      <c r="V629">
        <v>12</v>
      </c>
      <c r="W629">
        <v>446</v>
      </c>
      <c r="X629" t="s">
        <v>3742</v>
      </c>
      <c r="Y629" t="s">
        <v>47</v>
      </c>
      <c r="Z629">
        <v>-155.63999999999999</v>
      </c>
    </row>
    <row r="630" spans="1:26" x14ac:dyDescent="0.25">
      <c r="A630">
        <v>100628</v>
      </c>
      <c r="B630" s="3">
        <v>45356</v>
      </c>
      <c r="C630" s="3">
        <v>45356</v>
      </c>
      <c r="D630" s="3">
        <v>45360</v>
      </c>
      <c r="E630" t="s">
        <v>1813</v>
      </c>
      <c r="F630" t="s">
        <v>65</v>
      </c>
      <c r="G630" t="s">
        <v>70</v>
      </c>
      <c r="H630" t="s">
        <v>1814</v>
      </c>
      <c r="I630" t="s">
        <v>85</v>
      </c>
      <c r="J630" t="s">
        <v>52</v>
      </c>
      <c r="K630" t="s">
        <v>1752</v>
      </c>
      <c r="L630" t="s">
        <v>113</v>
      </c>
      <c r="M630" t="s">
        <v>54</v>
      </c>
      <c r="N630" t="s">
        <v>55</v>
      </c>
      <c r="O630" t="s">
        <v>56</v>
      </c>
      <c r="P630" t="s">
        <v>68</v>
      </c>
      <c r="Q630">
        <v>316</v>
      </c>
      <c r="R630">
        <v>23.89</v>
      </c>
      <c r="S630">
        <v>7549.24</v>
      </c>
      <c r="T630">
        <v>48.99</v>
      </c>
      <c r="U630">
        <v>4</v>
      </c>
      <c r="V630">
        <v>4</v>
      </c>
      <c r="W630">
        <v>2308</v>
      </c>
      <c r="X630" t="s">
        <v>3741</v>
      </c>
      <c r="Y630" t="s">
        <v>36</v>
      </c>
      <c r="Z630">
        <v>1042.28</v>
      </c>
    </row>
    <row r="631" spans="1:26" x14ac:dyDescent="0.25">
      <c r="A631">
        <v>100629</v>
      </c>
      <c r="B631" s="3">
        <v>45528</v>
      </c>
      <c r="C631" s="3">
        <v>45530</v>
      </c>
      <c r="D631" s="3">
        <v>45542</v>
      </c>
      <c r="E631" t="s">
        <v>1795</v>
      </c>
      <c r="F631" t="s">
        <v>65</v>
      </c>
      <c r="G631" t="s">
        <v>70</v>
      </c>
      <c r="H631" t="s">
        <v>1815</v>
      </c>
      <c r="I631" t="s">
        <v>79</v>
      </c>
      <c r="J631" t="s">
        <v>80</v>
      </c>
      <c r="K631" t="s">
        <v>1365</v>
      </c>
      <c r="L631" t="s">
        <v>44</v>
      </c>
      <c r="M631" t="s">
        <v>38</v>
      </c>
      <c r="N631" t="s">
        <v>33</v>
      </c>
      <c r="O631" t="s">
        <v>34</v>
      </c>
      <c r="P631" t="s">
        <v>35</v>
      </c>
      <c r="Q631">
        <v>256</v>
      </c>
      <c r="R631">
        <v>337.78</v>
      </c>
      <c r="S631">
        <v>86471.679999999993</v>
      </c>
      <c r="T631">
        <v>19.73</v>
      </c>
      <c r="U631">
        <v>12</v>
      </c>
      <c r="V631">
        <v>14</v>
      </c>
      <c r="W631">
        <v>161</v>
      </c>
      <c r="X631" t="s">
        <v>3742</v>
      </c>
      <c r="Y631" t="s">
        <v>188</v>
      </c>
      <c r="Z631">
        <v>21836.1</v>
      </c>
    </row>
    <row r="632" spans="1:26" x14ac:dyDescent="0.25">
      <c r="A632">
        <v>100630</v>
      </c>
      <c r="B632" s="3">
        <v>45308</v>
      </c>
      <c r="C632" s="3">
        <v>45312</v>
      </c>
      <c r="D632" s="3">
        <v>45315</v>
      </c>
      <c r="E632" t="s">
        <v>1816</v>
      </c>
      <c r="F632" t="s">
        <v>65</v>
      </c>
      <c r="G632" t="s">
        <v>70</v>
      </c>
      <c r="H632" t="s">
        <v>1817</v>
      </c>
      <c r="I632" t="s">
        <v>134</v>
      </c>
      <c r="J632" t="s">
        <v>52</v>
      </c>
      <c r="K632" t="s">
        <v>596</v>
      </c>
      <c r="L632" t="s">
        <v>118</v>
      </c>
      <c r="M632" t="s">
        <v>38</v>
      </c>
      <c r="N632" t="s">
        <v>107</v>
      </c>
      <c r="O632" t="s">
        <v>108</v>
      </c>
      <c r="P632" t="s">
        <v>68</v>
      </c>
      <c r="Q632">
        <v>52</v>
      </c>
      <c r="R632">
        <v>71.739999999999995</v>
      </c>
      <c r="S632">
        <v>3730.48</v>
      </c>
      <c r="T632">
        <v>31.88</v>
      </c>
      <c r="U632">
        <v>3</v>
      </c>
      <c r="V632">
        <v>7</v>
      </c>
      <c r="W632">
        <v>1772</v>
      </c>
      <c r="X632" t="s">
        <v>3742</v>
      </c>
      <c r="Y632" t="s">
        <v>57</v>
      </c>
      <c r="Z632">
        <v>307.89999999999998</v>
      </c>
    </row>
    <row r="633" spans="1:26" x14ac:dyDescent="0.25">
      <c r="A633">
        <v>100631</v>
      </c>
      <c r="B633" s="3">
        <v>45438</v>
      </c>
      <c r="C633" s="3">
        <v>45439</v>
      </c>
      <c r="D633" s="3">
        <v>45443</v>
      </c>
      <c r="E633" t="s">
        <v>1818</v>
      </c>
      <c r="F633" t="s">
        <v>54</v>
      </c>
      <c r="G633" t="s">
        <v>225</v>
      </c>
      <c r="H633" t="s">
        <v>1819</v>
      </c>
      <c r="I633" t="s">
        <v>230</v>
      </c>
      <c r="J633" t="s">
        <v>80</v>
      </c>
      <c r="K633" t="s">
        <v>1051</v>
      </c>
      <c r="L633" t="s">
        <v>64</v>
      </c>
      <c r="M633" t="s">
        <v>54</v>
      </c>
      <c r="N633" t="s">
        <v>92</v>
      </c>
      <c r="O633" t="s">
        <v>93</v>
      </c>
      <c r="P633" t="s">
        <v>123</v>
      </c>
      <c r="Q633">
        <v>165</v>
      </c>
      <c r="R633">
        <v>180.69</v>
      </c>
      <c r="S633">
        <v>29813.85</v>
      </c>
      <c r="T633">
        <v>10.89</v>
      </c>
      <c r="U633">
        <v>4</v>
      </c>
      <c r="V633">
        <v>5</v>
      </c>
      <c r="W633">
        <v>1494</v>
      </c>
      <c r="X633" t="s">
        <v>3741</v>
      </c>
      <c r="Y633" t="s">
        <v>36</v>
      </c>
      <c r="Z633">
        <v>4302.09</v>
      </c>
    </row>
    <row r="634" spans="1:26" x14ac:dyDescent="0.25">
      <c r="A634">
        <v>100632</v>
      </c>
      <c r="B634" s="3">
        <v>45750</v>
      </c>
      <c r="C634" s="3">
        <v>45754</v>
      </c>
      <c r="D634" s="3">
        <v>45757</v>
      </c>
      <c r="E634" t="s">
        <v>1820</v>
      </c>
      <c r="F634" t="s">
        <v>54</v>
      </c>
      <c r="G634" t="s">
        <v>158</v>
      </c>
      <c r="H634" t="s">
        <v>1821</v>
      </c>
      <c r="I634" t="s">
        <v>246</v>
      </c>
      <c r="J634" t="s">
        <v>29</v>
      </c>
      <c r="K634" t="s">
        <v>183</v>
      </c>
      <c r="L634" t="s">
        <v>91</v>
      </c>
      <c r="M634" t="s">
        <v>32</v>
      </c>
      <c r="N634" t="s">
        <v>45</v>
      </c>
      <c r="O634" t="s">
        <v>46</v>
      </c>
      <c r="P634" t="s">
        <v>35</v>
      </c>
      <c r="Q634">
        <v>179</v>
      </c>
      <c r="R634">
        <v>42.82</v>
      </c>
      <c r="S634">
        <v>7664.78</v>
      </c>
      <c r="T634">
        <v>17.55</v>
      </c>
      <c r="U634">
        <v>3</v>
      </c>
      <c r="V634">
        <v>7</v>
      </c>
      <c r="W634">
        <v>2534</v>
      </c>
      <c r="X634" t="s">
        <v>3741</v>
      </c>
      <c r="Y634" t="s">
        <v>36</v>
      </c>
      <c r="Z634">
        <v>1366.38</v>
      </c>
    </row>
    <row r="635" spans="1:26" x14ac:dyDescent="0.25">
      <c r="A635">
        <v>100633</v>
      </c>
      <c r="B635" s="3">
        <v>45857</v>
      </c>
      <c r="C635" s="3">
        <v>45862</v>
      </c>
      <c r="D635" s="3">
        <v>45864</v>
      </c>
      <c r="E635" t="s">
        <v>1822</v>
      </c>
      <c r="F635" t="s">
        <v>54</v>
      </c>
      <c r="G635" t="s">
        <v>165</v>
      </c>
      <c r="H635" t="s">
        <v>1823</v>
      </c>
      <c r="I635" t="s">
        <v>144</v>
      </c>
      <c r="J635" t="s">
        <v>52</v>
      </c>
      <c r="K635" t="s">
        <v>121</v>
      </c>
      <c r="L635" t="s">
        <v>187</v>
      </c>
      <c r="M635" t="s">
        <v>65</v>
      </c>
      <c r="N635" t="s">
        <v>45</v>
      </c>
      <c r="O635" t="s">
        <v>46</v>
      </c>
      <c r="P635" t="s">
        <v>68</v>
      </c>
      <c r="Q635">
        <v>40</v>
      </c>
      <c r="R635">
        <v>15.77</v>
      </c>
      <c r="S635">
        <v>630.79999999999995</v>
      </c>
      <c r="T635">
        <v>31.1</v>
      </c>
      <c r="U635">
        <v>2</v>
      </c>
      <c r="V635">
        <v>7</v>
      </c>
      <c r="W635">
        <v>3351</v>
      </c>
      <c r="X635" t="s">
        <v>3742</v>
      </c>
      <c r="Y635" t="s">
        <v>47</v>
      </c>
      <c r="Z635">
        <v>-29.22</v>
      </c>
    </row>
    <row r="636" spans="1:26" x14ac:dyDescent="0.25">
      <c r="A636">
        <v>100634</v>
      </c>
      <c r="B636" s="3">
        <v>45979</v>
      </c>
      <c r="C636" s="3">
        <v>45984</v>
      </c>
      <c r="D636" s="3">
        <v>45988</v>
      </c>
      <c r="E636" t="s">
        <v>1824</v>
      </c>
      <c r="F636" t="s">
        <v>25</v>
      </c>
      <c r="G636" t="s">
        <v>233</v>
      </c>
      <c r="H636" t="s">
        <v>1825</v>
      </c>
      <c r="I636" t="s">
        <v>246</v>
      </c>
      <c r="J636" t="s">
        <v>29</v>
      </c>
      <c r="K636" t="s">
        <v>1826</v>
      </c>
      <c r="L636" t="s">
        <v>118</v>
      </c>
      <c r="M636" t="s">
        <v>32</v>
      </c>
      <c r="N636" t="s">
        <v>92</v>
      </c>
      <c r="O636" t="s">
        <v>93</v>
      </c>
      <c r="P636" t="s">
        <v>68</v>
      </c>
      <c r="Q636">
        <v>483</v>
      </c>
      <c r="R636">
        <v>85.46</v>
      </c>
      <c r="S636">
        <v>41277.18</v>
      </c>
      <c r="T636">
        <v>59.81</v>
      </c>
      <c r="U636">
        <v>4</v>
      </c>
      <c r="V636">
        <v>9</v>
      </c>
      <c r="W636">
        <v>990</v>
      </c>
      <c r="X636" t="s">
        <v>188</v>
      </c>
      <c r="Y636" t="s">
        <v>36</v>
      </c>
      <c r="Z636">
        <v>8793.3799999999992</v>
      </c>
    </row>
    <row r="637" spans="1:26" x14ac:dyDescent="0.25">
      <c r="A637">
        <v>100635</v>
      </c>
      <c r="B637" s="3">
        <v>45526</v>
      </c>
      <c r="C637" s="3">
        <v>45529</v>
      </c>
      <c r="D637" s="3">
        <v>45532</v>
      </c>
      <c r="E637" t="s">
        <v>1827</v>
      </c>
      <c r="F637" t="s">
        <v>65</v>
      </c>
      <c r="G637" t="s">
        <v>70</v>
      </c>
      <c r="H637" t="s">
        <v>1828</v>
      </c>
      <c r="I637" t="s">
        <v>134</v>
      </c>
      <c r="J637" t="s">
        <v>52</v>
      </c>
      <c r="K637" t="s">
        <v>1829</v>
      </c>
      <c r="L637" t="s">
        <v>122</v>
      </c>
      <c r="M637" t="s">
        <v>32</v>
      </c>
      <c r="N637" t="s">
        <v>92</v>
      </c>
      <c r="O637" t="s">
        <v>93</v>
      </c>
      <c r="P637" t="s">
        <v>68</v>
      </c>
      <c r="Q637">
        <v>432</v>
      </c>
      <c r="R637">
        <v>42.78</v>
      </c>
      <c r="S637">
        <v>18480.96</v>
      </c>
      <c r="T637">
        <v>56.51</v>
      </c>
      <c r="U637">
        <v>3</v>
      </c>
      <c r="V637">
        <v>6</v>
      </c>
      <c r="W637">
        <v>756</v>
      </c>
      <c r="X637" t="s">
        <v>3741</v>
      </c>
      <c r="Y637" t="s">
        <v>36</v>
      </c>
      <c r="Z637">
        <v>2403</v>
      </c>
    </row>
    <row r="638" spans="1:26" x14ac:dyDescent="0.25">
      <c r="A638">
        <v>100636</v>
      </c>
      <c r="B638" s="3">
        <v>45358</v>
      </c>
      <c r="C638" s="3">
        <v>45362</v>
      </c>
      <c r="D638" s="3">
        <v>45375</v>
      </c>
      <c r="E638" t="s">
        <v>1830</v>
      </c>
      <c r="F638" t="s">
        <v>32</v>
      </c>
      <c r="G638" t="s">
        <v>255</v>
      </c>
      <c r="H638" t="s">
        <v>1831</v>
      </c>
      <c r="I638" t="s">
        <v>238</v>
      </c>
      <c r="J638" t="s">
        <v>62</v>
      </c>
      <c r="K638" t="s">
        <v>1832</v>
      </c>
      <c r="L638" t="s">
        <v>31</v>
      </c>
      <c r="M638" t="s">
        <v>32</v>
      </c>
      <c r="N638" t="s">
        <v>45</v>
      </c>
      <c r="O638" t="s">
        <v>46</v>
      </c>
      <c r="P638" t="s">
        <v>76</v>
      </c>
      <c r="Q638">
        <v>77</v>
      </c>
      <c r="R638">
        <v>22.57</v>
      </c>
      <c r="S638">
        <v>1737.89</v>
      </c>
      <c r="T638">
        <v>6.98</v>
      </c>
      <c r="U638">
        <v>13</v>
      </c>
      <c r="V638">
        <v>17</v>
      </c>
      <c r="W638">
        <v>1374</v>
      </c>
      <c r="X638" t="s">
        <v>3742</v>
      </c>
      <c r="Y638" t="s">
        <v>188</v>
      </c>
      <c r="Z638">
        <v>199.01</v>
      </c>
    </row>
    <row r="639" spans="1:26" x14ac:dyDescent="0.25">
      <c r="A639">
        <v>100637</v>
      </c>
      <c r="B639" s="3">
        <v>45877</v>
      </c>
      <c r="C639" s="3">
        <v>45878</v>
      </c>
      <c r="D639" s="3">
        <v>45895</v>
      </c>
      <c r="E639" t="s">
        <v>1833</v>
      </c>
      <c r="F639" t="s">
        <v>38</v>
      </c>
      <c r="G639" t="s">
        <v>83</v>
      </c>
      <c r="H639" t="s">
        <v>1834</v>
      </c>
      <c r="I639" t="s">
        <v>89</v>
      </c>
      <c r="J639" t="s">
        <v>62</v>
      </c>
      <c r="K639" t="s">
        <v>1835</v>
      </c>
      <c r="L639" t="s">
        <v>44</v>
      </c>
      <c r="M639" t="s">
        <v>25</v>
      </c>
      <c r="N639" t="s">
        <v>92</v>
      </c>
      <c r="O639" t="s">
        <v>93</v>
      </c>
      <c r="P639" t="s">
        <v>76</v>
      </c>
      <c r="Q639">
        <v>195</v>
      </c>
      <c r="R639">
        <v>14.47</v>
      </c>
      <c r="S639">
        <v>2821.65</v>
      </c>
      <c r="T639">
        <v>11.57</v>
      </c>
      <c r="U639">
        <v>17</v>
      </c>
      <c r="V639">
        <v>18</v>
      </c>
      <c r="W639">
        <v>2839</v>
      </c>
      <c r="X639" t="s">
        <v>188</v>
      </c>
      <c r="Y639" t="s">
        <v>36</v>
      </c>
      <c r="Z639">
        <v>127.8</v>
      </c>
    </row>
    <row r="640" spans="1:26" x14ac:dyDescent="0.25">
      <c r="A640">
        <v>100638</v>
      </c>
      <c r="B640" s="3">
        <v>45679</v>
      </c>
      <c r="C640" s="3">
        <v>45679</v>
      </c>
      <c r="D640" s="3">
        <v>45682</v>
      </c>
      <c r="E640" t="s">
        <v>992</v>
      </c>
      <c r="F640" t="s">
        <v>38</v>
      </c>
      <c r="G640" t="s">
        <v>217</v>
      </c>
      <c r="H640" t="s">
        <v>1836</v>
      </c>
      <c r="I640" t="s">
        <v>207</v>
      </c>
      <c r="J640" t="s">
        <v>80</v>
      </c>
      <c r="K640" t="s">
        <v>1837</v>
      </c>
      <c r="L640" t="s">
        <v>212</v>
      </c>
      <c r="M640" t="s">
        <v>65</v>
      </c>
      <c r="N640" t="s">
        <v>92</v>
      </c>
      <c r="O640" t="s">
        <v>93</v>
      </c>
      <c r="P640" t="s">
        <v>35</v>
      </c>
      <c r="Q640">
        <v>461</v>
      </c>
      <c r="R640">
        <v>241.76</v>
      </c>
      <c r="S640">
        <v>111451.36</v>
      </c>
      <c r="T640">
        <v>25.54</v>
      </c>
      <c r="U640">
        <v>3</v>
      </c>
      <c r="V640">
        <v>3</v>
      </c>
      <c r="W640">
        <v>1808</v>
      </c>
      <c r="X640" t="s">
        <v>3741</v>
      </c>
      <c r="Y640" t="s">
        <v>36</v>
      </c>
      <c r="Z640">
        <v>18125.400000000001</v>
      </c>
    </row>
    <row r="641" spans="1:26" x14ac:dyDescent="0.25">
      <c r="A641">
        <v>100639</v>
      </c>
      <c r="B641" s="3">
        <v>45832</v>
      </c>
      <c r="C641" s="3">
        <v>45835</v>
      </c>
      <c r="D641" s="3">
        <v>45838</v>
      </c>
      <c r="E641" t="s">
        <v>1838</v>
      </c>
      <c r="F641" t="s">
        <v>54</v>
      </c>
      <c r="G641" t="s">
        <v>193</v>
      </c>
      <c r="H641" t="s">
        <v>1839</v>
      </c>
      <c r="I641" t="s">
        <v>134</v>
      </c>
      <c r="J641" t="s">
        <v>52</v>
      </c>
      <c r="K641" t="s">
        <v>1840</v>
      </c>
      <c r="L641" t="s">
        <v>91</v>
      </c>
      <c r="M641" t="s">
        <v>32</v>
      </c>
      <c r="N641" t="s">
        <v>55</v>
      </c>
      <c r="O641" t="s">
        <v>56</v>
      </c>
      <c r="P641" t="s">
        <v>68</v>
      </c>
      <c r="Q641">
        <v>343</v>
      </c>
      <c r="R641">
        <v>58.1</v>
      </c>
      <c r="S641">
        <v>19928.3</v>
      </c>
      <c r="T641">
        <v>50.74</v>
      </c>
      <c r="U641">
        <v>3</v>
      </c>
      <c r="V641">
        <v>6</v>
      </c>
      <c r="W641">
        <v>4439</v>
      </c>
      <c r="X641" t="s">
        <v>3741</v>
      </c>
      <c r="Y641" t="s">
        <v>36</v>
      </c>
      <c r="Z641">
        <v>3505.98</v>
      </c>
    </row>
    <row r="642" spans="1:26" x14ac:dyDescent="0.25">
      <c r="A642">
        <v>100640</v>
      </c>
      <c r="B642" s="3">
        <v>45714</v>
      </c>
      <c r="C642" s="3">
        <v>45714</v>
      </c>
      <c r="D642" s="3">
        <v>45724</v>
      </c>
      <c r="E642" t="s">
        <v>1841</v>
      </c>
      <c r="F642" t="s">
        <v>25</v>
      </c>
      <c r="G642" t="s">
        <v>221</v>
      </c>
      <c r="H642" t="s">
        <v>1842</v>
      </c>
      <c r="I642" t="s">
        <v>182</v>
      </c>
      <c r="J642" t="s">
        <v>80</v>
      </c>
      <c r="K642" t="s">
        <v>1843</v>
      </c>
      <c r="L642" t="s">
        <v>118</v>
      </c>
      <c r="M642" t="s">
        <v>25</v>
      </c>
      <c r="N642" t="s">
        <v>102</v>
      </c>
      <c r="O642" t="s">
        <v>103</v>
      </c>
      <c r="P642" t="s">
        <v>76</v>
      </c>
      <c r="Q642">
        <v>482</v>
      </c>
      <c r="R642">
        <v>220.6</v>
      </c>
      <c r="S642">
        <v>106329.2</v>
      </c>
      <c r="T642">
        <v>12.45</v>
      </c>
      <c r="U642">
        <v>10</v>
      </c>
      <c r="V642">
        <v>10</v>
      </c>
      <c r="W642">
        <v>914</v>
      </c>
      <c r="X642" t="s">
        <v>188</v>
      </c>
      <c r="Y642" t="s">
        <v>36</v>
      </c>
      <c r="Z642">
        <v>12964.23</v>
      </c>
    </row>
    <row r="643" spans="1:26" x14ac:dyDescent="0.25">
      <c r="A643">
        <v>100641</v>
      </c>
      <c r="B643" s="3">
        <v>45678</v>
      </c>
      <c r="C643" s="3">
        <v>45680</v>
      </c>
      <c r="D643" s="3">
        <v>45684</v>
      </c>
      <c r="E643" t="s">
        <v>1844</v>
      </c>
      <c r="F643" t="s">
        <v>54</v>
      </c>
      <c r="G643" t="s">
        <v>193</v>
      </c>
      <c r="H643" t="s">
        <v>1845</v>
      </c>
      <c r="I643" t="s">
        <v>416</v>
      </c>
      <c r="J643" t="s">
        <v>80</v>
      </c>
      <c r="K643" t="s">
        <v>1846</v>
      </c>
      <c r="L643" t="s">
        <v>118</v>
      </c>
      <c r="M643" t="s">
        <v>54</v>
      </c>
      <c r="N643" t="s">
        <v>74</v>
      </c>
      <c r="O643" t="s">
        <v>75</v>
      </c>
      <c r="P643" t="s">
        <v>68</v>
      </c>
      <c r="Q643">
        <v>118</v>
      </c>
      <c r="R643">
        <v>165.13</v>
      </c>
      <c r="S643">
        <v>19485.34</v>
      </c>
      <c r="T643">
        <v>26.78</v>
      </c>
      <c r="U643">
        <v>4</v>
      </c>
      <c r="V643">
        <v>6</v>
      </c>
      <c r="W643">
        <v>1654</v>
      </c>
      <c r="X643" t="s">
        <v>3741</v>
      </c>
      <c r="Y643" t="s">
        <v>36</v>
      </c>
      <c r="Z643">
        <v>5221.26</v>
      </c>
    </row>
    <row r="644" spans="1:26" x14ac:dyDescent="0.25">
      <c r="A644">
        <v>100642</v>
      </c>
      <c r="B644" s="3">
        <v>45784</v>
      </c>
      <c r="C644" s="3">
        <v>45788</v>
      </c>
      <c r="D644" s="3">
        <v>45796</v>
      </c>
      <c r="E644" t="s">
        <v>1847</v>
      </c>
      <c r="F644" t="s">
        <v>25</v>
      </c>
      <c r="G644" t="s">
        <v>26</v>
      </c>
      <c r="H644" t="s">
        <v>1848</v>
      </c>
      <c r="I644" t="s">
        <v>61</v>
      </c>
      <c r="J644" t="s">
        <v>62</v>
      </c>
      <c r="K644" t="s">
        <v>1543</v>
      </c>
      <c r="L644" t="s">
        <v>212</v>
      </c>
      <c r="M644" t="s">
        <v>25</v>
      </c>
      <c r="N644" t="s">
        <v>74</v>
      </c>
      <c r="O644" t="s">
        <v>75</v>
      </c>
      <c r="P644" t="s">
        <v>35</v>
      </c>
      <c r="Q644">
        <v>106</v>
      </c>
      <c r="R644">
        <v>43.26</v>
      </c>
      <c r="S644">
        <v>4585.5600000000004</v>
      </c>
      <c r="T644">
        <v>11.47</v>
      </c>
      <c r="U644">
        <v>8</v>
      </c>
      <c r="V644">
        <v>12</v>
      </c>
      <c r="W644">
        <v>2803</v>
      </c>
      <c r="X644" t="s">
        <v>188</v>
      </c>
      <c r="Y644" t="s">
        <v>36</v>
      </c>
      <c r="Z644">
        <v>796.95</v>
      </c>
    </row>
    <row r="645" spans="1:26" x14ac:dyDescent="0.25">
      <c r="A645">
        <v>100643</v>
      </c>
      <c r="B645" s="3">
        <v>45773</v>
      </c>
      <c r="C645" s="3">
        <v>45774</v>
      </c>
      <c r="D645" s="3">
        <v>45776</v>
      </c>
      <c r="E645" t="s">
        <v>1849</v>
      </c>
      <c r="F645" t="s">
        <v>38</v>
      </c>
      <c r="G645" t="s">
        <v>83</v>
      </c>
      <c r="H645" t="s">
        <v>1850</v>
      </c>
      <c r="I645" t="s">
        <v>116</v>
      </c>
      <c r="J645" t="s">
        <v>62</v>
      </c>
      <c r="K645" t="s">
        <v>1851</v>
      </c>
      <c r="L645" t="s">
        <v>98</v>
      </c>
      <c r="M645" t="s">
        <v>32</v>
      </c>
      <c r="N645" t="s">
        <v>107</v>
      </c>
      <c r="O645" t="s">
        <v>108</v>
      </c>
      <c r="P645" t="s">
        <v>68</v>
      </c>
      <c r="Q645">
        <v>209</v>
      </c>
      <c r="R645">
        <v>42.66</v>
      </c>
      <c r="S645">
        <v>8915.94</v>
      </c>
      <c r="T645">
        <v>42.06</v>
      </c>
      <c r="U645">
        <v>2</v>
      </c>
      <c r="V645">
        <v>3</v>
      </c>
      <c r="W645">
        <v>1216</v>
      </c>
      <c r="X645" t="s">
        <v>3741</v>
      </c>
      <c r="Y645" t="s">
        <v>36</v>
      </c>
      <c r="Z645">
        <v>1518.3</v>
      </c>
    </row>
    <row r="646" spans="1:26" x14ac:dyDescent="0.25">
      <c r="A646">
        <v>100644</v>
      </c>
      <c r="B646" s="3">
        <v>45373</v>
      </c>
      <c r="C646" s="3">
        <v>45378</v>
      </c>
      <c r="D646" s="3">
        <v>45385</v>
      </c>
      <c r="E646" t="s">
        <v>1852</v>
      </c>
      <c r="F646" t="s">
        <v>38</v>
      </c>
      <c r="G646" t="s">
        <v>83</v>
      </c>
      <c r="H646" t="s">
        <v>1853</v>
      </c>
      <c r="I646" t="s">
        <v>28</v>
      </c>
      <c r="J646" t="s">
        <v>29</v>
      </c>
      <c r="K646" t="s">
        <v>1854</v>
      </c>
      <c r="L646" t="s">
        <v>113</v>
      </c>
      <c r="M646" t="s">
        <v>54</v>
      </c>
      <c r="N646" t="s">
        <v>45</v>
      </c>
      <c r="O646" t="s">
        <v>46</v>
      </c>
      <c r="P646" t="s">
        <v>123</v>
      </c>
      <c r="Q646">
        <v>140</v>
      </c>
      <c r="R646">
        <v>45.71</v>
      </c>
      <c r="S646">
        <v>6399.4</v>
      </c>
      <c r="T646">
        <v>14.09</v>
      </c>
      <c r="U646">
        <v>7</v>
      </c>
      <c r="V646">
        <v>12</v>
      </c>
      <c r="W646">
        <v>1391</v>
      </c>
      <c r="X646" t="s">
        <v>188</v>
      </c>
      <c r="Y646" t="s">
        <v>36</v>
      </c>
      <c r="Z646">
        <v>1558.39</v>
      </c>
    </row>
    <row r="647" spans="1:26" x14ac:dyDescent="0.25">
      <c r="A647">
        <v>100645</v>
      </c>
      <c r="B647" s="3">
        <v>45678</v>
      </c>
      <c r="C647" s="3">
        <v>45679</v>
      </c>
      <c r="D647" s="3">
        <v>45683</v>
      </c>
      <c r="E647" t="s">
        <v>1855</v>
      </c>
      <c r="F647" t="s">
        <v>65</v>
      </c>
      <c r="G647" t="s">
        <v>154</v>
      </c>
      <c r="H647" t="s">
        <v>1856</v>
      </c>
      <c r="I647" t="s">
        <v>207</v>
      </c>
      <c r="J647" t="s">
        <v>80</v>
      </c>
      <c r="K647" t="s">
        <v>291</v>
      </c>
      <c r="L647" t="s">
        <v>113</v>
      </c>
      <c r="M647" t="s">
        <v>32</v>
      </c>
      <c r="N647" t="s">
        <v>55</v>
      </c>
      <c r="O647" t="s">
        <v>56</v>
      </c>
      <c r="P647" t="s">
        <v>123</v>
      </c>
      <c r="Q647">
        <v>136</v>
      </c>
      <c r="R647">
        <v>159.09</v>
      </c>
      <c r="S647">
        <v>21636.240000000002</v>
      </c>
      <c r="T647">
        <v>14</v>
      </c>
      <c r="U647">
        <v>4</v>
      </c>
      <c r="V647">
        <v>5</v>
      </c>
      <c r="W647">
        <v>967</v>
      </c>
      <c r="X647" t="s">
        <v>3741</v>
      </c>
      <c r="Y647" t="s">
        <v>36</v>
      </c>
      <c r="Z647">
        <v>5010.08</v>
      </c>
    </row>
    <row r="648" spans="1:26" x14ac:dyDescent="0.25">
      <c r="A648">
        <v>100646</v>
      </c>
      <c r="B648" s="3">
        <v>45759</v>
      </c>
      <c r="C648" s="3">
        <v>45760</v>
      </c>
      <c r="D648" s="3">
        <v>45774</v>
      </c>
      <c r="E648" t="s">
        <v>1857</v>
      </c>
      <c r="F648" t="s">
        <v>38</v>
      </c>
      <c r="G648" t="s">
        <v>49</v>
      </c>
      <c r="H648" t="s">
        <v>1858</v>
      </c>
      <c r="I648" t="s">
        <v>139</v>
      </c>
      <c r="J648" t="s">
        <v>42</v>
      </c>
      <c r="K648" t="s">
        <v>413</v>
      </c>
      <c r="L648" t="s">
        <v>31</v>
      </c>
      <c r="M648" t="s">
        <v>38</v>
      </c>
      <c r="N648" t="s">
        <v>203</v>
      </c>
      <c r="O648" t="s">
        <v>204</v>
      </c>
      <c r="P648" t="s">
        <v>76</v>
      </c>
      <c r="Q648">
        <v>284</v>
      </c>
      <c r="R648">
        <v>290.45999999999998</v>
      </c>
      <c r="S648">
        <v>82490.64</v>
      </c>
      <c r="T648">
        <v>9.77</v>
      </c>
      <c r="U648">
        <v>14</v>
      </c>
      <c r="V648">
        <v>15</v>
      </c>
      <c r="W648">
        <v>1563</v>
      </c>
      <c r="X648" t="s">
        <v>188</v>
      </c>
      <c r="Y648" t="s">
        <v>36</v>
      </c>
      <c r="Z648">
        <v>11889.98</v>
      </c>
    </row>
    <row r="649" spans="1:26" x14ac:dyDescent="0.25">
      <c r="A649">
        <v>100647</v>
      </c>
      <c r="B649" s="3">
        <v>45999</v>
      </c>
      <c r="C649" s="3">
        <v>46004</v>
      </c>
      <c r="D649" s="3">
        <v>46011</v>
      </c>
      <c r="E649" t="s">
        <v>1859</v>
      </c>
      <c r="F649" t="s">
        <v>32</v>
      </c>
      <c r="G649" t="s">
        <v>273</v>
      </c>
      <c r="H649" t="s">
        <v>1860</v>
      </c>
      <c r="I649" t="s">
        <v>61</v>
      </c>
      <c r="J649" t="s">
        <v>62</v>
      </c>
      <c r="K649" t="s">
        <v>1861</v>
      </c>
      <c r="L649" t="s">
        <v>187</v>
      </c>
      <c r="M649" t="s">
        <v>32</v>
      </c>
      <c r="N649" t="s">
        <v>203</v>
      </c>
      <c r="O649" t="s">
        <v>204</v>
      </c>
      <c r="P649" t="s">
        <v>123</v>
      </c>
      <c r="Q649">
        <v>457</v>
      </c>
      <c r="R649">
        <v>25.92</v>
      </c>
      <c r="S649">
        <v>11845.44</v>
      </c>
      <c r="T649">
        <v>16.149999999999999</v>
      </c>
      <c r="U649">
        <v>7</v>
      </c>
      <c r="V649">
        <v>12</v>
      </c>
      <c r="W649">
        <v>1034</v>
      </c>
      <c r="X649" t="s">
        <v>188</v>
      </c>
      <c r="Y649" t="s">
        <v>36</v>
      </c>
      <c r="Z649">
        <v>1411.64</v>
      </c>
    </row>
    <row r="650" spans="1:26" x14ac:dyDescent="0.25">
      <c r="A650">
        <v>100648</v>
      </c>
      <c r="B650" s="3">
        <v>45931</v>
      </c>
      <c r="C650" s="3">
        <v>45932</v>
      </c>
      <c r="D650" s="3">
        <v>45949</v>
      </c>
      <c r="E650" t="s">
        <v>1862</v>
      </c>
      <c r="F650" t="s">
        <v>32</v>
      </c>
      <c r="G650" t="s">
        <v>180</v>
      </c>
      <c r="H650" t="s">
        <v>1863</v>
      </c>
      <c r="I650" t="s">
        <v>144</v>
      </c>
      <c r="J650" t="s">
        <v>52</v>
      </c>
      <c r="K650" t="s">
        <v>1864</v>
      </c>
      <c r="L650" t="s">
        <v>64</v>
      </c>
      <c r="M650" t="s">
        <v>54</v>
      </c>
      <c r="N650" t="s">
        <v>107</v>
      </c>
      <c r="O650" t="s">
        <v>108</v>
      </c>
      <c r="P650" t="s">
        <v>123</v>
      </c>
      <c r="Q650">
        <v>277</v>
      </c>
      <c r="R650">
        <v>36.049999999999997</v>
      </c>
      <c r="S650">
        <v>9985.85</v>
      </c>
      <c r="T650">
        <v>17.420000000000002</v>
      </c>
      <c r="U650">
        <v>17</v>
      </c>
      <c r="V650">
        <v>18</v>
      </c>
      <c r="W650">
        <v>1792</v>
      </c>
      <c r="X650" t="s">
        <v>3742</v>
      </c>
      <c r="Y650" t="s">
        <v>188</v>
      </c>
      <c r="Z650">
        <v>730.53</v>
      </c>
    </row>
    <row r="651" spans="1:26" x14ac:dyDescent="0.25">
      <c r="A651">
        <v>100649</v>
      </c>
      <c r="B651" s="3">
        <v>45475</v>
      </c>
      <c r="C651" s="3">
        <v>45480</v>
      </c>
      <c r="D651" s="3">
        <v>45481</v>
      </c>
      <c r="E651" t="s">
        <v>1865</v>
      </c>
      <c r="F651" t="s">
        <v>38</v>
      </c>
      <c r="G651" t="s">
        <v>147</v>
      </c>
      <c r="H651" t="s">
        <v>1866</v>
      </c>
      <c r="I651" t="s">
        <v>72</v>
      </c>
      <c r="J651" t="s">
        <v>42</v>
      </c>
      <c r="K651" t="s">
        <v>1867</v>
      </c>
      <c r="L651" t="s">
        <v>44</v>
      </c>
      <c r="M651" t="s">
        <v>32</v>
      </c>
      <c r="N651" t="s">
        <v>151</v>
      </c>
      <c r="O651" t="s">
        <v>152</v>
      </c>
      <c r="P651" t="s">
        <v>68</v>
      </c>
      <c r="Q651">
        <v>77</v>
      </c>
      <c r="R651">
        <v>286.51</v>
      </c>
      <c r="S651">
        <v>22061.27</v>
      </c>
      <c r="T651">
        <v>33.5</v>
      </c>
      <c r="U651">
        <v>1</v>
      </c>
      <c r="V651">
        <v>6</v>
      </c>
      <c r="W651">
        <v>686</v>
      </c>
      <c r="X651" t="s">
        <v>3741</v>
      </c>
      <c r="Y651" t="s">
        <v>36</v>
      </c>
      <c r="Z651">
        <v>3678.59</v>
      </c>
    </row>
    <row r="652" spans="1:26" x14ac:dyDescent="0.25">
      <c r="A652">
        <v>100650</v>
      </c>
      <c r="B652" s="3">
        <v>45952</v>
      </c>
      <c r="C652" s="3">
        <v>45957</v>
      </c>
      <c r="D652" s="3">
        <v>45975</v>
      </c>
      <c r="E652" t="s">
        <v>1868</v>
      </c>
      <c r="F652" t="s">
        <v>65</v>
      </c>
      <c r="G652" t="s">
        <v>154</v>
      </c>
      <c r="H652" t="s">
        <v>1869</v>
      </c>
      <c r="I652" t="s">
        <v>72</v>
      </c>
      <c r="J652" t="s">
        <v>42</v>
      </c>
      <c r="K652" t="s">
        <v>1187</v>
      </c>
      <c r="L652" t="s">
        <v>64</v>
      </c>
      <c r="M652" t="s">
        <v>65</v>
      </c>
      <c r="N652" t="s">
        <v>74</v>
      </c>
      <c r="O652" t="s">
        <v>75</v>
      </c>
      <c r="P652" t="s">
        <v>76</v>
      </c>
      <c r="Q652">
        <v>17</v>
      </c>
      <c r="R652">
        <v>146.61000000000001</v>
      </c>
      <c r="S652">
        <v>2492.37</v>
      </c>
      <c r="T652">
        <v>6.17</v>
      </c>
      <c r="U652">
        <v>18</v>
      </c>
      <c r="V652">
        <v>23</v>
      </c>
      <c r="W652">
        <v>1710</v>
      </c>
      <c r="X652" t="s">
        <v>3742</v>
      </c>
      <c r="Y652" t="s">
        <v>57</v>
      </c>
      <c r="Z652">
        <v>260.22000000000003</v>
      </c>
    </row>
    <row r="653" spans="1:26" x14ac:dyDescent="0.25">
      <c r="A653">
        <v>100651</v>
      </c>
      <c r="B653" s="3">
        <v>45734</v>
      </c>
      <c r="C653" s="3">
        <v>45735</v>
      </c>
      <c r="D653" s="3">
        <v>45740</v>
      </c>
      <c r="E653" t="s">
        <v>770</v>
      </c>
      <c r="F653" t="s">
        <v>38</v>
      </c>
      <c r="G653" t="s">
        <v>147</v>
      </c>
      <c r="H653" t="s">
        <v>1870</v>
      </c>
      <c r="I653" t="s">
        <v>278</v>
      </c>
      <c r="J653" t="s">
        <v>29</v>
      </c>
      <c r="K653" t="s">
        <v>1659</v>
      </c>
      <c r="L653" t="s">
        <v>187</v>
      </c>
      <c r="M653" t="s">
        <v>54</v>
      </c>
      <c r="N653" t="s">
        <v>33</v>
      </c>
      <c r="O653" t="s">
        <v>34</v>
      </c>
      <c r="P653" t="s">
        <v>68</v>
      </c>
      <c r="Q653">
        <v>34</v>
      </c>
      <c r="R653">
        <v>90.83</v>
      </c>
      <c r="S653">
        <v>3088.22</v>
      </c>
      <c r="T653">
        <v>30.72</v>
      </c>
      <c r="U653">
        <v>5</v>
      </c>
      <c r="V653">
        <v>6</v>
      </c>
      <c r="W653">
        <v>1868</v>
      </c>
      <c r="X653" t="s">
        <v>3741</v>
      </c>
      <c r="Y653" t="s">
        <v>36</v>
      </c>
      <c r="Z653">
        <v>636.48</v>
      </c>
    </row>
    <row r="654" spans="1:26" x14ac:dyDescent="0.25">
      <c r="A654">
        <v>100652</v>
      </c>
      <c r="B654" s="3">
        <v>45437</v>
      </c>
      <c r="C654" s="3">
        <v>45441</v>
      </c>
      <c r="D654" s="3">
        <v>45442</v>
      </c>
      <c r="E654" t="s">
        <v>1871</v>
      </c>
      <c r="F654" t="s">
        <v>38</v>
      </c>
      <c r="G654" t="s">
        <v>49</v>
      </c>
      <c r="H654" t="s">
        <v>1872</v>
      </c>
      <c r="I654" t="s">
        <v>144</v>
      </c>
      <c r="J654" t="s">
        <v>52</v>
      </c>
      <c r="K654" t="s">
        <v>1873</v>
      </c>
      <c r="L654" t="s">
        <v>118</v>
      </c>
      <c r="M654" t="s">
        <v>32</v>
      </c>
      <c r="N654" t="s">
        <v>107</v>
      </c>
      <c r="O654" t="s">
        <v>108</v>
      </c>
      <c r="P654" t="s">
        <v>68</v>
      </c>
      <c r="Q654">
        <v>47</v>
      </c>
      <c r="R654">
        <v>74.069999999999993</v>
      </c>
      <c r="S654">
        <v>3481.29</v>
      </c>
      <c r="T654">
        <v>31.56</v>
      </c>
      <c r="U654">
        <v>1</v>
      </c>
      <c r="V654">
        <v>5</v>
      </c>
      <c r="W654">
        <v>4117</v>
      </c>
      <c r="X654" t="s">
        <v>3741</v>
      </c>
      <c r="Y654" t="s">
        <v>36</v>
      </c>
      <c r="Z654">
        <v>293.07</v>
      </c>
    </row>
    <row r="655" spans="1:26" x14ac:dyDescent="0.25">
      <c r="A655">
        <v>100653</v>
      </c>
      <c r="B655" s="3">
        <v>45841</v>
      </c>
      <c r="C655" s="3">
        <v>45846</v>
      </c>
      <c r="D655" s="3">
        <v>45855</v>
      </c>
      <c r="E655" t="s">
        <v>1874</v>
      </c>
      <c r="F655" t="s">
        <v>65</v>
      </c>
      <c r="G655" t="s">
        <v>142</v>
      </c>
      <c r="H655" t="s">
        <v>1875</v>
      </c>
      <c r="I655" t="s">
        <v>51</v>
      </c>
      <c r="J655" t="s">
        <v>52</v>
      </c>
      <c r="K655" t="s">
        <v>1138</v>
      </c>
      <c r="L655" t="s">
        <v>113</v>
      </c>
      <c r="M655" t="s">
        <v>25</v>
      </c>
      <c r="N655" t="s">
        <v>203</v>
      </c>
      <c r="O655" t="s">
        <v>204</v>
      </c>
      <c r="P655" t="s">
        <v>68</v>
      </c>
      <c r="Q655">
        <v>356</v>
      </c>
      <c r="R655">
        <v>43.92</v>
      </c>
      <c r="S655">
        <v>15635.52</v>
      </c>
      <c r="T655">
        <v>51.58</v>
      </c>
      <c r="U655">
        <v>9</v>
      </c>
      <c r="V655">
        <v>14</v>
      </c>
      <c r="W655">
        <v>4111</v>
      </c>
      <c r="X655" t="s">
        <v>3742</v>
      </c>
      <c r="Y655" t="s">
        <v>57</v>
      </c>
      <c r="Z655">
        <v>2525.7399999999998</v>
      </c>
    </row>
    <row r="656" spans="1:26" x14ac:dyDescent="0.25">
      <c r="A656">
        <v>100654</v>
      </c>
      <c r="B656" s="3">
        <v>45505</v>
      </c>
      <c r="C656" s="3">
        <v>45506</v>
      </c>
      <c r="D656" s="3">
        <v>45510</v>
      </c>
      <c r="E656" t="s">
        <v>1876</v>
      </c>
      <c r="F656" t="s">
        <v>54</v>
      </c>
      <c r="G656" t="s">
        <v>193</v>
      </c>
      <c r="H656" t="s">
        <v>1877</v>
      </c>
      <c r="I656" t="s">
        <v>238</v>
      </c>
      <c r="J656" t="s">
        <v>62</v>
      </c>
      <c r="K656" t="s">
        <v>573</v>
      </c>
      <c r="L656" t="s">
        <v>91</v>
      </c>
      <c r="M656" t="s">
        <v>38</v>
      </c>
      <c r="N656" t="s">
        <v>55</v>
      </c>
      <c r="O656" t="s">
        <v>56</v>
      </c>
      <c r="P656" t="s">
        <v>68</v>
      </c>
      <c r="Q656">
        <v>356</v>
      </c>
      <c r="R656">
        <v>26.99</v>
      </c>
      <c r="S656">
        <v>9608.44</v>
      </c>
      <c r="T656">
        <v>51.58</v>
      </c>
      <c r="U656">
        <v>4</v>
      </c>
      <c r="V656">
        <v>5</v>
      </c>
      <c r="W656">
        <v>1340</v>
      </c>
      <c r="X656" t="s">
        <v>3741</v>
      </c>
      <c r="Y656" t="s">
        <v>36</v>
      </c>
      <c r="Z656">
        <v>1475.43</v>
      </c>
    </row>
    <row r="657" spans="1:26" x14ac:dyDescent="0.25">
      <c r="A657">
        <v>100655</v>
      </c>
      <c r="B657" s="3">
        <v>45897</v>
      </c>
      <c r="C657" s="3">
        <v>45898</v>
      </c>
      <c r="D657" s="3">
        <v>45908</v>
      </c>
      <c r="E657" t="s">
        <v>1878</v>
      </c>
      <c r="F657" t="s">
        <v>25</v>
      </c>
      <c r="G657" t="s">
        <v>172</v>
      </c>
      <c r="H657" t="s">
        <v>1879</v>
      </c>
      <c r="I657" t="s">
        <v>238</v>
      </c>
      <c r="J657" t="s">
        <v>62</v>
      </c>
      <c r="K657" t="s">
        <v>1880</v>
      </c>
      <c r="L657" t="s">
        <v>31</v>
      </c>
      <c r="M657" t="s">
        <v>65</v>
      </c>
      <c r="N657" t="s">
        <v>74</v>
      </c>
      <c r="O657" t="s">
        <v>75</v>
      </c>
      <c r="P657" t="s">
        <v>123</v>
      </c>
      <c r="Q657">
        <v>50</v>
      </c>
      <c r="R657">
        <v>24.72</v>
      </c>
      <c r="S657">
        <v>1236</v>
      </c>
      <c r="T657">
        <v>11.91</v>
      </c>
      <c r="U657">
        <v>10</v>
      </c>
      <c r="V657">
        <v>11</v>
      </c>
      <c r="W657">
        <v>4712</v>
      </c>
      <c r="X657" t="s">
        <v>188</v>
      </c>
      <c r="Y657" t="s">
        <v>36</v>
      </c>
      <c r="Z657">
        <v>69.150000000000006</v>
      </c>
    </row>
    <row r="658" spans="1:26" x14ac:dyDescent="0.25">
      <c r="A658">
        <v>100656</v>
      </c>
      <c r="B658" s="3">
        <v>45549</v>
      </c>
      <c r="C658" s="3">
        <v>45550</v>
      </c>
      <c r="D658" s="3">
        <v>45555</v>
      </c>
      <c r="E658" t="s">
        <v>1881</v>
      </c>
      <c r="F658" t="s">
        <v>65</v>
      </c>
      <c r="G658" t="s">
        <v>142</v>
      </c>
      <c r="H658" t="s">
        <v>1882</v>
      </c>
      <c r="I658" t="s">
        <v>207</v>
      </c>
      <c r="J658" t="s">
        <v>80</v>
      </c>
      <c r="K658" t="s">
        <v>1474</v>
      </c>
      <c r="L658" t="s">
        <v>113</v>
      </c>
      <c r="M658" t="s">
        <v>65</v>
      </c>
      <c r="N658" t="s">
        <v>55</v>
      </c>
      <c r="O658" t="s">
        <v>56</v>
      </c>
      <c r="P658" t="s">
        <v>68</v>
      </c>
      <c r="Q658">
        <v>202</v>
      </c>
      <c r="R658">
        <v>273.52999999999997</v>
      </c>
      <c r="S658">
        <v>55253.06</v>
      </c>
      <c r="T658">
        <v>30.82</v>
      </c>
      <c r="U658">
        <v>5</v>
      </c>
      <c r="V658">
        <v>6</v>
      </c>
      <c r="W658">
        <v>2046</v>
      </c>
      <c r="X658" t="s">
        <v>3741</v>
      </c>
      <c r="Y658" t="s">
        <v>36</v>
      </c>
      <c r="Z658">
        <v>14113.41</v>
      </c>
    </row>
    <row r="659" spans="1:26" x14ac:dyDescent="0.25">
      <c r="A659">
        <v>100657</v>
      </c>
      <c r="B659" s="3">
        <v>45802</v>
      </c>
      <c r="C659" s="3">
        <v>45806</v>
      </c>
      <c r="D659" s="3">
        <v>45814</v>
      </c>
      <c r="E659" t="s">
        <v>1883</v>
      </c>
      <c r="F659" t="s">
        <v>54</v>
      </c>
      <c r="G659" t="s">
        <v>193</v>
      </c>
      <c r="H659" t="s">
        <v>1884</v>
      </c>
      <c r="I659" t="s">
        <v>89</v>
      </c>
      <c r="J659" t="s">
        <v>62</v>
      </c>
      <c r="K659" t="s">
        <v>1885</v>
      </c>
      <c r="L659" t="s">
        <v>122</v>
      </c>
      <c r="M659" t="s">
        <v>32</v>
      </c>
      <c r="N659" t="s">
        <v>107</v>
      </c>
      <c r="O659" t="s">
        <v>108</v>
      </c>
      <c r="P659" t="s">
        <v>123</v>
      </c>
      <c r="Q659">
        <v>331</v>
      </c>
      <c r="R659">
        <v>42.61</v>
      </c>
      <c r="S659">
        <v>14103.91</v>
      </c>
      <c r="T659">
        <v>18.739999999999998</v>
      </c>
      <c r="U659">
        <v>8</v>
      </c>
      <c r="V659">
        <v>12</v>
      </c>
      <c r="W659">
        <v>2640</v>
      </c>
      <c r="X659" t="s">
        <v>188</v>
      </c>
      <c r="Y659" t="s">
        <v>36</v>
      </c>
      <c r="Z659">
        <v>1715.71</v>
      </c>
    </row>
    <row r="660" spans="1:26" x14ac:dyDescent="0.25">
      <c r="A660">
        <v>100658</v>
      </c>
      <c r="B660" s="3">
        <v>45718</v>
      </c>
      <c r="C660" s="3">
        <v>45719</v>
      </c>
      <c r="D660" s="3">
        <v>45728</v>
      </c>
      <c r="E660" t="s">
        <v>1886</v>
      </c>
      <c r="F660" t="s">
        <v>32</v>
      </c>
      <c r="G660" t="s">
        <v>273</v>
      </c>
      <c r="H660" t="s">
        <v>1887</v>
      </c>
      <c r="I660" t="s">
        <v>416</v>
      </c>
      <c r="J660" t="s">
        <v>80</v>
      </c>
      <c r="K660" t="s">
        <v>1888</v>
      </c>
      <c r="L660" t="s">
        <v>44</v>
      </c>
      <c r="M660" t="s">
        <v>25</v>
      </c>
      <c r="N660" t="s">
        <v>92</v>
      </c>
      <c r="O660" t="s">
        <v>93</v>
      </c>
      <c r="P660" t="s">
        <v>35</v>
      </c>
      <c r="Q660">
        <v>166</v>
      </c>
      <c r="R660">
        <v>130.38999999999999</v>
      </c>
      <c r="S660">
        <v>21644.74</v>
      </c>
      <c r="T660">
        <v>17.18</v>
      </c>
      <c r="U660">
        <v>9</v>
      </c>
      <c r="V660">
        <v>10</v>
      </c>
      <c r="W660">
        <v>818</v>
      </c>
      <c r="X660" t="s">
        <v>188</v>
      </c>
      <c r="Y660" t="s">
        <v>36</v>
      </c>
      <c r="Z660">
        <v>4415.2299999999996</v>
      </c>
    </row>
    <row r="661" spans="1:26" x14ac:dyDescent="0.25">
      <c r="A661">
        <v>100659</v>
      </c>
      <c r="B661" s="3">
        <v>45523</v>
      </c>
      <c r="C661" s="3">
        <v>45525</v>
      </c>
      <c r="D661" s="3">
        <v>45533</v>
      </c>
      <c r="E661" t="s">
        <v>1278</v>
      </c>
      <c r="F661" t="s">
        <v>25</v>
      </c>
      <c r="G661" t="s">
        <v>59</v>
      </c>
      <c r="H661" t="s">
        <v>1889</v>
      </c>
      <c r="I661" t="s">
        <v>79</v>
      </c>
      <c r="J661" t="s">
        <v>80</v>
      </c>
      <c r="K661" t="s">
        <v>1890</v>
      </c>
      <c r="L661" t="s">
        <v>44</v>
      </c>
      <c r="M661" t="s">
        <v>25</v>
      </c>
      <c r="N661" t="s">
        <v>107</v>
      </c>
      <c r="O661" t="s">
        <v>108</v>
      </c>
      <c r="P661" t="s">
        <v>35</v>
      </c>
      <c r="Q661">
        <v>339</v>
      </c>
      <c r="R661">
        <v>268.89</v>
      </c>
      <c r="S661">
        <v>91153.71</v>
      </c>
      <c r="T661">
        <v>16.36</v>
      </c>
      <c r="U661">
        <v>8</v>
      </c>
      <c r="V661">
        <v>10</v>
      </c>
      <c r="W661">
        <v>1220</v>
      </c>
      <c r="X661" t="s">
        <v>188</v>
      </c>
      <c r="Y661" t="s">
        <v>36</v>
      </c>
      <c r="Z661">
        <v>12772.05</v>
      </c>
    </row>
    <row r="662" spans="1:26" x14ac:dyDescent="0.25">
      <c r="A662">
        <v>100660</v>
      </c>
      <c r="B662" s="3">
        <v>45656</v>
      </c>
      <c r="C662" s="3">
        <v>45657</v>
      </c>
      <c r="D662" s="3">
        <v>45682</v>
      </c>
      <c r="E662" t="s">
        <v>1891</v>
      </c>
      <c r="F662" t="s">
        <v>25</v>
      </c>
      <c r="G662" t="s">
        <v>26</v>
      </c>
      <c r="H662" t="s">
        <v>1892</v>
      </c>
      <c r="I662" t="s">
        <v>207</v>
      </c>
      <c r="J662" t="s">
        <v>80</v>
      </c>
      <c r="K662" t="s">
        <v>515</v>
      </c>
      <c r="L662" t="s">
        <v>31</v>
      </c>
      <c r="M662" t="s">
        <v>32</v>
      </c>
      <c r="N662" t="s">
        <v>107</v>
      </c>
      <c r="O662" t="s">
        <v>108</v>
      </c>
      <c r="P662" t="s">
        <v>76</v>
      </c>
      <c r="Q662">
        <v>494</v>
      </c>
      <c r="R662">
        <v>50.4</v>
      </c>
      <c r="S662">
        <v>24897.599999999999</v>
      </c>
      <c r="T662">
        <v>17.02</v>
      </c>
      <c r="U662">
        <v>25</v>
      </c>
      <c r="V662">
        <v>26</v>
      </c>
      <c r="W662">
        <v>831</v>
      </c>
      <c r="X662" t="s">
        <v>188</v>
      </c>
      <c r="Y662" t="s">
        <v>36</v>
      </c>
      <c r="Z662">
        <v>2663.85</v>
      </c>
    </row>
    <row r="663" spans="1:26" x14ac:dyDescent="0.25">
      <c r="A663">
        <v>100661</v>
      </c>
      <c r="B663" s="3">
        <v>45898</v>
      </c>
      <c r="C663" s="3">
        <v>45898</v>
      </c>
      <c r="D663" s="3">
        <v>45906</v>
      </c>
      <c r="E663" t="s">
        <v>1893</v>
      </c>
      <c r="F663" t="s">
        <v>32</v>
      </c>
      <c r="G663" t="s">
        <v>273</v>
      </c>
      <c r="H663" t="s">
        <v>1894</v>
      </c>
      <c r="I663" t="s">
        <v>85</v>
      </c>
      <c r="J663" t="s">
        <v>52</v>
      </c>
      <c r="K663" t="s">
        <v>1453</v>
      </c>
      <c r="L663" t="s">
        <v>187</v>
      </c>
      <c r="M663" t="s">
        <v>25</v>
      </c>
      <c r="N663" t="s">
        <v>74</v>
      </c>
      <c r="O663" t="s">
        <v>75</v>
      </c>
      <c r="P663" t="s">
        <v>123</v>
      </c>
      <c r="Q663">
        <v>319</v>
      </c>
      <c r="R663">
        <v>55.71</v>
      </c>
      <c r="S663">
        <v>17771.490000000002</v>
      </c>
      <c r="T663">
        <v>18.440000000000001</v>
      </c>
      <c r="U663">
        <v>8</v>
      </c>
      <c r="V663">
        <v>8</v>
      </c>
      <c r="W663">
        <v>2086</v>
      </c>
      <c r="X663" t="s">
        <v>188</v>
      </c>
      <c r="Y663" t="s">
        <v>36</v>
      </c>
      <c r="Z663">
        <v>3356.37</v>
      </c>
    </row>
    <row r="664" spans="1:26" x14ac:dyDescent="0.25">
      <c r="A664">
        <v>100662</v>
      </c>
      <c r="B664" s="3">
        <v>45597</v>
      </c>
      <c r="C664" s="3">
        <v>45600</v>
      </c>
      <c r="D664" s="3">
        <v>45603</v>
      </c>
      <c r="E664" t="s">
        <v>1895</v>
      </c>
      <c r="F664" t="s">
        <v>54</v>
      </c>
      <c r="G664" t="s">
        <v>129</v>
      </c>
      <c r="H664" t="s">
        <v>1896</v>
      </c>
      <c r="I664" t="s">
        <v>134</v>
      </c>
      <c r="J664" t="s">
        <v>52</v>
      </c>
      <c r="K664" t="s">
        <v>1897</v>
      </c>
      <c r="L664" t="s">
        <v>118</v>
      </c>
      <c r="M664" t="s">
        <v>54</v>
      </c>
      <c r="N664" t="s">
        <v>66</v>
      </c>
      <c r="O664" t="s">
        <v>67</v>
      </c>
      <c r="P664" t="s">
        <v>68</v>
      </c>
      <c r="Q664">
        <v>486</v>
      </c>
      <c r="R664">
        <v>84.12</v>
      </c>
      <c r="S664">
        <v>40882.32</v>
      </c>
      <c r="T664">
        <v>44.45</v>
      </c>
      <c r="U664">
        <v>3</v>
      </c>
      <c r="V664">
        <v>6</v>
      </c>
      <c r="W664">
        <v>1773</v>
      </c>
      <c r="X664" t="s">
        <v>3741</v>
      </c>
      <c r="Y664" t="s">
        <v>36</v>
      </c>
      <c r="Z664">
        <v>7779.54</v>
      </c>
    </row>
    <row r="665" spans="1:26" x14ac:dyDescent="0.25">
      <c r="A665">
        <v>100663</v>
      </c>
      <c r="B665" s="3">
        <v>45377</v>
      </c>
      <c r="C665" s="3">
        <v>45380</v>
      </c>
      <c r="D665" s="3">
        <v>45403</v>
      </c>
      <c r="E665" t="s">
        <v>1898</v>
      </c>
      <c r="F665" t="s">
        <v>38</v>
      </c>
      <c r="G665" t="s">
        <v>147</v>
      </c>
      <c r="H665" t="s">
        <v>1899</v>
      </c>
      <c r="I665" t="s">
        <v>79</v>
      </c>
      <c r="J665" t="s">
        <v>80</v>
      </c>
      <c r="K665" t="s">
        <v>988</v>
      </c>
      <c r="L665" t="s">
        <v>91</v>
      </c>
      <c r="M665" t="s">
        <v>38</v>
      </c>
      <c r="N665" t="s">
        <v>102</v>
      </c>
      <c r="O665" t="s">
        <v>103</v>
      </c>
      <c r="P665" t="s">
        <v>76</v>
      </c>
      <c r="Q665">
        <v>335</v>
      </c>
      <c r="R665">
        <v>214.8</v>
      </c>
      <c r="S665">
        <v>71958</v>
      </c>
      <c r="T665">
        <v>10.46</v>
      </c>
      <c r="U665">
        <v>23</v>
      </c>
      <c r="V665">
        <v>26</v>
      </c>
      <c r="W665">
        <v>651</v>
      </c>
      <c r="X665" t="s">
        <v>3742</v>
      </c>
      <c r="Y665" t="s">
        <v>188</v>
      </c>
      <c r="Z665">
        <v>16283.97</v>
      </c>
    </row>
    <row r="666" spans="1:26" x14ac:dyDescent="0.25">
      <c r="A666">
        <v>100664</v>
      </c>
      <c r="B666" s="3">
        <v>45915</v>
      </c>
      <c r="C666" s="3">
        <v>45918</v>
      </c>
      <c r="D666" s="3">
        <v>45923</v>
      </c>
      <c r="E666" t="s">
        <v>1900</v>
      </c>
      <c r="F666" t="s">
        <v>65</v>
      </c>
      <c r="G666" t="s">
        <v>154</v>
      </c>
      <c r="H666" t="s">
        <v>1901</v>
      </c>
      <c r="I666" t="s">
        <v>85</v>
      </c>
      <c r="J666" t="s">
        <v>52</v>
      </c>
      <c r="K666" t="s">
        <v>708</v>
      </c>
      <c r="L666" t="s">
        <v>44</v>
      </c>
      <c r="M666" t="s">
        <v>54</v>
      </c>
      <c r="N666" t="s">
        <v>107</v>
      </c>
      <c r="O666" t="s">
        <v>108</v>
      </c>
      <c r="P666" t="s">
        <v>68</v>
      </c>
      <c r="Q666">
        <v>434</v>
      </c>
      <c r="R666">
        <v>44.47</v>
      </c>
      <c r="S666">
        <v>19299.98</v>
      </c>
      <c r="T666">
        <v>56.64</v>
      </c>
      <c r="U666">
        <v>5</v>
      </c>
      <c r="V666">
        <v>8</v>
      </c>
      <c r="W666">
        <v>1412</v>
      </c>
      <c r="X666" t="s">
        <v>188</v>
      </c>
      <c r="Y666" t="s">
        <v>36</v>
      </c>
      <c r="Z666">
        <v>1691.49</v>
      </c>
    </row>
    <row r="667" spans="1:26" x14ac:dyDescent="0.25">
      <c r="A667">
        <v>100665</v>
      </c>
      <c r="B667" s="3">
        <v>45546</v>
      </c>
      <c r="C667" s="3">
        <v>45549</v>
      </c>
      <c r="D667" s="3">
        <v>45550</v>
      </c>
      <c r="E667" t="s">
        <v>1902</v>
      </c>
      <c r="F667" t="s">
        <v>54</v>
      </c>
      <c r="G667" t="s">
        <v>165</v>
      </c>
      <c r="H667" t="s">
        <v>1903</v>
      </c>
      <c r="I667" t="s">
        <v>238</v>
      </c>
      <c r="J667" t="s">
        <v>62</v>
      </c>
      <c r="K667" t="s">
        <v>1904</v>
      </c>
      <c r="L667" t="s">
        <v>187</v>
      </c>
      <c r="M667" t="s">
        <v>25</v>
      </c>
      <c r="N667" t="s">
        <v>102</v>
      </c>
      <c r="O667" t="s">
        <v>103</v>
      </c>
      <c r="P667" t="s">
        <v>68</v>
      </c>
      <c r="Q667">
        <v>125</v>
      </c>
      <c r="R667">
        <v>5.65</v>
      </c>
      <c r="S667">
        <v>706.25</v>
      </c>
      <c r="T667">
        <v>36.61</v>
      </c>
      <c r="U667">
        <v>1</v>
      </c>
      <c r="V667">
        <v>4</v>
      </c>
      <c r="W667">
        <v>2803</v>
      </c>
      <c r="X667" t="s">
        <v>3741</v>
      </c>
      <c r="Y667" t="s">
        <v>36</v>
      </c>
      <c r="Z667">
        <v>84.66</v>
      </c>
    </row>
    <row r="668" spans="1:26" x14ac:dyDescent="0.25">
      <c r="A668">
        <v>100666</v>
      </c>
      <c r="B668" s="3">
        <v>46002</v>
      </c>
      <c r="C668" s="3">
        <v>46002</v>
      </c>
      <c r="D668" s="3">
        <v>46013</v>
      </c>
      <c r="E668" t="s">
        <v>1905</v>
      </c>
      <c r="F668" t="s">
        <v>65</v>
      </c>
      <c r="G668" t="s">
        <v>154</v>
      </c>
      <c r="H668" t="s">
        <v>1906</v>
      </c>
      <c r="I668" t="s">
        <v>79</v>
      </c>
      <c r="J668" t="s">
        <v>80</v>
      </c>
      <c r="K668" t="s">
        <v>1295</v>
      </c>
      <c r="L668" t="s">
        <v>187</v>
      </c>
      <c r="M668" t="s">
        <v>54</v>
      </c>
      <c r="N668" t="s">
        <v>92</v>
      </c>
      <c r="O668" t="s">
        <v>93</v>
      </c>
      <c r="P668" t="s">
        <v>76</v>
      </c>
      <c r="Q668">
        <v>447</v>
      </c>
      <c r="R668">
        <v>259.72000000000003</v>
      </c>
      <c r="S668">
        <v>116094.84</v>
      </c>
      <c r="T668">
        <v>16.170000000000002</v>
      </c>
      <c r="U668">
        <v>11</v>
      </c>
      <c r="V668">
        <v>11</v>
      </c>
      <c r="W668">
        <v>882</v>
      </c>
      <c r="X668" t="s">
        <v>188</v>
      </c>
      <c r="Y668" t="s">
        <v>36</v>
      </c>
      <c r="Z668">
        <v>18183.900000000001</v>
      </c>
    </row>
    <row r="669" spans="1:26" x14ac:dyDescent="0.25">
      <c r="A669">
        <v>100667</v>
      </c>
      <c r="B669" s="3">
        <v>45392</v>
      </c>
      <c r="C669" s="3">
        <v>45397</v>
      </c>
      <c r="D669" s="3">
        <v>45400</v>
      </c>
      <c r="E669" t="s">
        <v>1907</v>
      </c>
      <c r="F669" t="s">
        <v>25</v>
      </c>
      <c r="G669" t="s">
        <v>59</v>
      </c>
      <c r="H669" t="s">
        <v>1908</v>
      </c>
      <c r="I669" t="s">
        <v>207</v>
      </c>
      <c r="J669" t="s">
        <v>80</v>
      </c>
      <c r="K669" t="s">
        <v>1909</v>
      </c>
      <c r="L669" t="s">
        <v>212</v>
      </c>
      <c r="M669" t="s">
        <v>32</v>
      </c>
      <c r="N669" t="s">
        <v>151</v>
      </c>
      <c r="O669" t="s">
        <v>152</v>
      </c>
      <c r="P669" t="s">
        <v>68</v>
      </c>
      <c r="Q669">
        <v>290</v>
      </c>
      <c r="R669">
        <v>237.92</v>
      </c>
      <c r="S669">
        <v>68996.800000000003</v>
      </c>
      <c r="T669">
        <v>47.3</v>
      </c>
      <c r="U669">
        <v>3</v>
      </c>
      <c r="V669">
        <v>8</v>
      </c>
      <c r="W669">
        <v>480</v>
      </c>
      <c r="X669" t="s">
        <v>188</v>
      </c>
      <c r="Y669" t="s">
        <v>36</v>
      </c>
      <c r="Z669">
        <v>12007.1</v>
      </c>
    </row>
    <row r="670" spans="1:26" x14ac:dyDescent="0.25">
      <c r="A670">
        <v>100668</v>
      </c>
      <c r="B670" s="3">
        <v>45544</v>
      </c>
      <c r="C670" s="3">
        <v>45548</v>
      </c>
      <c r="D670" s="3">
        <v>45549</v>
      </c>
      <c r="E670" t="s">
        <v>1910</v>
      </c>
      <c r="F670" t="s">
        <v>32</v>
      </c>
      <c r="G670" t="s">
        <v>137</v>
      </c>
      <c r="H670" t="s">
        <v>1911</v>
      </c>
      <c r="I670" t="s">
        <v>51</v>
      </c>
      <c r="J670" t="s">
        <v>52</v>
      </c>
      <c r="K670" t="s">
        <v>1912</v>
      </c>
      <c r="L670" t="s">
        <v>91</v>
      </c>
      <c r="M670" t="s">
        <v>32</v>
      </c>
      <c r="N670" t="s">
        <v>66</v>
      </c>
      <c r="O670" t="s">
        <v>67</v>
      </c>
      <c r="P670" t="s">
        <v>68</v>
      </c>
      <c r="Q670">
        <v>243</v>
      </c>
      <c r="R670">
        <v>61.49</v>
      </c>
      <c r="S670">
        <v>14942.07</v>
      </c>
      <c r="T670">
        <v>32.78</v>
      </c>
      <c r="U670">
        <v>1</v>
      </c>
      <c r="V670">
        <v>5</v>
      </c>
      <c r="W670">
        <v>1531</v>
      </c>
      <c r="X670" t="s">
        <v>3741</v>
      </c>
      <c r="Y670" t="s">
        <v>36</v>
      </c>
      <c r="Z670">
        <v>1298.5</v>
      </c>
    </row>
    <row r="671" spans="1:26" x14ac:dyDescent="0.25">
      <c r="A671">
        <v>100669</v>
      </c>
      <c r="B671" s="3">
        <v>45655</v>
      </c>
      <c r="C671" s="3">
        <v>45660</v>
      </c>
      <c r="D671" s="3">
        <v>45670</v>
      </c>
      <c r="E671" t="s">
        <v>1913</v>
      </c>
      <c r="F671" t="s">
        <v>54</v>
      </c>
      <c r="G671" t="s">
        <v>193</v>
      </c>
      <c r="H671" t="s">
        <v>1914</v>
      </c>
      <c r="I671" t="s">
        <v>246</v>
      </c>
      <c r="J671" t="s">
        <v>29</v>
      </c>
      <c r="K671" t="s">
        <v>1915</v>
      </c>
      <c r="L671" t="s">
        <v>91</v>
      </c>
      <c r="M671" t="s">
        <v>32</v>
      </c>
      <c r="N671" t="s">
        <v>102</v>
      </c>
      <c r="O671" t="s">
        <v>103</v>
      </c>
      <c r="P671" t="s">
        <v>123</v>
      </c>
      <c r="Q671">
        <v>341</v>
      </c>
      <c r="R671">
        <v>51.94</v>
      </c>
      <c r="S671">
        <v>17711.54</v>
      </c>
      <c r="T671">
        <v>18.98</v>
      </c>
      <c r="U671">
        <v>10</v>
      </c>
      <c r="V671">
        <v>15</v>
      </c>
      <c r="W671">
        <v>1844</v>
      </c>
      <c r="X671" t="s">
        <v>188</v>
      </c>
      <c r="Y671" t="s">
        <v>36</v>
      </c>
      <c r="Z671">
        <v>1032.54</v>
      </c>
    </row>
    <row r="672" spans="1:26" x14ac:dyDescent="0.25">
      <c r="A672">
        <v>100670</v>
      </c>
      <c r="B672" s="3">
        <v>45693</v>
      </c>
      <c r="C672" s="3">
        <v>45693</v>
      </c>
      <c r="D672" s="3">
        <v>45694</v>
      </c>
      <c r="E672" t="s">
        <v>1916</v>
      </c>
      <c r="F672" t="s">
        <v>65</v>
      </c>
      <c r="G672" t="s">
        <v>142</v>
      </c>
      <c r="H672" t="s">
        <v>1917</v>
      </c>
      <c r="I672" t="s">
        <v>134</v>
      </c>
      <c r="J672" t="s">
        <v>52</v>
      </c>
      <c r="K672" t="s">
        <v>1918</v>
      </c>
      <c r="L672" t="s">
        <v>91</v>
      </c>
      <c r="M672" t="s">
        <v>32</v>
      </c>
      <c r="N672" t="s">
        <v>33</v>
      </c>
      <c r="O672" t="s">
        <v>34</v>
      </c>
      <c r="P672" t="s">
        <v>68</v>
      </c>
      <c r="Q672">
        <v>395</v>
      </c>
      <c r="R672">
        <v>85.12</v>
      </c>
      <c r="S672">
        <v>33622.400000000001</v>
      </c>
      <c r="T672">
        <v>54.11</v>
      </c>
      <c r="U672">
        <v>1</v>
      </c>
      <c r="V672">
        <v>1</v>
      </c>
      <c r="W672">
        <v>1458</v>
      </c>
      <c r="X672" t="s">
        <v>3741</v>
      </c>
      <c r="Y672" t="s">
        <v>36</v>
      </c>
      <c r="Z672">
        <v>3848.61</v>
      </c>
    </row>
    <row r="673" spans="1:26" x14ac:dyDescent="0.25">
      <c r="A673">
        <v>100671</v>
      </c>
      <c r="B673" s="3">
        <v>45970</v>
      </c>
      <c r="C673" s="3">
        <v>45971</v>
      </c>
      <c r="D673" s="3">
        <v>45986</v>
      </c>
      <c r="E673" t="s">
        <v>1919</v>
      </c>
      <c r="F673" t="s">
        <v>32</v>
      </c>
      <c r="G673" t="s">
        <v>95</v>
      </c>
      <c r="H673" t="s">
        <v>1920</v>
      </c>
      <c r="I673" t="s">
        <v>72</v>
      </c>
      <c r="J673" t="s">
        <v>42</v>
      </c>
      <c r="K673" t="s">
        <v>1921</v>
      </c>
      <c r="L673" t="s">
        <v>212</v>
      </c>
      <c r="M673" t="s">
        <v>54</v>
      </c>
      <c r="N673" t="s">
        <v>107</v>
      </c>
      <c r="O673" t="s">
        <v>108</v>
      </c>
      <c r="P673" t="s">
        <v>76</v>
      </c>
      <c r="Q673">
        <v>130</v>
      </c>
      <c r="R673">
        <v>213.03</v>
      </c>
      <c r="S673">
        <v>27693.9</v>
      </c>
      <c r="T673">
        <v>10.39</v>
      </c>
      <c r="U673">
        <v>15</v>
      </c>
      <c r="V673">
        <v>16</v>
      </c>
      <c r="W673">
        <v>1505</v>
      </c>
      <c r="X673" t="s">
        <v>188</v>
      </c>
      <c r="Y673" t="s">
        <v>36</v>
      </c>
      <c r="Z673">
        <v>3004.6</v>
      </c>
    </row>
    <row r="674" spans="1:26" x14ac:dyDescent="0.25">
      <c r="A674">
        <v>100672</v>
      </c>
      <c r="B674" s="3">
        <v>45994</v>
      </c>
      <c r="C674" s="3">
        <v>45994</v>
      </c>
      <c r="D674" s="3">
        <v>46000</v>
      </c>
      <c r="E674" t="s">
        <v>1922</v>
      </c>
      <c r="F674" t="s">
        <v>32</v>
      </c>
      <c r="G674" t="s">
        <v>95</v>
      </c>
      <c r="H674" t="s">
        <v>1923</v>
      </c>
      <c r="I674" t="s">
        <v>126</v>
      </c>
      <c r="J674" t="s">
        <v>42</v>
      </c>
      <c r="K674" t="s">
        <v>1924</v>
      </c>
      <c r="L674" t="s">
        <v>187</v>
      </c>
      <c r="M674" t="s">
        <v>38</v>
      </c>
      <c r="N674" t="s">
        <v>151</v>
      </c>
      <c r="O674" t="s">
        <v>152</v>
      </c>
      <c r="P674" t="s">
        <v>123</v>
      </c>
      <c r="Q674">
        <v>114</v>
      </c>
      <c r="R674">
        <v>281.64</v>
      </c>
      <c r="S674">
        <v>32106.959999999999</v>
      </c>
      <c r="T674">
        <v>13.46</v>
      </c>
      <c r="U674">
        <v>6</v>
      </c>
      <c r="V674">
        <v>6</v>
      </c>
      <c r="W674">
        <v>1323</v>
      </c>
      <c r="X674" t="s">
        <v>3741</v>
      </c>
      <c r="Y674" t="s">
        <v>36</v>
      </c>
      <c r="Z674">
        <v>5612.75</v>
      </c>
    </row>
    <row r="675" spans="1:26" x14ac:dyDescent="0.25">
      <c r="A675">
        <v>100673</v>
      </c>
      <c r="B675" s="3">
        <v>45547</v>
      </c>
      <c r="C675" s="3">
        <v>45549</v>
      </c>
      <c r="D675" s="3">
        <v>45564</v>
      </c>
      <c r="E675" t="s">
        <v>375</v>
      </c>
      <c r="F675" t="s">
        <v>25</v>
      </c>
      <c r="G675" t="s">
        <v>169</v>
      </c>
      <c r="H675" t="s">
        <v>1925</v>
      </c>
      <c r="I675" t="s">
        <v>28</v>
      </c>
      <c r="J675" t="s">
        <v>29</v>
      </c>
      <c r="K675" t="s">
        <v>422</v>
      </c>
      <c r="L675" t="s">
        <v>113</v>
      </c>
      <c r="M675" t="s">
        <v>25</v>
      </c>
      <c r="N675" t="s">
        <v>45</v>
      </c>
      <c r="O675" t="s">
        <v>46</v>
      </c>
      <c r="P675" t="s">
        <v>76</v>
      </c>
      <c r="Q675">
        <v>178</v>
      </c>
      <c r="R675">
        <v>43.35</v>
      </c>
      <c r="S675">
        <v>7716.3</v>
      </c>
      <c r="T675">
        <v>8.34</v>
      </c>
      <c r="U675">
        <v>15</v>
      </c>
      <c r="V675">
        <v>17</v>
      </c>
      <c r="W675">
        <v>382</v>
      </c>
      <c r="X675" t="s">
        <v>188</v>
      </c>
      <c r="Y675" t="s">
        <v>36</v>
      </c>
      <c r="Z675">
        <v>1553.9</v>
      </c>
    </row>
    <row r="676" spans="1:26" x14ac:dyDescent="0.25">
      <c r="A676">
        <v>100674</v>
      </c>
      <c r="B676" s="3">
        <v>45525</v>
      </c>
      <c r="C676" s="3">
        <v>45529</v>
      </c>
      <c r="D676" s="3">
        <v>45538</v>
      </c>
      <c r="E676" t="s">
        <v>1926</v>
      </c>
      <c r="F676" t="s">
        <v>32</v>
      </c>
      <c r="G676" t="s">
        <v>364</v>
      </c>
      <c r="H676" t="s">
        <v>1927</v>
      </c>
      <c r="I676" t="s">
        <v>230</v>
      </c>
      <c r="J676" t="s">
        <v>80</v>
      </c>
      <c r="K676" t="s">
        <v>1928</v>
      </c>
      <c r="L676" t="s">
        <v>64</v>
      </c>
      <c r="M676" t="s">
        <v>54</v>
      </c>
      <c r="N676" t="s">
        <v>107</v>
      </c>
      <c r="O676" t="s">
        <v>108</v>
      </c>
      <c r="P676" t="s">
        <v>35</v>
      </c>
      <c r="Q676">
        <v>390</v>
      </c>
      <c r="R676">
        <v>218.2</v>
      </c>
      <c r="S676">
        <v>85098</v>
      </c>
      <c r="T676">
        <v>23.53</v>
      </c>
      <c r="U676">
        <v>9</v>
      </c>
      <c r="V676">
        <v>13</v>
      </c>
      <c r="W676">
        <v>781</v>
      </c>
      <c r="X676" t="s">
        <v>188</v>
      </c>
      <c r="Y676" t="s">
        <v>36</v>
      </c>
      <c r="Z676">
        <v>14896.92</v>
      </c>
    </row>
    <row r="677" spans="1:26" x14ac:dyDescent="0.25">
      <c r="A677">
        <v>100675</v>
      </c>
      <c r="B677" s="3">
        <v>45426</v>
      </c>
      <c r="C677" s="3">
        <v>45427</v>
      </c>
      <c r="D677" s="3">
        <v>45438</v>
      </c>
      <c r="E677" t="s">
        <v>782</v>
      </c>
      <c r="F677" t="s">
        <v>65</v>
      </c>
      <c r="G677" t="s">
        <v>154</v>
      </c>
      <c r="H677" t="s">
        <v>1929</v>
      </c>
      <c r="I677" t="s">
        <v>139</v>
      </c>
      <c r="J677" t="s">
        <v>42</v>
      </c>
      <c r="K677" t="s">
        <v>1930</v>
      </c>
      <c r="L677" t="s">
        <v>44</v>
      </c>
      <c r="M677" t="s">
        <v>32</v>
      </c>
      <c r="N677" t="s">
        <v>151</v>
      </c>
      <c r="O677" t="s">
        <v>152</v>
      </c>
      <c r="P677" t="s">
        <v>123</v>
      </c>
      <c r="Q677">
        <v>410</v>
      </c>
      <c r="R677">
        <v>268.85000000000002</v>
      </c>
      <c r="S677">
        <v>110228.5</v>
      </c>
      <c r="T677">
        <v>20.66</v>
      </c>
      <c r="U677">
        <v>11</v>
      </c>
      <c r="V677">
        <v>12</v>
      </c>
      <c r="W677">
        <v>1183</v>
      </c>
      <c r="X677" t="s">
        <v>3742</v>
      </c>
      <c r="Y677" t="s">
        <v>47</v>
      </c>
      <c r="Z677">
        <v>-103.27</v>
      </c>
    </row>
    <row r="678" spans="1:26" x14ac:dyDescent="0.25">
      <c r="A678">
        <v>100676</v>
      </c>
      <c r="B678" s="3">
        <v>45457</v>
      </c>
      <c r="C678" s="3">
        <v>45458</v>
      </c>
      <c r="D678" s="3">
        <v>45466</v>
      </c>
      <c r="E678" t="s">
        <v>1931</v>
      </c>
      <c r="F678" t="s">
        <v>54</v>
      </c>
      <c r="G678" t="s">
        <v>158</v>
      </c>
      <c r="H678" t="s">
        <v>1932</v>
      </c>
      <c r="I678" t="s">
        <v>51</v>
      </c>
      <c r="J678" t="s">
        <v>52</v>
      </c>
      <c r="K678" t="s">
        <v>1803</v>
      </c>
      <c r="L678" t="s">
        <v>122</v>
      </c>
      <c r="M678" t="s">
        <v>32</v>
      </c>
      <c r="N678" t="s">
        <v>107</v>
      </c>
      <c r="O678" t="s">
        <v>108</v>
      </c>
      <c r="P678" t="s">
        <v>68</v>
      </c>
      <c r="Q678">
        <v>428</v>
      </c>
      <c r="R678">
        <v>25.22</v>
      </c>
      <c r="S678">
        <v>10794.16</v>
      </c>
      <c r="T678">
        <v>56.25</v>
      </c>
      <c r="U678">
        <v>8</v>
      </c>
      <c r="V678">
        <v>9</v>
      </c>
      <c r="W678">
        <v>2866</v>
      </c>
      <c r="X678" t="s">
        <v>188</v>
      </c>
      <c r="Y678" t="s">
        <v>36</v>
      </c>
      <c r="Z678">
        <v>1500.89</v>
      </c>
    </row>
    <row r="679" spans="1:26" x14ac:dyDescent="0.25">
      <c r="A679">
        <v>100677</v>
      </c>
      <c r="B679" s="3">
        <v>45454</v>
      </c>
      <c r="C679" s="3">
        <v>45457</v>
      </c>
      <c r="D679" s="3">
        <v>45466</v>
      </c>
      <c r="E679" t="s">
        <v>1933</v>
      </c>
      <c r="F679" t="s">
        <v>25</v>
      </c>
      <c r="G679" t="s">
        <v>172</v>
      </c>
      <c r="H679" t="s">
        <v>1934</v>
      </c>
      <c r="I679" t="s">
        <v>61</v>
      </c>
      <c r="J679" t="s">
        <v>62</v>
      </c>
      <c r="K679" t="s">
        <v>1935</v>
      </c>
      <c r="L679" t="s">
        <v>113</v>
      </c>
      <c r="M679" t="s">
        <v>32</v>
      </c>
      <c r="N679" t="s">
        <v>151</v>
      </c>
      <c r="O679" t="s">
        <v>152</v>
      </c>
      <c r="P679" t="s">
        <v>123</v>
      </c>
      <c r="Q679">
        <v>402</v>
      </c>
      <c r="R679">
        <v>22.96</v>
      </c>
      <c r="S679">
        <v>9229.92</v>
      </c>
      <c r="T679">
        <v>20.46</v>
      </c>
      <c r="U679">
        <v>9</v>
      </c>
      <c r="V679">
        <v>12</v>
      </c>
      <c r="W679">
        <v>4191</v>
      </c>
      <c r="X679" t="s">
        <v>188</v>
      </c>
      <c r="Y679" t="s">
        <v>36</v>
      </c>
      <c r="Z679">
        <v>1378.97</v>
      </c>
    </row>
    <row r="680" spans="1:26" x14ac:dyDescent="0.25">
      <c r="A680">
        <v>100678</v>
      </c>
      <c r="B680" s="3">
        <v>45418</v>
      </c>
      <c r="C680" s="3">
        <v>45421</v>
      </c>
      <c r="D680" s="3">
        <v>45431</v>
      </c>
      <c r="E680" t="s">
        <v>1936</v>
      </c>
      <c r="F680" t="s">
        <v>54</v>
      </c>
      <c r="G680" t="s">
        <v>158</v>
      </c>
      <c r="H680" t="s">
        <v>1937</v>
      </c>
      <c r="I680" t="s">
        <v>85</v>
      </c>
      <c r="J680" t="s">
        <v>52</v>
      </c>
      <c r="K680" t="s">
        <v>1938</v>
      </c>
      <c r="L680" t="s">
        <v>113</v>
      </c>
      <c r="M680" t="s">
        <v>54</v>
      </c>
      <c r="N680" t="s">
        <v>107</v>
      </c>
      <c r="O680" t="s">
        <v>108</v>
      </c>
      <c r="P680" t="s">
        <v>76</v>
      </c>
      <c r="Q680">
        <v>224</v>
      </c>
      <c r="R680">
        <v>15.18</v>
      </c>
      <c r="S680">
        <v>3400.32</v>
      </c>
      <c r="T680">
        <v>8.9600000000000009</v>
      </c>
      <c r="U680">
        <v>10</v>
      </c>
      <c r="V680">
        <v>13</v>
      </c>
      <c r="W680">
        <v>3309</v>
      </c>
      <c r="X680" t="s">
        <v>188</v>
      </c>
      <c r="Y680" t="s">
        <v>36</v>
      </c>
      <c r="Z680">
        <v>529.53</v>
      </c>
    </row>
    <row r="681" spans="1:26" x14ac:dyDescent="0.25">
      <c r="A681">
        <v>100679</v>
      </c>
      <c r="B681" s="3">
        <v>46004</v>
      </c>
      <c r="C681" s="3">
        <v>46008</v>
      </c>
      <c r="D681" s="3">
        <v>46010</v>
      </c>
      <c r="E681" t="s">
        <v>1939</v>
      </c>
      <c r="F681" t="s">
        <v>32</v>
      </c>
      <c r="G681" t="s">
        <v>255</v>
      </c>
      <c r="H681" t="s">
        <v>1940</v>
      </c>
      <c r="I681" t="s">
        <v>149</v>
      </c>
      <c r="J681" t="s">
        <v>42</v>
      </c>
      <c r="K681" t="s">
        <v>1935</v>
      </c>
      <c r="L681" t="s">
        <v>118</v>
      </c>
      <c r="M681" t="s">
        <v>25</v>
      </c>
      <c r="N681" t="s">
        <v>107</v>
      </c>
      <c r="O681" t="s">
        <v>108</v>
      </c>
      <c r="P681" t="s">
        <v>68</v>
      </c>
      <c r="Q681">
        <v>490</v>
      </c>
      <c r="R681">
        <v>230.14</v>
      </c>
      <c r="S681">
        <v>112768.6</v>
      </c>
      <c r="T681">
        <v>60.26</v>
      </c>
      <c r="U681">
        <v>2</v>
      </c>
      <c r="V681">
        <v>6</v>
      </c>
      <c r="W681">
        <v>1424</v>
      </c>
      <c r="X681" t="s">
        <v>3741</v>
      </c>
      <c r="Y681" t="s">
        <v>36</v>
      </c>
      <c r="Z681">
        <v>10217.73</v>
      </c>
    </row>
    <row r="682" spans="1:26" x14ac:dyDescent="0.25">
      <c r="A682">
        <v>100680</v>
      </c>
      <c r="B682" s="3">
        <v>45327</v>
      </c>
      <c r="C682" s="3">
        <v>45329</v>
      </c>
      <c r="D682" s="3">
        <v>45339</v>
      </c>
      <c r="E682" t="s">
        <v>1941</v>
      </c>
      <c r="F682" t="s">
        <v>65</v>
      </c>
      <c r="G682" t="s">
        <v>70</v>
      </c>
      <c r="H682" t="s">
        <v>1942</v>
      </c>
      <c r="I682" t="s">
        <v>246</v>
      </c>
      <c r="J682" t="s">
        <v>29</v>
      </c>
      <c r="K682" t="s">
        <v>1943</v>
      </c>
      <c r="L682" t="s">
        <v>31</v>
      </c>
      <c r="M682" t="s">
        <v>25</v>
      </c>
      <c r="N682" t="s">
        <v>45</v>
      </c>
      <c r="O682" t="s">
        <v>46</v>
      </c>
      <c r="P682" t="s">
        <v>123</v>
      </c>
      <c r="Q682">
        <v>477</v>
      </c>
      <c r="R682">
        <v>100.4</v>
      </c>
      <c r="S682">
        <v>47890.8</v>
      </c>
      <c r="T682">
        <v>22.28</v>
      </c>
      <c r="U682">
        <v>10</v>
      </c>
      <c r="V682">
        <v>12</v>
      </c>
      <c r="W682">
        <v>2906</v>
      </c>
      <c r="X682" t="s">
        <v>188</v>
      </c>
      <c r="Y682" t="s">
        <v>36</v>
      </c>
      <c r="Z682">
        <v>5124.57</v>
      </c>
    </row>
    <row r="683" spans="1:26" x14ac:dyDescent="0.25">
      <c r="A683">
        <v>100681</v>
      </c>
      <c r="B683" s="3">
        <v>45822</v>
      </c>
      <c r="C683" s="3">
        <v>45826</v>
      </c>
      <c r="D683" s="3">
        <v>45835</v>
      </c>
      <c r="E683" t="s">
        <v>1944</v>
      </c>
      <c r="F683" t="s">
        <v>65</v>
      </c>
      <c r="G683" t="s">
        <v>70</v>
      </c>
      <c r="H683" t="s">
        <v>1945</v>
      </c>
      <c r="I683" t="s">
        <v>238</v>
      </c>
      <c r="J683" t="s">
        <v>62</v>
      </c>
      <c r="K683" t="s">
        <v>1946</v>
      </c>
      <c r="L683" t="s">
        <v>212</v>
      </c>
      <c r="M683" t="s">
        <v>25</v>
      </c>
      <c r="N683" t="s">
        <v>203</v>
      </c>
      <c r="O683" t="s">
        <v>204</v>
      </c>
      <c r="P683" t="s">
        <v>123</v>
      </c>
      <c r="Q683">
        <v>114</v>
      </c>
      <c r="R683">
        <v>14.43</v>
      </c>
      <c r="S683">
        <v>1645.02</v>
      </c>
      <c r="T683">
        <v>13.46</v>
      </c>
      <c r="U683">
        <v>9</v>
      </c>
      <c r="V683">
        <v>13</v>
      </c>
      <c r="W683">
        <v>1212</v>
      </c>
      <c r="X683" t="s">
        <v>188</v>
      </c>
      <c r="Y683" t="s">
        <v>36</v>
      </c>
      <c r="Z683">
        <v>202.44</v>
      </c>
    </row>
    <row r="684" spans="1:26" x14ac:dyDescent="0.25">
      <c r="A684">
        <v>100682</v>
      </c>
      <c r="B684" s="3">
        <v>45602</v>
      </c>
      <c r="C684" s="3">
        <v>45604</v>
      </c>
      <c r="D684" s="3">
        <v>45626</v>
      </c>
      <c r="E684" t="s">
        <v>1947</v>
      </c>
      <c r="F684" t="s">
        <v>25</v>
      </c>
      <c r="G684" t="s">
        <v>172</v>
      </c>
      <c r="H684" t="s">
        <v>1948</v>
      </c>
      <c r="I684" t="s">
        <v>51</v>
      </c>
      <c r="J684" t="s">
        <v>52</v>
      </c>
      <c r="K684" t="s">
        <v>1597</v>
      </c>
      <c r="L684" t="s">
        <v>212</v>
      </c>
      <c r="M684" t="s">
        <v>32</v>
      </c>
      <c r="N684" t="s">
        <v>74</v>
      </c>
      <c r="O684" t="s">
        <v>75</v>
      </c>
      <c r="P684" t="s">
        <v>76</v>
      </c>
      <c r="Q684">
        <v>376</v>
      </c>
      <c r="R684">
        <v>12.68</v>
      </c>
      <c r="S684">
        <v>4767.68</v>
      </c>
      <c r="T684">
        <v>14.87</v>
      </c>
      <c r="U684">
        <v>22</v>
      </c>
      <c r="V684">
        <v>24</v>
      </c>
      <c r="W684">
        <v>842</v>
      </c>
      <c r="X684" t="s">
        <v>188</v>
      </c>
      <c r="Y684" t="s">
        <v>36</v>
      </c>
      <c r="Z684">
        <v>864.25</v>
      </c>
    </row>
    <row r="685" spans="1:26" x14ac:dyDescent="0.25">
      <c r="A685">
        <v>100683</v>
      </c>
      <c r="B685" s="3">
        <v>45974</v>
      </c>
      <c r="C685" s="3">
        <v>45975</v>
      </c>
      <c r="D685" s="3">
        <v>45983</v>
      </c>
      <c r="E685" t="s">
        <v>1949</v>
      </c>
      <c r="F685" t="s">
        <v>32</v>
      </c>
      <c r="G685" t="s">
        <v>273</v>
      </c>
      <c r="H685" t="s">
        <v>1950</v>
      </c>
      <c r="I685" t="s">
        <v>416</v>
      </c>
      <c r="J685" t="s">
        <v>80</v>
      </c>
      <c r="K685" t="s">
        <v>1951</v>
      </c>
      <c r="L685" t="s">
        <v>212</v>
      </c>
      <c r="M685" t="s">
        <v>65</v>
      </c>
      <c r="N685" t="s">
        <v>151</v>
      </c>
      <c r="O685" t="s">
        <v>152</v>
      </c>
      <c r="P685" t="s">
        <v>35</v>
      </c>
      <c r="Q685">
        <v>137</v>
      </c>
      <c r="R685">
        <v>225.47</v>
      </c>
      <c r="S685">
        <v>30889.39</v>
      </c>
      <c r="T685">
        <v>16.36</v>
      </c>
      <c r="U685">
        <v>8</v>
      </c>
      <c r="V685">
        <v>9</v>
      </c>
      <c r="W685">
        <v>182</v>
      </c>
      <c r="X685" t="s">
        <v>3742</v>
      </c>
      <c r="Y685" t="s">
        <v>47</v>
      </c>
      <c r="Z685">
        <v>-234.6</v>
      </c>
    </row>
    <row r="686" spans="1:26" x14ac:dyDescent="0.25">
      <c r="A686">
        <v>100684</v>
      </c>
      <c r="B686" s="3">
        <v>45584</v>
      </c>
      <c r="C686" s="3">
        <v>45586</v>
      </c>
      <c r="D686" s="3">
        <v>45590</v>
      </c>
      <c r="E686" t="s">
        <v>1952</v>
      </c>
      <c r="F686" t="s">
        <v>65</v>
      </c>
      <c r="G686" t="s">
        <v>142</v>
      </c>
      <c r="H686" t="s">
        <v>1953</v>
      </c>
      <c r="I686" t="s">
        <v>116</v>
      </c>
      <c r="J686" t="s">
        <v>62</v>
      </c>
      <c r="K686" t="s">
        <v>1543</v>
      </c>
      <c r="L686" t="s">
        <v>44</v>
      </c>
      <c r="M686" t="s">
        <v>32</v>
      </c>
      <c r="N686" t="s">
        <v>92</v>
      </c>
      <c r="O686" t="s">
        <v>93</v>
      </c>
      <c r="P686" t="s">
        <v>35</v>
      </c>
      <c r="Q686">
        <v>390</v>
      </c>
      <c r="R686">
        <v>20.84</v>
      </c>
      <c r="S686">
        <v>8127.6</v>
      </c>
      <c r="T686">
        <v>23.53</v>
      </c>
      <c r="U686">
        <v>4</v>
      </c>
      <c r="V686">
        <v>6</v>
      </c>
      <c r="W686">
        <v>2164</v>
      </c>
      <c r="X686" t="s">
        <v>3741</v>
      </c>
      <c r="Y686" t="s">
        <v>36</v>
      </c>
      <c r="Z686">
        <v>1132.1600000000001</v>
      </c>
    </row>
    <row r="687" spans="1:26" x14ac:dyDescent="0.25">
      <c r="A687">
        <v>100685</v>
      </c>
      <c r="B687" s="3">
        <v>45512</v>
      </c>
      <c r="C687" s="3">
        <v>45514</v>
      </c>
      <c r="D687" s="3">
        <v>45534</v>
      </c>
      <c r="E687" t="s">
        <v>1954</v>
      </c>
      <c r="F687" t="s">
        <v>65</v>
      </c>
      <c r="G687" t="s">
        <v>142</v>
      </c>
      <c r="H687" t="s">
        <v>1955</v>
      </c>
      <c r="I687" t="s">
        <v>177</v>
      </c>
      <c r="J687" t="s">
        <v>29</v>
      </c>
      <c r="K687" t="s">
        <v>1956</v>
      </c>
      <c r="L687" t="s">
        <v>31</v>
      </c>
      <c r="M687" t="s">
        <v>25</v>
      </c>
      <c r="N687" t="s">
        <v>203</v>
      </c>
      <c r="O687" t="s">
        <v>204</v>
      </c>
      <c r="P687" t="s">
        <v>76</v>
      </c>
      <c r="Q687">
        <v>200</v>
      </c>
      <c r="R687">
        <v>102.29</v>
      </c>
      <c r="S687">
        <v>20458</v>
      </c>
      <c r="T687">
        <v>11.66</v>
      </c>
      <c r="U687">
        <v>20</v>
      </c>
      <c r="V687">
        <v>22</v>
      </c>
      <c r="W687">
        <v>2258</v>
      </c>
      <c r="X687" t="s">
        <v>188</v>
      </c>
      <c r="Y687" t="s">
        <v>36</v>
      </c>
      <c r="Z687">
        <v>4713.22</v>
      </c>
    </row>
    <row r="688" spans="1:26" x14ac:dyDescent="0.25">
      <c r="A688">
        <v>100686</v>
      </c>
      <c r="B688" s="3">
        <v>46007</v>
      </c>
      <c r="C688" s="3">
        <v>46009</v>
      </c>
      <c r="D688" s="3">
        <v>46011</v>
      </c>
      <c r="E688" t="s">
        <v>1957</v>
      </c>
      <c r="F688" t="s">
        <v>32</v>
      </c>
      <c r="G688" t="s">
        <v>95</v>
      </c>
      <c r="H688" t="s">
        <v>1958</v>
      </c>
      <c r="I688" t="s">
        <v>72</v>
      </c>
      <c r="J688" t="s">
        <v>42</v>
      </c>
      <c r="K688" t="s">
        <v>1679</v>
      </c>
      <c r="L688" t="s">
        <v>113</v>
      </c>
      <c r="M688" t="s">
        <v>38</v>
      </c>
      <c r="N688" t="s">
        <v>107</v>
      </c>
      <c r="O688" t="s">
        <v>108</v>
      </c>
      <c r="P688" t="s">
        <v>68</v>
      </c>
      <c r="Q688">
        <v>444</v>
      </c>
      <c r="R688">
        <v>237.58</v>
      </c>
      <c r="S688">
        <v>105485.52</v>
      </c>
      <c r="T688">
        <v>57.28</v>
      </c>
      <c r="U688">
        <v>2</v>
      </c>
      <c r="V688">
        <v>4</v>
      </c>
      <c r="W688">
        <v>1322</v>
      </c>
      <c r="X688" t="s">
        <v>3741</v>
      </c>
      <c r="Y688" t="s">
        <v>36</v>
      </c>
      <c r="Z688">
        <v>19242.47</v>
      </c>
    </row>
    <row r="689" spans="1:26" x14ac:dyDescent="0.25">
      <c r="A689">
        <v>100687</v>
      </c>
      <c r="B689" s="3">
        <v>45942</v>
      </c>
      <c r="C689" s="3">
        <v>45946</v>
      </c>
      <c r="D689" s="3">
        <v>45950</v>
      </c>
      <c r="E689" t="s">
        <v>1959</v>
      </c>
      <c r="F689" t="s">
        <v>32</v>
      </c>
      <c r="G689" t="s">
        <v>110</v>
      </c>
      <c r="H689" t="s">
        <v>1960</v>
      </c>
      <c r="I689" t="s">
        <v>116</v>
      </c>
      <c r="J689" t="s">
        <v>62</v>
      </c>
      <c r="K689" t="s">
        <v>489</v>
      </c>
      <c r="L689" t="s">
        <v>64</v>
      </c>
      <c r="M689" t="s">
        <v>65</v>
      </c>
      <c r="N689" t="s">
        <v>92</v>
      </c>
      <c r="O689" t="s">
        <v>93</v>
      </c>
      <c r="P689" t="s">
        <v>123</v>
      </c>
      <c r="Q689">
        <v>285</v>
      </c>
      <c r="R689">
        <v>16.579999999999998</v>
      </c>
      <c r="S689">
        <v>4725.3</v>
      </c>
      <c r="T689">
        <v>17.62</v>
      </c>
      <c r="U689">
        <v>4</v>
      </c>
      <c r="V689">
        <v>8</v>
      </c>
      <c r="W689">
        <v>1222</v>
      </c>
      <c r="X689" t="s">
        <v>188</v>
      </c>
      <c r="Y689" t="s">
        <v>36</v>
      </c>
      <c r="Z689">
        <v>736.51</v>
      </c>
    </row>
    <row r="690" spans="1:26" x14ac:dyDescent="0.25">
      <c r="A690">
        <v>100688</v>
      </c>
      <c r="B690" s="3">
        <v>45527</v>
      </c>
      <c r="C690" s="3">
        <v>45532</v>
      </c>
      <c r="D690" s="3">
        <v>45534</v>
      </c>
      <c r="E690" t="s">
        <v>1961</v>
      </c>
      <c r="F690" t="s">
        <v>38</v>
      </c>
      <c r="G690" t="s">
        <v>147</v>
      </c>
      <c r="H690" t="s">
        <v>1962</v>
      </c>
      <c r="I690" t="s">
        <v>89</v>
      </c>
      <c r="J690" t="s">
        <v>62</v>
      </c>
      <c r="K690" t="s">
        <v>1963</v>
      </c>
      <c r="L690" t="s">
        <v>118</v>
      </c>
      <c r="M690" t="s">
        <v>32</v>
      </c>
      <c r="N690" t="s">
        <v>92</v>
      </c>
      <c r="O690" t="s">
        <v>93</v>
      </c>
      <c r="P690" t="s">
        <v>68</v>
      </c>
      <c r="Q690">
        <v>243</v>
      </c>
      <c r="R690">
        <v>27.4</v>
      </c>
      <c r="S690">
        <v>6658.2</v>
      </c>
      <c r="T690">
        <v>44.26</v>
      </c>
      <c r="U690">
        <v>2</v>
      </c>
      <c r="V690">
        <v>7</v>
      </c>
      <c r="W690">
        <v>1966</v>
      </c>
      <c r="X690" t="s">
        <v>3741</v>
      </c>
      <c r="Y690" t="s">
        <v>36</v>
      </c>
      <c r="Z690">
        <v>798.6</v>
      </c>
    </row>
    <row r="691" spans="1:26" x14ac:dyDescent="0.25">
      <c r="A691">
        <v>100689</v>
      </c>
      <c r="B691" s="3">
        <v>45453</v>
      </c>
      <c r="C691" s="3">
        <v>45457</v>
      </c>
      <c r="D691" s="3">
        <v>45461</v>
      </c>
      <c r="E691" t="s">
        <v>1964</v>
      </c>
      <c r="F691" t="s">
        <v>65</v>
      </c>
      <c r="G691" t="s">
        <v>142</v>
      </c>
      <c r="H691" t="s">
        <v>1965</v>
      </c>
      <c r="I691" t="s">
        <v>177</v>
      </c>
      <c r="J691" t="s">
        <v>29</v>
      </c>
      <c r="K691" t="s">
        <v>227</v>
      </c>
      <c r="L691" t="s">
        <v>187</v>
      </c>
      <c r="M691" t="s">
        <v>38</v>
      </c>
      <c r="N691" t="s">
        <v>203</v>
      </c>
      <c r="O691" t="s">
        <v>204</v>
      </c>
      <c r="P691" t="s">
        <v>68</v>
      </c>
      <c r="Q691">
        <v>475</v>
      </c>
      <c r="R691">
        <v>51.6</v>
      </c>
      <c r="S691">
        <v>24510</v>
      </c>
      <c r="T691">
        <v>59.29</v>
      </c>
      <c r="U691">
        <v>4</v>
      </c>
      <c r="V691">
        <v>8</v>
      </c>
      <c r="W691">
        <v>3442</v>
      </c>
      <c r="X691" t="s">
        <v>188</v>
      </c>
      <c r="Y691" t="s">
        <v>36</v>
      </c>
      <c r="Z691">
        <v>6201.57</v>
      </c>
    </row>
    <row r="692" spans="1:26" x14ac:dyDescent="0.25">
      <c r="A692">
        <v>100690</v>
      </c>
      <c r="B692" s="3">
        <v>45813</v>
      </c>
      <c r="C692" s="3">
        <v>45815</v>
      </c>
      <c r="D692" s="3">
        <v>45838</v>
      </c>
      <c r="E692" t="s">
        <v>1966</v>
      </c>
      <c r="F692" t="s">
        <v>25</v>
      </c>
      <c r="G692" t="s">
        <v>221</v>
      </c>
      <c r="H692" t="s">
        <v>1967</v>
      </c>
      <c r="I692" t="s">
        <v>368</v>
      </c>
      <c r="J692" t="s">
        <v>29</v>
      </c>
      <c r="K692" t="s">
        <v>649</v>
      </c>
      <c r="L692" t="s">
        <v>31</v>
      </c>
      <c r="M692" t="s">
        <v>65</v>
      </c>
      <c r="N692" t="s">
        <v>33</v>
      </c>
      <c r="O692" t="s">
        <v>34</v>
      </c>
      <c r="P692" t="s">
        <v>76</v>
      </c>
      <c r="Q692">
        <v>42</v>
      </c>
      <c r="R692">
        <v>21.08</v>
      </c>
      <c r="S692">
        <v>885.36</v>
      </c>
      <c r="T692">
        <v>8.7799999999999994</v>
      </c>
      <c r="U692">
        <v>23</v>
      </c>
      <c r="V692">
        <v>25</v>
      </c>
      <c r="W692">
        <v>1988</v>
      </c>
      <c r="X692" t="s">
        <v>3742</v>
      </c>
      <c r="Y692" t="s">
        <v>188</v>
      </c>
      <c r="Z692">
        <v>163.26</v>
      </c>
    </row>
    <row r="693" spans="1:26" x14ac:dyDescent="0.25">
      <c r="A693">
        <v>100691</v>
      </c>
      <c r="B693" s="3">
        <v>45793</v>
      </c>
      <c r="C693" s="3">
        <v>45793</v>
      </c>
      <c r="D693" s="3">
        <v>45799</v>
      </c>
      <c r="E693" t="s">
        <v>1968</v>
      </c>
      <c r="F693" t="s">
        <v>32</v>
      </c>
      <c r="G693" t="s">
        <v>110</v>
      </c>
      <c r="H693" t="s">
        <v>1969</v>
      </c>
      <c r="I693" t="s">
        <v>79</v>
      </c>
      <c r="J693" t="s">
        <v>80</v>
      </c>
      <c r="K693" t="s">
        <v>239</v>
      </c>
      <c r="L693" t="s">
        <v>122</v>
      </c>
      <c r="M693" t="s">
        <v>38</v>
      </c>
      <c r="N693" t="s">
        <v>107</v>
      </c>
      <c r="O693" t="s">
        <v>108</v>
      </c>
      <c r="P693" t="s">
        <v>123</v>
      </c>
      <c r="Q693">
        <v>328</v>
      </c>
      <c r="R693">
        <v>288.43</v>
      </c>
      <c r="S693">
        <v>94605.04</v>
      </c>
      <c r="T693">
        <v>18.66</v>
      </c>
      <c r="U693">
        <v>6</v>
      </c>
      <c r="V693">
        <v>6</v>
      </c>
      <c r="W693">
        <v>2098</v>
      </c>
      <c r="X693" t="s">
        <v>3741</v>
      </c>
      <c r="Y693" t="s">
        <v>36</v>
      </c>
      <c r="Z693">
        <v>21063.49</v>
      </c>
    </row>
    <row r="694" spans="1:26" x14ac:dyDescent="0.25">
      <c r="A694">
        <v>100692</v>
      </c>
      <c r="B694" s="3">
        <v>45615</v>
      </c>
      <c r="C694" s="3">
        <v>45618</v>
      </c>
      <c r="D694" s="3">
        <v>45622</v>
      </c>
      <c r="E694" t="s">
        <v>1970</v>
      </c>
      <c r="F694" t="s">
        <v>54</v>
      </c>
      <c r="G694" t="s">
        <v>165</v>
      </c>
      <c r="H694" t="s">
        <v>1971</v>
      </c>
      <c r="I694" t="s">
        <v>41</v>
      </c>
      <c r="J694" t="s">
        <v>42</v>
      </c>
      <c r="K694" t="s">
        <v>815</v>
      </c>
      <c r="L694" t="s">
        <v>118</v>
      </c>
      <c r="M694" t="s">
        <v>25</v>
      </c>
      <c r="N694" t="s">
        <v>151</v>
      </c>
      <c r="O694" t="s">
        <v>152</v>
      </c>
      <c r="P694" t="s">
        <v>68</v>
      </c>
      <c r="Q694">
        <v>75</v>
      </c>
      <c r="R694">
        <v>247.64</v>
      </c>
      <c r="S694">
        <v>18573</v>
      </c>
      <c r="T694">
        <v>33.369999999999997</v>
      </c>
      <c r="U694">
        <v>4</v>
      </c>
      <c r="V694">
        <v>7</v>
      </c>
      <c r="W694">
        <v>98</v>
      </c>
      <c r="X694" t="s">
        <v>3741</v>
      </c>
      <c r="Y694" t="s">
        <v>36</v>
      </c>
      <c r="Z694">
        <v>2078.81</v>
      </c>
    </row>
    <row r="695" spans="1:26" x14ac:dyDescent="0.25">
      <c r="A695">
        <v>100693</v>
      </c>
      <c r="B695" s="3">
        <v>45869</v>
      </c>
      <c r="C695" s="3">
        <v>45873</v>
      </c>
      <c r="D695" s="3">
        <v>45897</v>
      </c>
      <c r="E695" t="s">
        <v>1972</v>
      </c>
      <c r="F695" t="s">
        <v>32</v>
      </c>
      <c r="G695" t="s">
        <v>180</v>
      </c>
      <c r="H695" t="s">
        <v>1973</v>
      </c>
      <c r="I695" t="s">
        <v>126</v>
      </c>
      <c r="J695" t="s">
        <v>42</v>
      </c>
      <c r="K695" t="s">
        <v>1974</v>
      </c>
      <c r="L695" t="s">
        <v>44</v>
      </c>
      <c r="M695" t="s">
        <v>54</v>
      </c>
      <c r="N695" t="s">
        <v>45</v>
      </c>
      <c r="O695" t="s">
        <v>46</v>
      </c>
      <c r="P695" t="s">
        <v>76</v>
      </c>
      <c r="Q695">
        <v>389</v>
      </c>
      <c r="R695">
        <v>288.23</v>
      </c>
      <c r="S695">
        <v>112121.47</v>
      </c>
      <c r="T695">
        <v>15.11</v>
      </c>
      <c r="U695">
        <v>24</v>
      </c>
      <c r="V695">
        <v>28</v>
      </c>
      <c r="W695">
        <v>832</v>
      </c>
      <c r="X695" t="s">
        <v>188</v>
      </c>
      <c r="Y695" t="s">
        <v>36</v>
      </c>
      <c r="Z695">
        <v>14628.53</v>
      </c>
    </row>
    <row r="696" spans="1:26" x14ac:dyDescent="0.25">
      <c r="A696">
        <v>100694</v>
      </c>
      <c r="B696" s="3">
        <v>45917</v>
      </c>
      <c r="C696" s="3">
        <v>45920</v>
      </c>
      <c r="D696" s="3">
        <v>45930</v>
      </c>
      <c r="E696" t="s">
        <v>1975</v>
      </c>
      <c r="F696" t="s">
        <v>25</v>
      </c>
      <c r="G696" t="s">
        <v>221</v>
      </c>
      <c r="H696" t="s">
        <v>1976</v>
      </c>
      <c r="I696" t="s">
        <v>182</v>
      </c>
      <c r="J696" t="s">
        <v>80</v>
      </c>
      <c r="K696" t="s">
        <v>1791</v>
      </c>
      <c r="L696" t="s">
        <v>118</v>
      </c>
      <c r="M696" t="s">
        <v>38</v>
      </c>
      <c r="N696" t="s">
        <v>55</v>
      </c>
      <c r="O696" t="s">
        <v>56</v>
      </c>
      <c r="P696" t="s">
        <v>35</v>
      </c>
      <c r="Q696">
        <v>104</v>
      </c>
      <c r="R696">
        <v>303.62</v>
      </c>
      <c r="S696">
        <v>31576.48</v>
      </c>
      <c r="T696">
        <v>15.42</v>
      </c>
      <c r="U696">
        <v>10</v>
      </c>
      <c r="V696">
        <v>13</v>
      </c>
      <c r="W696">
        <v>1409</v>
      </c>
      <c r="X696" t="s">
        <v>188</v>
      </c>
      <c r="Y696" t="s">
        <v>36</v>
      </c>
      <c r="Z696">
        <v>6013.52</v>
      </c>
    </row>
    <row r="697" spans="1:26" x14ac:dyDescent="0.25">
      <c r="A697">
        <v>100695</v>
      </c>
      <c r="B697" s="3">
        <v>45553</v>
      </c>
      <c r="C697" s="3">
        <v>45554</v>
      </c>
      <c r="D697" s="3">
        <v>45557</v>
      </c>
      <c r="E697" t="s">
        <v>1977</v>
      </c>
      <c r="F697" t="s">
        <v>25</v>
      </c>
      <c r="G697" t="s">
        <v>169</v>
      </c>
      <c r="H697" t="s">
        <v>1978</v>
      </c>
      <c r="I697" t="s">
        <v>116</v>
      </c>
      <c r="J697" t="s">
        <v>62</v>
      </c>
      <c r="K697" t="s">
        <v>1979</v>
      </c>
      <c r="L697" t="s">
        <v>44</v>
      </c>
      <c r="M697" t="s">
        <v>25</v>
      </c>
      <c r="N697" t="s">
        <v>45</v>
      </c>
      <c r="O697" t="s">
        <v>46</v>
      </c>
      <c r="P697" t="s">
        <v>68</v>
      </c>
      <c r="Q697">
        <v>134</v>
      </c>
      <c r="R697">
        <v>38.67</v>
      </c>
      <c r="S697">
        <v>5181.78</v>
      </c>
      <c r="T697">
        <v>27.55</v>
      </c>
      <c r="U697">
        <v>3</v>
      </c>
      <c r="V697">
        <v>4</v>
      </c>
      <c r="W697">
        <v>1119</v>
      </c>
      <c r="X697" t="s">
        <v>3741</v>
      </c>
      <c r="Y697" t="s">
        <v>36</v>
      </c>
      <c r="Z697">
        <v>334.4</v>
      </c>
    </row>
    <row r="698" spans="1:26" x14ac:dyDescent="0.25">
      <c r="A698">
        <v>100696</v>
      </c>
      <c r="B698" s="3">
        <v>45746</v>
      </c>
      <c r="C698" s="3">
        <v>45747</v>
      </c>
      <c r="D698" s="3">
        <v>45753</v>
      </c>
      <c r="E698" t="s">
        <v>1980</v>
      </c>
      <c r="F698" t="s">
        <v>25</v>
      </c>
      <c r="G698" t="s">
        <v>233</v>
      </c>
      <c r="H698" t="s">
        <v>1981</v>
      </c>
      <c r="I698" t="s">
        <v>139</v>
      </c>
      <c r="J698" t="s">
        <v>42</v>
      </c>
      <c r="K698" t="s">
        <v>778</v>
      </c>
      <c r="L698" t="s">
        <v>118</v>
      </c>
      <c r="M698" t="s">
        <v>54</v>
      </c>
      <c r="N698" t="s">
        <v>74</v>
      </c>
      <c r="O698" t="s">
        <v>75</v>
      </c>
      <c r="P698" t="s">
        <v>123</v>
      </c>
      <c r="Q698">
        <v>254</v>
      </c>
      <c r="R698">
        <v>327.06</v>
      </c>
      <c r="S698">
        <v>83073.240000000005</v>
      </c>
      <c r="T698">
        <v>16.86</v>
      </c>
      <c r="U698">
        <v>6</v>
      </c>
      <c r="V698">
        <v>7</v>
      </c>
      <c r="W698">
        <v>1067</v>
      </c>
      <c r="X698" t="s">
        <v>3741</v>
      </c>
      <c r="Y698" t="s">
        <v>36</v>
      </c>
      <c r="Z698">
        <v>14344.07</v>
      </c>
    </row>
    <row r="699" spans="1:26" x14ac:dyDescent="0.25">
      <c r="A699">
        <v>100697</v>
      </c>
      <c r="B699" s="3">
        <v>45310</v>
      </c>
      <c r="C699" s="3">
        <v>45311</v>
      </c>
      <c r="D699" s="3">
        <v>45319</v>
      </c>
      <c r="E699" t="s">
        <v>1982</v>
      </c>
      <c r="F699" t="s">
        <v>38</v>
      </c>
      <c r="G699" t="s">
        <v>83</v>
      </c>
      <c r="H699" t="s">
        <v>1983</v>
      </c>
      <c r="I699" t="s">
        <v>198</v>
      </c>
      <c r="J699" t="s">
        <v>52</v>
      </c>
      <c r="K699" t="s">
        <v>888</v>
      </c>
      <c r="L699" t="s">
        <v>44</v>
      </c>
      <c r="M699" t="s">
        <v>65</v>
      </c>
      <c r="N699" t="s">
        <v>33</v>
      </c>
      <c r="O699" t="s">
        <v>34</v>
      </c>
      <c r="P699" t="s">
        <v>35</v>
      </c>
      <c r="Q699">
        <v>418</v>
      </c>
      <c r="R699">
        <v>73.099999999999994</v>
      </c>
      <c r="S699">
        <v>30555.8</v>
      </c>
      <c r="T699">
        <v>24.32</v>
      </c>
      <c r="U699">
        <v>8</v>
      </c>
      <c r="V699">
        <v>9</v>
      </c>
      <c r="W699">
        <v>3678</v>
      </c>
      <c r="X699" t="s">
        <v>188</v>
      </c>
      <c r="Y699" t="s">
        <v>36</v>
      </c>
      <c r="Z699">
        <v>4716.18</v>
      </c>
    </row>
    <row r="700" spans="1:26" x14ac:dyDescent="0.25">
      <c r="A700">
        <v>100698</v>
      </c>
      <c r="B700" s="3">
        <v>45705</v>
      </c>
      <c r="C700" s="3">
        <v>45709</v>
      </c>
      <c r="D700" s="3">
        <v>45729</v>
      </c>
      <c r="E700" t="s">
        <v>1984</v>
      </c>
      <c r="F700" t="s">
        <v>38</v>
      </c>
      <c r="G700" t="s">
        <v>217</v>
      </c>
      <c r="H700" t="s">
        <v>1985</v>
      </c>
      <c r="I700" t="s">
        <v>126</v>
      </c>
      <c r="J700" t="s">
        <v>42</v>
      </c>
      <c r="K700" t="s">
        <v>584</v>
      </c>
      <c r="L700" t="s">
        <v>118</v>
      </c>
      <c r="M700" t="s">
        <v>54</v>
      </c>
      <c r="N700" t="s">
        <v>45</v>
      </c>
      <c r="O700" t="s">
        <v>46</v>
      </c>
      <c r="P700" t="s">
        <v>76</v>
      </c>
      <c r="Q700">
        <v>213</v>
      </c>
      <c r="R700">
        <v>297.33999999999997</v>
      </c>
      <c r="S700">
        <v>63333.42</v>
      </c>
      <c r="T700">
        <v>11.9</v>
      </c>
      <c r="U700">
        <v>20</v>
      </c>
      <c r="V700">
        <v>24</v>
      </c>
      <c r="W700">
        <v>1590</v>
      </c>
      <c r="X700" t="s">
        <v>188</v>
      </c>
      <c r="Y700" t="s">
        <v>36</v>
      </c>
      <c r="Z700">
        <v>6238.86</v>
      </c>
    </row>
    <row r="701" spans="1:26" x14ac:dyDescent="0.25">
      <c r="A701">
        <v>100699</v>
      </c>
      <c r="B701" s="3">
        <v>45544</v>
      </c>
      <c r="C701" s="3">
        <v>45544</v>
      </c>
      <c r="D701" s="3">
        <v>45566</v>
      </c>
      <c r="E701" t="s">
        <v>1986</v>
      </c>
      <c r="F701" t="s">
        <v>38</v>
      </c>
      <c r="G701" t="s">
        <v>49</v>
      </c>
      <c r="H701" t="s">
        <v>1987</v>
      </c>
      <c r="I701" t="s">
        <v>85</v>
      </c>
      <c r="J701" t="s">
        <v>52</v>
      </c>
      <c r="K701" t="s">
        <v>309</v>
      </c>
      <c r="L701" t="s">
        <v>118</v>
      </c>
      <c r="M701" t="s">
        <v>38</v>
      </c>
      <c r="N701" t="s">
        <v>203</v>
      </c>
      <c r="O701" t="s">
        <v>204</v>
      </c>
      <c r="P701" t="s">
        <v>76</v>
      </c>
      <c r="Q701">
        <v>243</v>
      </c>
      <c r="R701">
        <v>41.03</v>
      </c>
      <c r="S701">
        <v>9970.2900000000009</v>
      </c>
      <c r="T701">
        <v>9.2200000000000006</v>
      </c>
      <c r="U701">
        <v>22</v>
      </c>
      <c r="V701">
        <v>22</v>
      </c>
      <c r="W701">
        <v>465</v>
      </c>
      <c r="X701" t="s">
        <v>188</v>
      </c>
      <c r="Y701" t="s">
        <v>36</v>
      </c>
      <c r="Z701">
        <v>717.48</v>
      </c>
    </row>
    <row r="702" spans="1:26" x14ac:dyDescent="0.25">
      <c r="A702">
        <v>100700</v>
      </c>
      <c r="B702" s="3">
        <v>45731</v>
      </c>
      <c r="C702" s="3">
        <v>45733</v>
      </c>
      <c r="D702" s="3">
        <v>45743</v>
      </c>
      <c r="E702" t="s">
        <v>1988</v>
      </c>
      <c r="F702" t="s">
        <v>38</v>
      </c>
      <c r="G702" t="s">
        <v>83</v>
      </c>
      <c r="H702" t="s">
        <v>1989</v>
      </c>
      <c r="I702" t="s">
        <v>182</v>
      </c>
      <c r="J702" t="s">
        <v>80</v>
      </c>
      <c r="K702" t="s">
        <v>1245</v>
      </c>
      <c r="L702" t="s">
        <v>44</v>
      </c>
      <c r="M702" t="s">
        <v>32</v>
      </c>
      <c r="N702" t="s">
        <v>66</v>
      </c>
      <c r="O702" t="s">
        <v>67</v>
      </c>
      <c r="P702" t="s">
        <v>35</v>
      </c>
      <c r="Q702">
        <v>369</v>
      </c>
      <c r="R702">
        <v>317.64999999999998</v>
      </c>
      <c r="S702">
        <v>117212.85</v>
      </c>
      <c r="T702">
        <v>22.94</v>
      </c>
      <c r="U702">
        <v>10</v>
      </c>
      <c r="V702">
        <v>12</v>
      </c>
      <c r="W702">
        <v>1449</v>
      </c>
      <c r="X702" t="s">
        <v>188</v>
      </c>
      <c r="Y702" t="s">
        <v>36</v>
      </c>
      <c r="Z702">
        <v>30357.31</v>
      </c>
    </row>
    <row r="703" spans="1:26" x14ac:dyDescent="0.25">
      <c r="A703">
        <v>100701</v>
      </c>
      <c r="B703" s="3">
        <v>45657</v>
      </c>
      <c r="C703" s="3">
        <v>45659</v>
      </c>
      <c r="D703" s="3">
        <v>45667</v>
      </c>
      <c r="E703" t="s">
        <v>1990</v>
      </c>
      <c r="F703" t="s">
        <v>38</v>
      </c>
      <c r="G703" t="s">
        <v>83</v>
      </c>
      <c r="H703" t="s">
        <v>1991</v>
      </c>
      <c r="I703" t="s">
        <v>116</v>
      </c>
      <c r="J703" t="s">
        <v>62</v>
      </c>
      <c r="K703" t="s">
        <v>257</v>
      </c>
      <c r="L703" t="s">
        <v>212</v>
      </c>
      <c r="M703" t="s">
        <v>54</v>
      </c>
      <c r="N703" t="s">
        <v>74</v>
      </c>
      <c r="O703" t="s">
        <v>75</v>
      </c>
      <c r="P703" t="s">
        <v>123</v>
      </c>
      <c r="Q703">
        <v>306</v>
      </c>
      <c r="R703">
        <v>47.2</v>
      </c>
      <c r="S703">
        <v>14443.2</v>
      </c>
      <c r="T703">
        <v>18.13</v>
      </c>
      <c r="U703">
        <v>8</v>
      </c>
      <c r="V703">
        <v>10</v>
      </c>
      <c r="W703">
        <v>1545</v>
      </c>
      <c r="X703" t="s">
        <v>3742</v>
      </c>
      <c r="Y703" t="s">
        <v>57</v>
      </c>
      <c r="Z703">
        <v>1991.21</v>
      </c>
    </row>
    <row r="704" spans="1:26" x14ac:dyDescent="0.25">
      <c r="A704">
        <v>100702</v>
      </c>
      <c r="B704" s="3">
        <v>45734</v>
      </c>
      <c r="C704" s="3">
        <v>45734</v>
      </c>
      <c r="D704" s="3">
        <v>45738</v>
      </c>
      <c r="E704" t="s">
        <v>1992</v>
      </c>
      <c r="F704" t="s">
        <v>38</v>
      </c>
      <c r="G704" t="s">
        <v>83</v>
      </c>
      <c r="H704" t="s">
        <v>1993</v>
      </c>
      <c r="I704" t="s">
        <v>177</v>
      </c>
      <c r="J704" t="s">
        <v>29</v>
      </c>
      <c r="K704" t="s">
        <v>1994</v>
      </c>
      <c r="L704" t="s">
        <v>91</v>
      </c>
      <c r="M704" t="s">
        <v>65</v>
      </c>
      <c r="N704" t="s">
        <v>55</v>
      </c>
      <c r="O704" t="s">
        <v>56</v>
      </c>
      <c r="P704" t="s">
        <v>68</v>
      </c>
      <c r="Q704">
        <v>128</v>
      </c>
      <c r="R704">
        <v>80.19</v>
      </c>
      <c r="S704">
        <v>10264.32</v>
      </c>
      <c r="T704">
        <v>36.81</v>
      </c>
      <c r="U704">
        <v>4</v>
      </c>
      <c r="V704">
        <v>4</v>
      </c>
      <c r="W704">
        <v>1819</v>
      </c>
      <c r="X704" t="s">
        <v>3741</v>
      </c>
      <c r="Y704" t="s">
        <v>36</v>
      </c>
      <c r="Z704">
        <v>1012.19</v>
      </c>
    </row>
    <row r="705" spans="1:26" x14ac:dyDescent="0.25">
      <c r="A705">
        <v>100703</v>
      </c>
      <c r="B705" s="3">
        <v>45995</v>
      </c>
      <c r="C705" s="3">
        <v>45995</v>
      </c>
      <c r="D705" s="3">
        <v>46020</v>
      </c>
      <c r="E705" t="s">
        <v>1995</v>
      </c>
      <c r="F705" t="s">
        <v>38</v>
      </c>
      <c r="G705" t="s">
        <v>147</v>
      </c>
      <c r="H705" t="s">
        <v>1996</v>
      </c>
      <c r="I705" t="s">
        <v>61</v>
      </c>
      <c r="J705" t="s">
        <v>62</v>
      </c>
      <c r="K705" t="s">
        <v>913</v>
      </c>
      <c r="L705" t="s">
        <v>118</v>
      </c>
      <c r="M705" t="s">
        <v>65</v>
      </c>
      <c r="N705" t="s">
        <v>74</v>
      </c>
      <c r="O705" t="s">
        <v>75</v>
      </c>
      <c r="P705" t="s">
        <v>76</v>
      </c>
      <c r="Q705">
        <v>80</v>
      </c>
      <c r="R705">
        <v>14.21</v>
      </c>
      <c r="S705">
        <v>1136.8</v>
      </c>
      <c r="T705">
        <v>9.48</v>
      </c>
      <c r="U705">
        <v>25</v>
      </c>
      <c r="V705">
        <v>25</v>
      </c>
      <c r="W705">
        <v>2280</v>
      </c>
      <c r="X705" t="s">
        <v>3742</v>
      </c>
      <c r="Y705" t="s">
        <v>188</v>
      </c>
      <c r="Z705">
        <v>101.27</v>
      </c>
    </row>
    <row r="706" spans="1:26" x14ac:dyDescent="0.25">
      <c r="A706">
        <v>100704</v>
      </c>
      <c r="B706" s="3">
        <v>45564</v>
      </c>
      <c r="C706" s="3">
        <v>45565</v>
      </c>
      <c r="D706" s="3">
        <v>45573</v>
      </c>
      <c r="E706" t="s">
        <v>1997</v>
      </c>
      <c r="F706" t="s">
        <v>54</v>
      </c>
      <c r="G706" t="s">
        <v>129</v>
      </c>
      <c r="H706" t="s">
        <v>1998</v>
      </c>
      <c r="I706" t="s">
        <v>41</v>
      </c>
      <c r="J706" t="s">
        <v>42</v>
      </c>
      <c r="K706" t="s">
        <v>1999</v>
      </c>
      <c r="L706" t="s">
        <v>98</v>
      </c>
      <c r="M706" t="s">
        <v>38</v>
      </c>
      <c r="N706" t="s">
        <v>151</v>
      </c>
      <c r="O706" t="s">
        <v>152</v>
      </c>
      <c r="P706" t="s">
        <v>123</v>
      </c>
      <c r="Q706">
        <v>225</v>
      </c>
      <c r="R706">
        <v>287.14</v>
      </c>
      <c r="S706">
        <v>64606.5</v>
      </c>
      <c r="T706">
        <v>16.16</v>
      </c>
      <c r="U706">
        <v>8</v>
      </c>
      <c r="V706">
        <v>9</v>
      </c>
      <c r="W706">
        <v>1489</v>
      </c>
      <c r="X706" t="s">
        <v>3742</v>
      </c>
      <c r="Y706" t="s">
        <v>57</v>
      </c>
      <c r="Z706">
        <v>6882.55</v>
      </c>
    </row>
    <row r="707" spans="1:26" x14ac:dyDescent="0.25">
      <c r="A707">
        <v>100705</v>
      </c>
      <c r="B707" s="3">
        <v>45309</v>
      </c>
      <c r="C707" s="3">
        <v>45313</v>
      </c>
      <c r="D707" s="3">
        <v>45335</v>
      </c>
      <c r="E707" t="s">
        <v>2000</v>
      </c>
      <c r="F707" t="s">
        <v>65</v>
      </c>
      <c r="G707" t="s">
        <v>70</v>
      </c>
      <c r="H707" t="s">
        <v>2001</v>
      </c>
      <c r="I707" t="s">
        <v>28</v>
      </c>
      <c r="J707" t="s">
        <v>29</v>
      </c>
      <c r="K707" t="s">
        <v>2002</v>
      </c>
      <c r="L707" t="s">
        <v>31</v>
      </c>
      <c r="M707" t="s">
        <v>65</v>
      </c>
      <c r="N707" t="s">
        <v>151</v>
      </c>
      <c r="O707" t="s">
        <v>152</v>
      </c>
      <c r="P707" t="s">
        <v>76</v>
      </c>
      <c r="Q707">
        <v>10</v>
      </c>
      <c r="R707">
        <v>16.440000000000001</v>
      </c>
      <c r="S707">
        <v>164.4</v>
      </c>
      <c r="T707">
        <v>6.08</v>
      </c>
      <c r="U707">
        <v>22</v>
      </c>
      <c r="V707">
        <v>26</v>
      </c>
      <c r="W707">
        <v>1207</v>
      </c>
      <c r="X707" t="s">
        <v>188</v>
      </c>
      <c r="Y707" t="s">
        <v>36</v>
      </c>
      <c r="Z707">
        <v>42.61</v>
      </c>
    </row>
    <row r="708" spans="1:26" x14ac:dyDescent="0.25">
      <c r="A708">
        <v>100706</v>
      </c>
      <c r="B708" s="3">
        <v>45704</v>
      </c>
      <c r="C708" s="3">
        <v>45707</v>
      </c>
      <c r="D708" s="3">
        <v>45711</v>
      </c>
      <c r="E708" t="s">
        <v>2003</v>
      </c>
      <c r="F708" t="s">
        <v>38</v>
      </c>
      <c r="G708" t="s">
        <v>147</v>
      </c>
      <c r="H708" t="s">
        <v>2004</v>
      </c>
      <c r="I708" t="s">
        <v>144</v>
      </c>
      <c r="J708" t="s">
        <v>52</v>
      </c>
      <c r="K708" t="s">
        <v>2005</v>
      </c>
      <c r="L708" t="s">
        <v>212</v>
      </c>
      <c r="M708" t="s">
        <v>32</v>
      </c>
      <c r="N708" t="s">
        <v>33</v>
      </c>
      <c r="O708" t="s">
        <v>34</v>
      </c>
      <c r="P708" t="s">
        <v>68</v>
      </c>
      <c r="Q708">
        <v>220</v>
      </c>
      <c r="R708">
        <v>33.700000000000003</v>
      </c>
      <c r="S708">
        <v>7414</v>
      </c>
      <c r="T708">
        <v>42.77</v>
      </c>
      <c r="U708">
        <v>4</v>
      </c>
      <c r="V708">
        <v>7</v>
      </c>
      <c r="W708">
        <v>467</v>
      </c>
      <c r="X708" t="s">
        <v>3741</v>
      </c>
      <c r="Y708" t="s">
        <v>36</v>
      </c>
      <c r="Z708">
        <v>1251.4100000000001</v>
      </c>
    </row>
    <row r="709" spans="1:26" x14ac:dyDescent="0.25">
      <c r="A709">
        <v>100707</v>
      </c>
      <c r="B709" s="3">
        <v>45656</v>
      </c>
      <c r="C709" s="3">
        <v>45658</v>
      </c>
      <c r="D709" s="3">
        <v>45660</v>
      </c>
      <c r="E709" t="s">
        <v>2006</v>
      </c>
      <c r="F709" t="s">
        <v>54</v>
      </c>
      <c r="G709" t="s">
        <v>165</v>
      </c>
      <c r="H709" t="s">
        <v>2007</v>
      </c>
      <c r="I709" t="s">
        <v>191</v>
      </c>
      <c r="J709" t="s">
        <v>62</v>
      </c>
      <c r="K709" t="s">
        <v>1474</v>
      </c>
      <c r="L709" t="s">
        <v>98</v>
      </c>
      <c r="M709" t="s">
        <v>65</v>
      </c>
      <c r="N709" t="s">
        <v>55</v>
      </c>
      <c r="O709" t="s">
        <v>56</v>
      </c>
      <c r="P709" t="s">
        <v>35</v>
      </c>
      <c r="Q709">
        <v>260</v>
      </c>
      <c r="R709">
        <v>39.270000000000003</v>
      </c>
      <c r="S709">
        <v>10210.200000000001</v>
      </c>
      <c r="T709">
        <v>19.84</v>
      </c>
      <c r="U709">
        <v>2</v>
      </c>
      <c r="V709">
        <v>4</v>
      </c>
      <c r="W709">
        <v>689</v>
      </c>
      <c r="X709" t="s">
        <v>3742</v>
      </c>
      <c r="Y709" t="s">
        <v>47</v>
      </c>
      <c r="Z709">
        <v>-87.82</v>
      </c>
    </row>
    <row r="710" spans="1:26" x14ac:dyDescent="0.25">
      <c r="A710">
        <v>100708</v>
      </c>
      <c r="B710" s="3">
        <v>45547</v>
      </c>
      <c r="C710" s="3">
        <v>45552</v>
      </c>
      <c r="D710" s="3">
        <v>45577</v>
      </c>
      <c r="E710" t="s">
        <v>2008</v>
      </c>
      <c r="F710" t="s">
        <v>32</v>
      </c>
      <c r="G710" t="s">
        <v>95</v>
      </c>
      <c r="H710" t="s">
        <v>2009</v>
      </c>
      <c r="I710" t="s">
        <v>246</v>
      </c>
      <c r="J710" t="s">
        <v>29</v>
      </c>
      <c r="K710" t="s">
        <v>1048</v>
      </c>
      <c r="L710" t="s">
        <v>212</v>
      </c>
      <c r="M710" t="s">
        <v>54</v>
      </c>
      <c r="N710" t="s">
        <v>55</v>
      </c>
      <c r="O710" t="s">
        <v>56</v>
      </c>
      <c r="P710" t="s">
        <v>76</v>
      </c>
      <c r="Q710">
        <v>95</v>
      </c>
      <c r="R710">
        <v>26.79</v>
      </c>
      <c r="S710">
        <v>2545.0500000000002</v>
      </c>
      <c r="T710">
        <v>9.75</v>
      </c>
      <c r="U710">
        <v>25</v>
      </c>
      <c r="V710">
        <v>30</v>
      </c>
      <c r="W710">
        <v>2790</v>
      </c>
      <c r="X710" t="s">
        <v>188</v>
      </c>
      <c r="Y710" t="s">
        <v>36</v>
      </c>
      <c r="Z710">
        <v>616.54</v>
      </c>
    </row>
    <row r="711" spans="1:26" x14ac:dyDescent="0.25">
      <c r="A711">
        <v>100709</v>
      </c>
      <c r="B711" s="3">
        <v>45690</v>
      </c>
      <c r="C711" s="3">
        <v>45694</v>
      </c>
      <c r="D711" s="3">
        <v>45706</v>
      </c>
      <c r="E711" t="s">
        <v>2010</v>
      </c>
      <c r="F711" t="s">
        <v>25</v>
      </c>
      <c r="G711" t="s">
        <v>26</v>
      </c>
      <c r="H711" t="s">
        <v>2011</v>
      </c>
      <c r="I711" t="s">
        <v>177</v>
      </c>
      <c r="J711" t="s">
        <v>29</v>
      </c>
      <c r="K711" t="s">
        <v>1419</v>
      </c>
      <c r="L711" t="s">
        <v>122</v>
      </c>
      <c r="M711" t="s">
        <v>54</v>
      </c>
      <c r="N711" t="s">
        <v>55</v>
      </c>
      <c r="O711" t="s">
        <v>56</v>
      </c>
      <c r="P711" t="s">
        <v>76</v>
      </c>
      <c r="Q711">
        <v>300</v>
      </c>
      <c r="R711">
        <v>97.76</v>
      </c>
      <c r="S711">
        <v>29328</v>
      </c>
      <c r="T711">
        <v>13.49</v>
      </c>
      <c r="U711">
        <v>12</v>
      </c>
      <c r="V711">
        <v>16</v>
      </c>
      <c r="W711">
        <v>2065</v>
      </c>
      <c r="X711" t="s">
        <v>188</v>
      </c>
      <c r="Y711" t="s">
        <v>36</v>
      </c>
      <c r="Z711">
        <v>4117.29</v>
      </c>
    </row>
    <row r="712" spans="1:26" x14ac:dyDescent="0.25">
      <c r="A712">
        <v>100710</v>
      </c>
      <c r="B712" s="3">
        <v>45445</v>
      </c>
      <c r="C712" s="3">
        <v>45445</v>
      </c>
      <c r="D712" s="3">
        <v>45454</v>
      </c>
      <c r="E712" t="s">
        <v>2012</v>
      </c>
      <c r="F712" t="s">
        <v>38</v>
      </c>
      <c r="G712" t="s">
        <v>83</v>
      </c>
      <c r="H712" t="s">
        <v>2013</v>
      </c>
      <c r="I712" t="s">
        <v>149</v>
      </c>
      <c r="J712" t="s">
        <v>42</v>
      </c>
      <c r="K712" t="s">
        <v>1347</v>
      </c>
      <c r="L712" t="s">
        <v>91</v>
      </c>
      <c r="M712" t="s">
        <v>25</v>
      </c>
      <c r="N712" t="s">
        <v>151</v>
      </c>
      <c r="O712" t="s">
        <v>152</v>
      </c>
      <c r="P712" t="s">
        <v>35</v>
      </c>
      <c r="Q712">
        <v>135</v>
      </c>
      <c r="R712">
        <v>131.55000000000001</v>
      </c>
      <c r="S712">
        <v>17759.25</v>
      </c>
      <c r="T712">
        <v>16.3</v>
      </c>
      <c r="U712">
        <v>9</v>
      </c>
      <c r="V712">
        <v>9</v>
      </c>
      <c r="W712">
        <v>1643</v>
      </c>
      <c r="X712" t="s">
        <v>3742</v>
      </c>
      <c r="Y712" t="s">
        <v>57</v>
      </c>
      <c r="Z712">
        <v>2199.75</v>
      </c>
    </row>
    <row r="713" spans="1:26" x14ac:dyDescent="0.25">
      <c r="A713">
        <v>100711</v>
      </c>
      <c r="B713" s="3">
        <v>45751</v>
      </c>
      <c r="C713" s="3">
        <v>45754</v>
      </c>
      <c r="D713" s="3">
        <v>45759</v>
      </c>
      <c r="E713" t="s">
        <v>2014</v>
      </c>
      <c r="F713" t="s">
        <v>65</v>
      </c>
      <c r="G713" t="s">
        <v>154</v>
      </c>
      <c r="H713" t="s">
        <v>2015</v>
      </c>
      <c r="I713" t="s">
        <v>416</v>
      </c>
      <c r="J713" t="s">
        <v>80</v>
      </c>
      <c r="K713" t="s">
        <v>2016</v>
      </c>
      <c r="L713" t="s">
        <v>31</v>
      </c>
      <c r="M713" t="s">
        <v>38</v>
      </c>
      <c r="N713" t="s">
        <v>151</v>
      </c>
      <c r="O713" t="s">
        <v>152</v>
      </c>
      <c r="P713" t="s">
        <v>68</v>
      </c>
      <c r="Q713">
        <v>131</v>
      </c>
      <c r="R713">
        <v>73.47</v>
      </c>
      <c r="S713">
        <v>9624.57</v>
      </c>
      <c r="T713">
        <v>37</v>
      </c>
      <c r="U713">
        <v>5</v>
      </c>
      <c r="V713">
        <v>8</v>
      </c>
      <c r="W713">
        <v>1102</v>
      </c>
      <c r="X713" t="s">
        <v>188</v>
      </c>
      <c r="Y713" t="s">
        <v>36</v>
      </c>
      <c r="Z713">
        <v>2260.89</v>
      </c>
    </row>
    <row r="714" spans="1:26" x14ac:dyDescent="0.25">
      <c r="A714">
        <v>100712</v>
      </c>
      <c r="B714" s="3">
        <v>45386</v>
      </c>
      <c r="C714" s="3">
        <v>45386</v>
      </c>
      <c r="D714" s="3">
        <v>45398</v>
      </c>
      <c r="E714" t="s">
        <v>2017</v>
      </c>
      <c r="F714" t="s">
        <v>25</v>
      </c>
      <c r="G714" t="s">
        <v>169</v>
      </c>
      <c r="H714" t="s">
        <v>2018</v>
      </c>
      <c r="I714" t="s">
        <v>198</v>
      </c>
      <c r="J714" t="s">
        <v>52</v>
      </c>
      <c r="K714" t="s">
        <v>2019</v>
      </c>
      <c r="L714" t="s">
        <v>64</v>
      </c>
      <c r="M714" t="s">
        <v>38</v>
      </c>
      <c r="N714" t="s">
        <v>55</v>
      </c>
      <c r="O714" t="s">
        <v>56</v>
      </c>
      <c r="P714" t="s">
        <v>123</v>
      </c>
      <c r="Q714">
        <v>144</v>
      </c>
      <c r="R714">
        <v>79.63</v>
      </c>
      <c r="S714">
        <v>11466.72</v>
      </c>
      <c r="T714">
        <v>14.19</v>
      </c>
      <c r="U714">
        <v>12</v>
      </c>
      <c r="V714">
        <v>12</v>
      </c>
      <c r="W714">
        <v>2893</v>
      </c>
      <c r="X714" t="s">
        <v>188</v>
      </c>
      <c r="Y714" t="s">
        <v>36</v>
      </c>
      <c r="Z714">
        <v>240.25</v>
      </c>
    </row>
    <row r="715" spans="1:26" x14ac:dyDescent="0.25">
      <c r="A715">
        <v>100713</v>
      </c>
      <c r="B715" s="3">
        <v>45546</v>
      </c>
      <c r="C715" s="3">
        <v>45550</v>
      </c>
      <c r="D715" s="3">
        <v>45569</v>
      </c>
      <c r="E715" t="s">
        <v>2020</v>
      </c>
      <c r="F715" t="s">
        <v>65</v>
      </c>
      <c r="G715" t="s">
        <v>142</v>
      </c>
      <c r="H715" t="s">
        <v>2021</v>
      </c>
      <c r="I715" t="s">
        <v>191</v>
      </c>
      <c r="J715" t="s">
        <v>62</v>
      </c>
      <c r="K715" t="s">
        <v>215</v>
      </c>
      <c r="L715" t="s">
        <v>187</v>
      </c>
      <c r="M715" t="s">
        <v>54</v>
      </c>
      <c r="N715" t="s">
        <v>92</v>
      </c>
      <c r="O715" t="s">
        <v>93</v>
      </c>
      <c r="P715" t="s">
        <v>76</v>
      </c>
      <c r="Q715">
        <v>46</v>
      </c>
      <c r="R715">
        <v>39.71</v>
      </c>
      <c r="S715">
        <v>1826.66</v>
      </c>
      <c r="T715">
        <v>8.86</v>
      </c>
      <c r="U715">
        <v>19</v>
      </c>
      <c r="V715">
        <v>23</v>
      </c>
      <c r="W715">
        <v>3027</v>
      </c>
      <c r="X715" t="s">
        <v>188</v>
      </c>
      <c r="Y715" t="s">
        <v>36</v>
      </c>
      <c r="Z715">
        <v>87.29</v>
      </c>
    </row>
    <row r="716" spans="1:26" x14ac:dyDescent="0.25">
      <c r="A716">
        <v>100714</v>
      </c>
      <c r="B716" s="3">
        <v>45481</v>
      </c>
      <c r="C716" s="3">
        <v>45486</v>
      </c>
      <c r="D716" s="3">
        <v>45497</v>
      </c>
      <c r="E716" t="s">
        <v>2022</v>
      </c>
      <c r="F716" t="s">
        <v>32</v>
      </c>
      <c r="G716" t="s">
        <v>137</v>
      </c>
      <c r="H716" t="s">
        <v>2023</v>
      </c>
      <c r="I716" t="s">
        <v>177</v>
      </c>
      <c r="J716" t="s">
        <v>29</v>
      </c>
      <c r="K716" t="s">
        <v>395</v>
      </c>
      <c r="L716" t="s">
        <v>122</v>
      </c>
      <c r="M716" t="s">
        <v>32</v>
      </c>
      <c r="N716" t="s">
        <v>74</v>
      </c>
      <c r="O716" t="s">
        <v>75</v>
      </c>
      <c r="P716" t="s">
        <v>35</v>
      </c>
      <c r="Q716">
        <v>284</v>
      </c>
      <c r="R716">
        <v>93.41</v>
      </c>
      <c r="S716">
        <v>26528.44</v>
      </c>
      <c r="T716">
        <v>15.2</v>
      </c>
      <c r="U716">
        <v>11</v>
      </c>
      <c r="V716">
        <v>16</v>
      </c>
      <c r="W716">
        <v>2904</v>
      </c>
      <c r="X716" t="s">
        <v>188</v>
      </c>
      <c r="Y716" t="s">
        <v>36</v>
      </c>
      <c r="Z716">
        <v>6033.05</v>
      </c>
    </row>
    <row r="717" spans="1:26" x14ac:dyDescent="0.25">
      <c r="A717">
        <v>100715</v>
      </c>
      <c r="B717" s="3">
        <v>45614</v>
      </c>
      <c r="C717" s="3">
        <v>45615</v>
      </c>
      <c r="D717" s="3">
        <v>45623</v>
      </c>
      <c r="E717" t="s">
        <v>2024</v>
      </c>
      <c r="F717" t="s">
        <v>54</v>
      </c>
      <c r="G717" t="s">
        <v>225</v>
      </c>
      <c r="H717" t="s">
        <v>2025</v>
      </c>
      <c r="I717" t="s">
        <v>149</v>
      </c>
      <c r="J717" t="s">
        <v>42</v>
      </c>
      <c r="K717" t="s">
        <v>1042</v>
      </c>
      <c r="L717" t="s">
        <v>91</v>
      </c>
      <c r="M717" t="s">
        <v>65</v>
      </c>
      <c r="N717" t="s">
        <v>33</v>
      </c>
      <c r="O717" t="s">
        <v>34</v>
      </c>
      <c r="P717" t="s">
        <v>35</v>
      </c>
      <c r="Q717">
        <v>356</v>
      </c>
      <c r="R717">
        <v>101.1</v>
      </c>
      <c r="S717">
        <v>35991.599999999999</v>
      </c>
      <c r="T717">
        <v>22.57</v>
      </c>
      <c r="U717">
        <v>8</v>
      </c>
      <c r="V717">
        <v>9</v>
      </c>
      <c r="W717">
        <v>1546</v>
      </c>
      <c r="X717" t="s">
        <v>188</v>
      </c>
      <c r="Y717" t="s">
        <v>36</v>
      </c>
      <c r="Z717">
        <v>4023</v>
      </c>
    </row>
    <row r="718" spans="1:26" x14ac:dyDescent="0.25">
      <c r="A718">
        <v>100716</v>
      </c>
      <c r="B718" s="3">
        <v>45627</v>
      </c>
      <c r="C718" s="3">
        <v>45630</v>
      </c>
      <c r="D718" s="3">
        <v>45638</v>
      </c>
      <c r="E718" t="s">
        <v>2026</v>
      </c>
      <c r="F718" t="s">
        <v>38</v>
      </c>
      <c r="G718" t="s">
        <v>39</v>
      </c>
      <c r="H718" t="s">
        <v>2027</v>
      </c>
      <c r="I718" t="s">
        <v>191</v>
      </c>
      <c r="J718" t="s">
        <v>62</v>
      </c>
      <c r="K718" t="s">
        <v>145</v>
      </c>
      <c r="L718" t="s">
        <v>113</v>
      </c>
      <c r="M718" t="s">
        <v>38</v>
      </c>
      <c r="N718" t="s">
        <v>45</v>
      </c>
      <c r="O718" t="s">
        <v>46</v>
      </c>
      <c r="P718" t="s">
        <v>123</v>
      </c>
      <c r="Q718">
        <v>254</v>
      </c>
      <c r="R718">
        <v>24.43</v>
      </c>
      <c r="S718">
        <v>6205.22</v>
      </c>
      <c r="T718">
        <v>12.49</v>
      </c>
      <c r="U718">
        <v>8</v>
      </c>
      <c r="V718">
        <v>11</v>
      </c>
      <c r="W718">
        <v>4906</v>
      </c>
      <c r="X718" t="s">
        <v>188</v>
      </c>
      <c r="Y718" t="s">
        <v>36</v>
      </c>
      <c r="Z718">
        <v>568.28</v>
      </c>
    </row>
    <row r="719" spans="1:26" x14ac:dyDescent="0.25">
      <c r="A719">
        <v>100717</v>
      </c>
      <c r="B719" s="3">
        <v>45509</v>
      </c>
      <c r="C719" s="3">
        <v>45511</v>
      </c>
      <c r="D719" s="3">
        <v>45528</v>
      </c>
      <c r="E719" t="s">
        <v>2028</v>
      </c>
      <c r="F719" t="s">
        <v>54</v>
      </c>
      <c r="G719" t="s">
        <v>225</v>
      </c>
      <c r="H719" t="s">
        <v>2029</v>
      </c>
      <c r="I719" t="s">
        <v>116</v>
      </c>
      <c r="J719" t="s">
        <v>62</v>
      </c>
      <c r="K719" t="s">
        <v>1843</v>
      </c>
      <c r="L719" t="s">
        <v>212</v>
      </c>
      <c r="M719" t="s">
        <v>38</v>
      </c>
      <c r="N719" t="s">
        <v>45</v>
      </c>
      <c r="O719" t="s">
        <v>46</v>
      </c>
      <c r="P719" t="s">
        <v>123</v>
      </c>
      <c r="Q719">
        <v>377</v>
      </c>
      <c r="R719">
        <v>41.5</v>
      </c>
      <c r="S719">
        <v>15645.5</v>
      </c>
      <c r="T719">
        <v>19.850000000000001</v>
      </c>
      <c r="U719">
        <v>17</v>
      </c>
      <c r="V719">
        <v>19</v>
      </c>
      <c r="W719">
        <v>407</v>
      </c>
      <c r="X719" t="s">
        <v>3742</v>
      </c>
      <c r="Y719" t="s">
        <v>188</v>
      </c>
      <c r="Z719">
        <v>961.87</v>
      </c>
    </row>
    <row r="720" spans="1:26" x14ac:dyDescent="0.25">
      <c r="A720">
        <v>100718</v>
      </c>
      <c r="B720" s="3">
        <v>45563</v>
      </c>
      <c r="C720" s="3">
        <v>45565</v>
      </c>
      <c r="D720" s="3">
        <v>45578</v>
      </c>
      <c r="E720" t="s">
        <v>2030</v>
      </c>
      <c r="F720" t="s">
        <v>25</v>
      </c>
      <c r="G720" t="s">
        <v>169</v>
      </c>
      <c r="H720" t="s">
        <v>2031</v>
      </c>
      <c r="I720" t="s">
        <v>207</v>
      </c>
      <c r="J720" t="s">
        <v>80</v>
      </c>
      <c r="K720" t="s">
        <v>2032</v>
      </c>
      <c r="L720" t="s">
        <v>212</v>
      </c>
      <c r="M720" t="s">
        <v>25</v>
      </c>
      <c r="N720" t="s">
        <v>33</v>
      </c>
      <c r="O720" t="s">
        <v>34</v>
      </c>
      <c r="P720" t="s">
        <v>76</v>
      </c>
      <c r="Q720">
        <v>335</v>
      </c>
      <c r="R720">
        <v>147.88999999999999</v>
      </c>
      <c r="S720">
        <v>49543.15</v>
      </c>
      <c r="T720">
        <v>10.46</v>
      </c>
      <c r="U720">
        <v>13</v>
      </c>
      <c r="V720">
        <v>15</v>
      </c>
      <c r="W720">
        <v>602</v>
      </c>
      <c r="X720" t="s">
        <v>3742</v>
      </c>
      <c r="Y720" t="s">
        <v>57</v>
      </c>
      <c r="Z720">
        <v>7191.42</v>
      </c>
    </row>
    <row r="721" spans="1:26" x14ac:dyDescent="0.25">
      <c r="A721">
        <v>100719</v>
      </c>
      <c r="B721" s="3">
        <v>45764</v>
      </c>
      <c r="C721" s="3">
        <v>45767</v>
      </c>
      <c r="D721" s="3">
        <v>45776</v>
      </c>
      <c r="E721" t="s">
        <v>2033</v>
      </c>
      <c r="F721" t="s">
        <v>54</v>
      </c>
      <c r="G721" t="s">
        <v>165</v>
      </c>
      <c r="H721" t="s">
        <v>2034</v>
      </c>
      <c r="I721" t="s">
        <v>28</v>
      </c>
      <c r="J721" t="s">
        <v>29</v>
      </c>
      <c r="K721" t="s">
        <v>231</v>
      </c>
      <c r="L721" t="s">
        <v>64</v>
      </c>
      <c r="M721" t="s">
        <v>65</v>
      </c>
      <c r="N721" t="s">
        <v>55</v>
      </c>
      <c r="O721" t="s">
        <v>56</v>
      </c>
      <c r="P721" t="s">
        <v>123</v>
      </c>
      <c r="Q721">
        <v>346</v>
      </c>
      <c r="R721">
        <v>78.02</v>
      </c>
      <c r="S721">
        <v>26994.92</v>
      </c>
      <c r="T721">
        <v>19.100000000000001</v>
      </c>
      <c r="U721">
        <v>9</v>
      </c>
      <c r="V721">
        <v>12</v>
      </c>
      <c r="W721">
        <v>2923</v>
      </c>
      <c r="X721" t="s">
        <v>188</v>
      </c>
      <c r="Y721" t="s">
        <v>36</v>
      </c>
      <c r="Z721">
        <v>6401.61</v>
      </c>
    </row>
    <row r="722" spans="1:26" x14ac:dyDescent="0.25">
      <c r="A722">
        <v>100720</v>
      </c>
      <c r="B722" s="3">
        <v>45757</v>
      </c>
      <c r="C722" s="3">
        <v>45759</v>
      </c>
      <c r="D722" s="3">
        <v>45762</v>
      </c>
      <c r="E722" t="s">
        <v>2035</v>
      </c>
      <c r="F722" t="s">
        <v>65</v>
      </c>
      <c r="G722" t="s">
        <v>70</v>
      </c>
      <c r="H722" t="s">
        <v>2036</v>
      </c>
      <c r="I722" t="s">
        <v>368</v>
      </c>
      <c r="J722" t="s">
        <v>29</v>
      </c>
      <c r="K722" t="s">
        <v>2037</v>
      </c>
      <c r="L722" t="s">
        <v>113</v>
      </c>
      <c r="M722" t="s">
        <v>38</v>
      </c>
      <c r="N722" t="s">
        <v>66</v>
      </c>
      <c r="O722" t="s">
        <v>67</v>
      </c>
      <c r="P722" t="s">
        <v>35</v>
      </c>
      <c r="Q722">
        <v>252</v>
      </c>
      <c r="R722">
        <v>66.64</v>
      </c>
      <c r="S722">
        <v>16793.28</v>
      </c>
      <c r="T722">
        <v>19.62</v>
      </c>
      <c r="U722">
        <v>3</v>
      </c>
      <c r="V722">
        <v>5</v>
      </c>
      <c r="W722">
        <v>1218</v>
      </c>
      <c r="X722" t="s">
        <v>3742</v>
      </c>
      <c r="Y722" t="s">
        <v>57</v>
      </c>
      <c r="Z722">
        <v>4446.28</v>
      </c>
    </row>
    <row r="723" spans="1:26" x14ac:dyDescent="0.25">
      <c r="A723">
        <v>100721</v>
      </c>
      <c r="B723" s="3">
        <v>45313</v>
      </c>
      <c r="C723" s="3">
        <v>45316</v>
      </c>
      <c r="D723" s="3">
        <v>45328</v>
      </c>
      <c r="E723" t="s">
        <v>2038</v>
      </c>
      <c r="F723" t="s">
        <v>25</v>
      </c>
      <c r="G723" t="s">
        <v>59</v>
      </c>
      <c r="H723" t="s">
        <v>2039</v>
      </c>
      <c r="I723" t="s">
        <v>191</v>
      </c>
      <c r="J723" t="s">
        <v>62</v>
      </c>
      <c r="K723" t="s">
        <v>720</v>
      </c>
      <c r="L723" t="s">
        <v>64</v>
      </c>
      <c r="M723" t="s">
        <v>32</v>
      </c>
      <c r="N723" t="s">
        <v>33</v>
      </c>
      <c r="O723" t="s">
        <v>34</v>
      </c>
      <c r="P723" t="s">
        <v>123</v>
      </c>
      <c r="Q723">
        <v>28</v>
      </c>
      <c r="R723">
        <v>38.58</v>
      </c>
      <c r="S723">
        <v>1080.24</v>
      </c>
      <c r="T723">
        <v>11.37</v>
      </c>
      <c r="U723">
        <v>12</v>
      </c>
      <c r="V723">
        <v>15</v>
      </c>
      <c r="W723">
        <v>670</v>
      </c>
      <c r="X723" t="s">
        <v>188</v>
      </c>
      <c r="Y723" t="s">
        <v>36</v>
      </c>
      <c r="Z723">
        <v>125.46</v>
      </c>
    </row>
    <row r="724" spans="1:26" x14ac:dyDescent="0.25">
      <c r="A724">
        <v>100722</v>
      </c>
      <c r="B724" s="3">
        <v>45595</v>
      </c>
      <c r="C724" s="3">
        <v>45599</v>
      </c>
      <c r="D724" s="3">
        <v>45605</v>
      </c>
      <c r="E724" t="s">
        <v>2040</v>
      </c>
      <c r="F724" t="s">
        <v>25</v>
      </c>
      <c r="G724" t="s">
        <v>244</v>
      </c>
      <c r="H724" t="s">
        <v>2041</v>
      </c>
      <c r="I724" t="s">
        <v>85</v>
      </c>
      <c r="J724" t="s">
        <v>52</v>
      </c>
      <c r="K724" t="s">
        <v>1864</v>
      </c>
      <c r="L724" t="s">
        <v>98</v>
      </c>
      <c r="M724" t="s">
        <v>25</v>
      </c>
      <c r="N724" t="s">
        <v>74</v>
      </c>
      <c r="O724" t="s">
        <v>75</v>
      </c>
      <c r="P724" t="s">
        <v>35</v>
      </c>
      <c r="Q724">
        <v>483</v>
      </c>
      <c r="R724">
        <v>37.22</v>
      </c>
      <c r="S724">
        <v>17977.259999999998</v>
      </c>
      <c r="T724">
        <v>19.38</v>
      </c>
      <c r="U724">
        <v>6</v>
      </c>
      <c r="V724">
        <v>10</v>
      </c>
      <c r="W724">
        <v>868</v>
      </c>
      <c r="X724" t="s">
        <v>3742</v>
      </c>
      <c r="Y724" t="s">
        <v>57</v>
      </c>
      <c r="Z724">
        <v>1803.44</v>
      </c>
    </row>
    <row r="725" spans="1:26" x14ac:dyDescent="0.25">
      <c r="A725">
        <v>100723</v>
      </c>
      <c r="B725" s="3">
        <v>45841</v>
      </c>
      <c r="C725" s="3">
        <v>45843</v>
      </c>
      <c r="D725" s="3">
        <v>45845</v>
      </c>
      <c r="E725" t="s">
        <v>2042</v>
      </c>
      <c r="F725" t="s">
        <v>65</v>
      </c>
      <c r="G725" t="s">
        <v>154</v>
      </c>
      <c r="H725" t="s">
        <v>2043</v>
      </c>
      <c r="I725" t="s">
        <v>416</v>
      </c>
      <c r="J725" t="s">
        <v>80</v>
      </c>
      <c r="K725" t="s">
        <v>2044</v>
      </c>
      <c r="L725" t="s">
        <v>64</v>
      </c>
      <c r="M725" t="s">
        <v>32</v>
      </c>
      <c r="N725" t="s">
        <v>102</v>
      </c>
      <c r="O725" t="s">
        <v>103</v>
      </c>
      <c r="P725" t="s">
        <v>35</v>
      </c>
      <c r="Q725">
        <v>228</v>
      </c>
      <c r="R725">
        <v>81.39</v>
      </c>
      <c r="S725">
        <v>18556.919999999998</v>
      </c>
      <c r="T725">
        <v>18.940000000000001</v>
      </c>
      <c r="U725">
        <v>2</v>
      </c>
      <c r="V725">
        <v>4</v>
      </c>
      <c r="W725">
        <v>1381</v>
      </c>
      <c r="X725" t="s">
        <v>3741</v>
      </c>
      <c r="Y725" t="s">
        <v>36</v>
      </c>
      <c r="Z725">
        <v>2700.72</v>
      </c>
    </row>
    <row r="726" spans="1:26" x14ac:dyDescent="0.25">
      <c r="A726">
        <v>100724</v>
      </c>
      <c r="B726" s="3">
        <v>46000</v>
      </c>
      <c r="C726" s="3">
        <v>46003</v>
      </c>
      <c r="D726" s="3">
        <v>46026</v>
      </c>
      <c r="E726" t="s">
        <v>2045</v>
      </c>
      <c r="F726" t="s">
        <v>32</v>
      </c>
      <c r="G726" t="s">
        <v>110</v>
      </c>
      <c r="H726" t="s">
        <v>2046</v>
      </c>
      <c r="I726" t="s">
        <v>134</v>
      </c>
      <c r="J726" t="s">
        <v>52</v>
      </c>
      <c r="K726" t="s">
        <v>2047</v>
      </c>
      <c r="L726" t="s">
        <v>118</v>
      </c>
      <c r="M726" t="s">
        <v>54</v>
      </c>
      <c r="N726" t="s">
        <v>55</v>
      </c>
      <c r="O726" t="s">
        <v>56</v>
      </c>
      <c r="P726" t="s">
        <v>76</v>
      </c>
      <c r="Q726">
        <v>132</v>
      </c>
      <c r="R726">
        <v>72.23</v>
      </c>
      <c r="S726">
        <v>9534.36</v>
      </c>
      <c r="T726">
        <v>10.42</v>
      </c>
      <c r="U726">
        <v>23</v>
      </c>
      <c r="V726">
        <v>26</v>
      </c>
      <c r="W726">
        <v>2927</v>
      </c>
      <c r="X726" t="s">
        <v>188</v>
      </c>
      <c r="Y726" t="s">
        <v>36</v>
      </c>
      <c r="Z726">
        <v>1039.53</v>
      </c>
    </row>
    <row r="727" spans="1:26" x14ac:dyDescent="0.25">
      <c r="A727">
        <v>100725</v>
      </c>
      <c r="B727" s="3">
        <v>45302</v>
      </c>
      <c r="C727" s="3">
        <v>45306</v>
      </c>
      <c r="D727" s="3">
        <v>45323</v>
      </c>
      <c r="E727" t="s">
        <v>2048</v>
      </c>
      <c r="F727" t="s">
        <v>25</v>
      </c>
      <c r="G727" t="s">
        <v>233</v>
      </c>
      <c r="H727" t="s">
        <v>2049</v>
      </c>
      <c r="I727" t="s">
        <v>144</v>
      </c>
      <c r="J727" t="s">
        <v>52</v>
      </c>
      <c r="K727" t="s">
        <v>1924</v>
      </c>
      <c r="L727" t="s">
        <v>187</v>
      </c>
      <c r="M727" t="s">
        <v>65</v>
      </c>
      <c r="N727" t="s">
        <v>66</v>
      </c>
      <c r="O727" t="s">
        <v>67</v>
      </c>
      <c r="P727" t="s">
        <v>76</v>
      </c>
      <c r="Q727">
        <v>396</v>
      </c>
      <c r="R727">
        <v>35.369999999999997</v>
      </c>
      <c r="S727">
        <v>14006.52</v>
      </c>
      <c r="T727">
        <v>15.24</v>
      </c>
      <c r="U727">
        <v>17</v>
      </c>
      <c r="V727">
        <v>21</v>
      </c>
      <c r="W727">
        <v>3995</v>
      </c>
      <c r="X727" t="s">
        <v>188</v>
      </c>
      <c r="Y727" t="s">
        <v>36</v>
      </c>
      <c r="Z727">
        <v>1341.84</v>
      </c>
    </row>
    <row r="728" spans="1:26" x14ac:dyDescent="0.25">
      <c r="A728">
        <v>100726</v>
      </c>
      <c r="B728" s="3">
        <v>45525</v>
      </c>
      <c r="C728" s="3">
        <v>45529</v>
      </c>
      <c r="D728" s="3">
        <v>45531</v>
      </c>
      <c r="E728" t="s">
        <v>2050</v>
      </c>
      <c r="F728" t="s">
        <v>65</v>
      </c>
      <c r="G728" t="s">
        <v>70</v>
      </c>
      <c r="H728" t="s">
        <v>2051</v>
      </c>
      <c r="I728" t="s">
        <v>134</v>
      </c>
      <c r="J728" t="s">
        <v>52</v>
      </c>
      <c r="K728" t="s">
        <v>2052</v>
      </c>
      <c r="L728" t="s">
        <v>187</v>
      </c>
      <c r="M728" t="s">
        <v>54</v>
      </c>
      <c r="N728" t="s">
        <v>151</v>
      </c>
      <c r="O728" t="s">
        <v>152</v>
      </c>
      <c r="P728" t="s">
        <v>35</v>
      </c>
      <c r="Q728">
        <v>89</v>
      </c>
      <c r="R728">
        <v>30.83</v>
      </c>
      <c r="S728">
        <v>2743.87</v>
      </c>
      <c r="T728">
        <v>15</v>
      </c>
      <c r="U728">
        <v>2</v>
      </c>
      <c r="V728">
        <v>6</v>
      </c>
      <c r="W728">
        <v>1606</v>
      </c>
      <c r="X728" t="s">
        <v>3741</v>
      </c>
      <c r="Y728" t="s">
        <v>36</v>
      </c>
      <c r="Z728">
        <v>502.34</v>
      </c>
    </row>
    <row r="729" spans="1:26" x14ac:dyDescent="0.25">
      <c r="A729">
        <v>100727</v>
      </c>
      <c r="B729" s="3">
        <v>45710</v>
      </c>
      <c r="C729" s="3">
        <v>45710</v>
      </c>
      <c r="D729" s="3">
        <v>45719</v>
      </c>
      <c r="E729" t="s">
        <v>2053</v>
      </c>
      <c r="F729" t="s">
        <v>54</v>
      </c>
      <c r="G729" t="s">
        <v>165</v>
      </c>
      <c r="H729" t="s">
        <v>2054</v>
      </c>
      <c r="I729" t="s">
        <v>246</v>
      </c>
      <c r="J729" t="s">
        <v>29</v>
      </c>
      <c r="K729" t="s">
        <v>195</v>
      </c>
      <c r="L729" t="s">
        <v>187</v>
      </c>
      <c r="M729" t="s">
        <v>65</v>
      </c>
      <c r="N729" t="s">
        <v>203</v>
      </c>
      <c r="O729" t="s">
        <v>204</v>
      </c>
      <c r="P729" t="s">
        <v>35</v>
      </c>
      <c r="Q729">
        <v>191</v>
      </c>
      <c r="R729">
        <v>98.39</v>
      </c>
      <c r="S729">
        <v>18792.490000000002</v>
      </c>
      <c r="T729">
        <v>17.89</v>
      </c>
      <c r="U729">
        <v>9</v>
      </c>
      <c r="V729">
        <v>9</v>
      </c>
      <c r="W729">
        <v>2896</v>
      </c>
      <c r="X729" t="s">
        <v>188</v>
      </c>
      <c r="Y729" t="s">
        <v>36</v>
      </c>
      <c r="Z729">
        <v>3022.16</v>
      </c>
    </row>
    <row r="730" spans="1:26" x14ac:dyDescent="0.25">
      <c r="A730">
        <v>100728</v>
      </c>
      <c r="B730" s="3">
        <v>45406</v>
      </c>
      <c r="C730" s="3">
        <v>45411</v>
      </c>
      <c r="D730" s="3">
        <v>45427</v>
      </c>
      <c r="E730" t="s">
        <v>2055</v>
      </c>
      <c r="F730" t="s">
        <v>54</v>
      </c>
      <c r="G730" t="s">
        <v>225</v>
      </c>
      <c r="H730" t="s">
        <v>2056</v>
      </c>
      <c r="I730" t="s">
        <v>139</v>
      </c>
      <c r="J730" t="s">
        <v>42</v>
      </c>
      <c r="K730" t="s">
        <v>1187</v>
      </c>
      <c r="L730" t="s">
        <v>113</v>
      </c>
      <c r="M730" t="s">
        <v>38</v>
      </c>
      <c r="N730" t="s">
        <v>102</v>
      </c>
      <c r="O730" t="s">
        <v>103</v>
      </c>
      <c r="P730" t="s">
        <v>76</v>
      </c>
      <c r="Q730">
        <v>201</v>
      </c>
      <c r="R730">
        <v>400.57</v>
      </c>
      <c r="S730">
        <v>80514.570000000007</v>
      </c>
      <c r="T730">
        <v>11.68</v>
      </c>
      <c r="U730">
        <v>16</v>
      </c>
      <c r="V730">
        <v>21</v>
      </c>
      <c r="W730">
        <v>1678</v>
      </c>
      <c r="X730" t="s">
        <v>188</v>
      </c>
      <c r="Y730" t="s">
        <v>36</v>
      </c>
      <c r="Z730">
        <v>15243.69</v>
      </c>
    </row>
    <row r="731" spans="1:26" x14ac:dyDescent="0.25">
      <c r="A731">
        <v>100729</v>
      </c>
      <c r="B731" s="3">
        <v>45832</v>
      </c>
      <c r="C731" s="3">
        <v>45837</v>
      </c>
      <c r="D731" s="3">
        <v>45847</v>
      </c>
      <c r="E731" t="s">
        <v>2057</v>
      </c>
      <c r="F731" t="s">
        <v>32</v>
      </c>
      <c r="G731" t="s">
        <v>273</v>
      </c>
      <c r="H731" t="s">
        <v>2058</v>
      </c>
      <c r="I731" t="s">
        <v>51</v>
      </c>
      <c r="J731" t="s">
        <v>52</v>
      </c>
      <c r="K731" t="s">
        <v>2059</v>
      </c>
      <c r="L731" t="s">
        <v>118</v>
      </c>
      <c r="M731" t="s">
        <v>25</v>
      </c>
      <c r="N731" t="s">
        <v>151</v>
      </c>
      <c r="O731" t="s">
        <v>152</v>
      </c>
      <c r="P731" t="s">
        <v>35</v>
      </c>
      <c r="Q731">
        <v>181</v>
      </c>
      <c r="R731">
        <v>19.21</v>
      </c>
      <c r="S731">
        <v>3477.01</v>
      </c>
      <c r="T731">
        <v>17.61</v>
      </c>
      <c r="U731">
        <v>10</v>
      </c>
      <c r="V731">
        <v>15</v>
      </c>
      <c r="W731">
        <v>2959</v>
      </c>
      <c r="X731" t="s">
        <v>188</v>
      </c>
      <c r="Y731" t="s">
        <v>36</v>
      </c>
      <c r="Z731">
        <v>307.69</v>
      </c>
    </row>
    <row r="732" spans="1:26" x14ac:dyDescent="0.25">
      <c r="A732">
        <v>100730</v>
      </c>
      <c r="B732" s="3">
        <v>45715</v>
      </c>
      <c r="C732" s="3">
        <v>45719</v>
      </c>
      <c r="D732" s="3">
        <v>45741</v>
      </c>
      <c r="E732" t="s">
        <v>2060</v>
      </c>
      <c r="F732" t="s">
        <v>38</v>
      </c>
      <c r="G732" t="s">
        <v>83</v>
      </c>
      <c r="H732" t="s">
        <v>2061</v>
      </c>
      <c r="I732" t="s">
        <v>177</v>
      </c>
      <c r="J732" t="s">
        <v>29</v>
      </c>
      <c r="K732" t="s">
        <v>2062</v>
      </c>
      <c r="L732" t="s">
        <v>91</v>
      </c>
      <c r="M732" t="s">
        <v>32</v>
      </c>
      <c r="N732" t="s">
        <v>151</v>
      </c>
      <c r="O732" t="s">
        <v>152</v>
      </c>
      <c r="P732" t="s">
        <v>76</v>
      </c>
      <c r="Q732">
        <v>353</v>
      </c>
      <c r="R732">
        <v>71.12</v>
      </c>
      <c r="S732">
        <v>25105.360000000001</v>
      </c>
      <c r="T732">
        <v>14.45</v>
      </c>
      <c r="U732">
        <v>22</v>
      </c>
      <c r="V732">
        <v>26</v>
      </c>
      <c r="W732">
        <v>2588</v>
      </c>
      <c r="X732" t="s">
        <v>3742</v>
      </c>
      <c r="Y732" t="s">
        <v>47</v>
      </c>
      <c r="Z732">
        <v>-156.09</v>
      </c>
    </row>
    <row r="733" spans="1:26" x14ac:dyDescent="0.25">
      <c r="A733">
        <v>100731</v>
      </c>
      <c r="B733" s="3">
        <v>45755</v>
      </c>
      <c r="C733" s="3">
        <v>45756</v>
      </c>
      <c r="D733" s="3">
        <v>45761</v>
      </c>
      <c r="E733" t="s">
        <v>2063</v>
      </c>
      <c r="F733" t="s">
        <v>65</v>
      </c>
      <c r="G733" t="s">
        <v>154</v>
      </c>
      <c r="H733" t="s">
        <v>2064</v>
      </c>
      <c r="I733" t="s">
        <v>28</v>
      </c>
      <c r="J733" t="s">
        <v>29</v>
      </c>
      <c r="K733" t="s">
        <v>971</v>
      </c>
      <c r="L733" t="s">
        <v>118</v>
      </c>
      <c r="M733" t="s">
        <v>65</v>
      </c>
      <c r="N733" t="s">
        <v>151</v>
      </c>
      <c r="O733" t="s">
        <v>152</v>
      </c>
      <c r="P733" t="s">
        <v>68</v>
      </c>
      <c r="Q733">
        <v>382</v>
      </c>
      <c r="R733">
        <v>49.62</v>
      </c>
      <c r="S733">
        <v>18954.84</v>
      </c>
      <c r="T733">
        <v>39.46</v>
      </c>
      <c r="U733">
        <v>5</v>
      </c>
      <c r="V733">
        <v>6</v>
      </c>
      <c r="W733">
        <v>2605</v>
      </c>
      <c r="X733" t="s">
        <v>3741</v>
      </c>
      <c r="Y733" t="s">
        <v>36</v>
      </c>
      <c r="Z733">
        <v>4326.5200000000004</v>
      </c>
    </row>
    <row r="734" spans="1:26" x14ac:dyDescent="0.25">
      <c r="A734">
        <v>100732</v>
      </c>
      <c r="B734" s="3">
        <v>45461</v>
      </c>
      <c r="C734" s="3">
        <v>45465</v>
      </c>
      <c r="D734" s="3">
        <v>45469</v>
      </c>
      <c r="E734" t="s">
        <v>2065</v>
      </c>
      <c r="F734" t="s">
        <v>54</v>
      </c>
      <c r="G734" t="s">
        <v>158</v>
      </c>
      <c r="H734" t="s">
        <v>2066</v>
      </c>
      <c r="I734" t="s">
        <v>134</v>
      </c>
      <c r="J734" t="s">
        <v>52</v>
      </c>
      <c r="K734" t="s">
        <v>425</v>
      </c>
      <c r="L734" t="s">
        <v>31</v>
      </c>
      <c r="M734" t="s">
        <v>32</v>
      </c>
      <c r="N734" t="s">
        <v>74</v>
      </c>
      <c r="O734" t="s">
        <v>75</v>
      </c>
      <c r="P734" t="s">
        <v>68</v>
      </c>
      <c r="Q734">
        <v>413</v>
      </c>
      <c r="R734">
        <v>37.229999999999997</v>
      </c>
      <c r="S734">
        <v>15375.99</v>
      </c>
      <c r="T734">
        <v>55.27</v>
      </c>
      <c r="U734">
        <v>4</v>
      </c>
      <c r="V734">
        <v>8</v>
      </c>
      <c r="W734">
        <v>1043</v>
      </c>
      <c r="X734" t="s">
        <v>188</v>
      </c>
      <c r="Y734" t="s">
        <v>36</v>
      </c>
      <c r="Z734">
        <v>1873.38</v>
      </c>
    </row>
    <row r="735" spans="1:26" x14ac:dyDescent="0.25">
      <c r="A735">
        <v>100733</v>
      </c>
      <c r="B735" s="3">
        <v>45299</v>
      </c>
      <c r="C735" s="3">
        <v>45299</v>
      </c>
      <c r="D735" s="3">
        <v>45313</v>
      </c>
      <c r="E735" t="s">
        <v>2067</v>
      </c>
      <c r="F735" t="s">
        <v>32</v>
      </c>
      <c r="G735" t="s">
        <v>364</v>
      </c>
      <c r="H735" t="s">
        <v>2068</v>
      </c>
      <c r="I735" t="s">
        <v>79</v>
      </c>
      <c r="J735" t="s">
        <v>80</v>
      </c>
      <c r="K735" t="s">
        <v>960</v>
      </c>
      <c r="L735" t="s">
        <v>212</v>
      </c>
      <c r="M735" t="s">
        <v>32</v>
      </c>
      <c r="N735" t="s">
        <v>203</v>
      </c>
      <c r="O735" t="s">
        <v>204</v>
      </c>
      <c r="P735" t="s">
        <v>123</v>
      </c>
      <c r="Q735">
        <v>254</v>
      </c>
      <c r="R735">
        <v>160.9</v>
      </c>
      <c r="S735">
        <v>40868.6</v>
      </c>
      <c r="T735">
        <v>12.49</v>
      </c>
      <c r="U735">
        <v>14</v>
      </c>
      <c r="V735">
        <v>14</v>
      </c>
      <c r="W735">
        <v>604</v>
      </c>
      <c r="X735" t="s">
        <v>188</v>
      </c>
      <c r="Y735" t="s">
        <v>36</v>
      </c>
      <c r="Z735">
        <v>7009.69</v>
      </c>
    </row>
    <row r="736" spans="1:26" x14ac:dyDescent="0.25">
      <c r="A736">
        <v>100734</v>
      </c>
      <c r="B736" s="3">
        <v>45615</v>
      </c>
      <c r="C736" s="3">
        <v>45619</v>
      </c>
      <c r="D736" s="3">
        <v>45632</v>
      </c>
      <c r="E736" t="s">
        <v>346</v>
      </c>
      <c r="F736" t="s">
        <v>38</v>
      </c>
      <c r="G736" t="s">
        <v>49</v>
      </c>
      <c r="H736" t="s">
        <v>2069</v>
      </c>
      <c r="I736" t="s">
        <v>207</v>
      </c>
      <c r="J736" t="s">
        <v>80</v>
      </c>
      <c r="K736" t="s">
        <v>247</v>
      </c>
      <c r="L736" t="s">
        <v>212</v>
      </c>
      <c r="M736" t="s">
        <v>65</v>
      </c>
      <c r="N736" t="s">
        <v>92</v>
      </c>
      <c r="O736" t="s">
        <v>93</v>
      </c>
      <c r="P736" t="s">
        <v>76</v>
      </c>
      <c r="Q736">
        <v>97</v>
      </c>
      <c r="R736">
        <v>244.34</v>
      </c>
      <c r="S736">
        <v>23700.98</v>
      </c>
      <c r="T736">
        <v>9.7899999999999991</v>
      </c>
      <c r="U736">
        <v>13</v>
      </c>
      <c r="V736">
        <v>17</v>
      </c>
      <c r="W736">
        <v>1025</v>
      </c>
      <c r="X736" t="s">
        <v>188</v>
      </c>
      <c r="Y736" t="s">
        <v>36</v>
      </c>
      <c r="Z736">
        <v>4306.1499999999996</v>
      </c>
    </row>
    <row r="737" spans="1:26" x14ac:dyDescent="0.25">
      <c r="A737">
        <v>100735</v>
      </c>
      <c r="B737" s="3">
        <v>45434</v>
      </c>
      <c r="C737" s="3">
        <v>45438</v>
      </c>
      <c r="D737" s="3">
        <v>45460</v>
      </c>
      <c r="E737" t="s">
        <v>2070</v>
      </c>
      <c r="F737" t="s">
        <v>32</v>
      </c>
      <c r="G737" t="s">
        <v>255</v>
      </c>
      <c r="H737" t="s">
        <v>2071</v>
      </c>
      <c r="I737" t="s">
        <v>116</v>
      </c>
      <c r="J737" t="s">
        <v>62</v>
      </c>
      <c r="K737" t="s">
        <v>1286</v>
      </c>
      <c r="L737" t="s">
        <v>118</v>
      </c>
      <c r="M737" t="s">
        <v>32</v>
      </c>
      <c r="N737" t="s">
        <v>66</v>
      </c>
      <c r="O737" t="s">
        <v>67</v>
      </c>
      <c r="P737" t="s">
        <v>76</v>
      </c>
      <c r="Q737">
        <v>307</v>
      </c>
      <c r="R737">
        <v>35.58</v>
      </c>
      <c r="S737">
        <v>10923.06</v>
      </c>
      <c r="T737">
        <v>10.08</v>
      </c>
      <c r="U737">
        <v>22</v>
      </c>
      <c r="V737">
        <v>26</v>
      </c>
      <c r="W737">
        <v>3898</v>
      </c>
      <c r="X737" t="s">
        <v>188</v>
      </c>
      <c r="Y737" t="s">
        <v>36</v>
      </c>
      <c r="Z737">
        <v>901</v>
      </c>
    </row>
    <row r="738" spans="1:26" x14ac:dyDescent="0.25">
      <c r="A738">
        <v>100736</v>
      </c>
      <c r="B738" s="3">
        <v>45343</v>
      </c>
      <c r="C738" s="3">
        <v>45343</v>
      </c>
      <c r="D738" s="3">
        <v>45348</v>
      </c>
      <c r="E738" t="s">
        <v>2072</v>
      </c>
      <c r="F738" t="s">
        <v>38</v>
      </c>
      <c r="G738" t="s">
        <v>49</v>
      </c>
      <c r="H738" t="s">
        <v>2073</v>
      </c>
      <c r="I738" t="s">
        <v>230</v>
      </c>
      <c r="J738" t="s">
        <v>80</v>
      </c>
      <c r="K738" t="s">
        <v>1308</v>
      </c>
      <c r="L738" t="s">
        <v>212</v>
      </c>
      <c r="M738" t="s">
        <v>32</v>
      </c>
      <c r="N738" t="s">
        <v>74</v>
      </c>
      <c r="O738" t="s">
        <v>75</v>
      </c>
      <c r="P738" t="s">
        <v>68</v>
      </c>
      <c r="Q738">
        <v>382</v>
      </c>
      <c r="R738">
        <v>324.89999999999998</v>
      </c>
      <c r="S738">
        <v>124111.8</v>
      </c>
      <c r="T738">
        <v>53.27</v>
      </c>
      <c r="U738">
        <v>5</v>
      </c>
      <c r="V738">
        <v>5</v>
      </c>
      <c r="W738">
        <v>2074</v>
      </c>
      <c r="X738" t="s">
        <v>3741</v>
      </c>
      <c r="Y738" t="s">
        <v>36</v>
      </c>
      <c r="Z738">
        <v>18309.490000000002</v>
      </c>
    </row>
    <row r="739" spans="1:26" x14ac:dyDescent="0.25">
      <c r="A739">
        <v>100737</v>
      </c>
      <c r="B739" s="3">
        <v>45998</v>
      </c>
      <c r="C739" s="3">
        <v>45999</v>
      </c>
      <c r="D739" s="3">
        <v>46005</v>
      </c>
      <c r="E739" t="s">
        <v>2074</v>
      </c>
      <c r="F739" t="s">
        <v>38</v>
      </c>
      <c r="G739" t="s">
        <v>147</v>
      </c>
      <c r="H739" t="s">
        <v>2075</v>
      </c>
      <c r="I739" t="s">
        <v>126</v>
      </c>
      <c r="J739" t="s">
        <v>42</v>
      </c>
      <c r="K739" t="s">
        <v>285</v>
      </c>
      <c r="L739" t="s">
        <v>64</v>
      </c>
      <c r="M739" t="s">
        <v>32</v>
      </c>
      <c r="N739" t="s">
        <v>151</v>
      </c>
      <c r="O739" t="s">
        <v>152</v>
      </c>
      <c r="P739" t="s">
        <v>35</v>
      </c>
      <c r="Q739">
        <v>165</v>
      </c>
      <c r="R739">
        <v>165.29</v>
      </c>
      <c r="S739">
        <v>27272.85</v>
      </c>
      <c r="T739">
        <v>17.149999999999999</v>
      </c>
      <c r="U739">
        <v>6</v>
      </c>
      <c r="V739">
        <v>7</v>
      </c>
      <c r="W739">
        <v>1668</v>
      </c>
      <c r="X739" t="s">
        <v>3741</v>
      </c>
      <c r="Y739" t="s">
        <v>36</v>
      </c>
      <c r="Z739">
        <v>2235.87</v>
      </c>
    </row>
    <row r="740" spans="1:26" x14ac:dyDescent="0.25">
      <c r="A740">
        <v>100738</v>
      </c>
      <c r="B740" s="3">
        <v>45602</v>
      </c>
      <c r="C740" s="3">
        <v>45603</v>
      </c>
      <c r="D740" s="3">
        <v>45604</v>
      </c>
      <c r="E740" t="s">
        <v>2076</v>
      </c>
      <c r="F740" t="s">
        <v>54</v>
      </c>
      <c r="G740" t="s">
        <v>129</v>
      </c>
      <c r="H740" t="s">
        <v>2077</v>
      </c>
      <c r="I740" t="s">
        <v>177</v>
      </c>
      <c r="J740" t="s">
        <v>29</v>
      </c>
      <c r="K740" t="s">
        <v>1552</v>
      </c>
      <c r="L740" t="s">
        <v>98</v>
      </c>
      <c r="M740" t="s">
        <v>32</v>
      </c>
      <c r="N740" t="s">
        <v>45</v>
      </c>
      <c r="O740" t="s">
        <v>46</v>
      </c>
      <c r="P740" t="s">
        <v>68</v>
      </c>
      <c r="Q740">
        <v>220</v>
      </c>
      <c r="R740">
        <v>25.95</v>
      </c>
      <c r="S740">
        <v>5709</v>
      </c>
      <c r="T740">
        <v>42.77</v>
      </c>
      <c r="U740">
        <v>1</v>
      </c>
      <c r="V740">
        <v>2</v>
      </c>
      <c r="W740">
        <v>763</v>
      </c>
      <c r="X740" t="s">
        <v>3741</v>
      </c>
      <c r="Y740" t="s">
        <v>36</v>
      </c>
      <c r="Z740">
        <v>1564.02</v>
      </c>
    </row>
    <row r="741" spans="1:26" x14ac:dyDescent="0.25">
      <c r="A741">
        <v>100739</v>
      </c>
      <c r="B741" s="3">
        <v>45622</v>
      </c>
      <c r="C741" s="3">
        <v>45626</v>
      </c>
      <c r="D741" s="3">
        <v>45628</v>
      </c>
      <c r="E741" t="s">
        <v>2078</v>
      </c>
      <c r="F741" t="s">
        <v>32</v>
      </c>
      <c r="G741" t="s">
        <v>273</v>
      </c>
      <c r="H741" t="s">
        <v>2079</v>
      </c>
      <c r="I741" t="s">
        <v>149</v>
      </c>
      <c r="J741" t="s">
        <v>42</v>
      </c>
      <c r="K741" t="s">
        <v>1659</v>
      </c>
      <c r="L741" t="s">
        <v>212</v>
      </c>
      <c r="M741" t="s">
        <v>65</v>
      </c>
      <c r="N741" t="s">
        <v>55</v>
      </c>
      <c r="O741" t="s">
        <v>56</v>
      </c>
      <c r="P741" t="s">
        <v>35</v>
      </c>
      <c r="Q741">
        <v>291</v>
      </c>
      <c r="R741">
        <v>253.86</v>
      </c>
      <c r="S741">
        <v>73873.259999999995</v>
      </c>
      <c r="T741">
        <v>20.72</v>
      </c>
      <c r="U741">
        <v>2</v>
      </c>
      <c r="V741">
        <v>6</v>
      </c>
      <c r="W741">
        <v>1103</v>
      </c>
      <c r="X741" t="s">
        <v>3741</v>
      </c>
      <c r="Y741" t="s">
        <v>36</v>
      </c>
      <c r="Z741">
        <v>10108.99</v>
      </c>
    </row>
    <row r="742" spans="1:26" x14ac:dyDescent="0.25">
      <c r="A742">
        <v>100740</v>
      </c>
      <c r="B742" s="3">
        <v>45396</v>
      </c>
      <c r="C742" s="3">
        <v>45396</v>
      </c>
      <c r="D742" s="3">
        <v>45415</v>
      </c>
      <c r="E742" t="s">
        <v>2080</v>
      </c>
      <c r="F742" t="s">
        <v>38</v>
      </c>
      <c r="G742" t="s">
        <v>49</v>
      </c>
      <c r="H742" t="s">
        <v>2081</v>
      </c>
      <c r="I742" t="s">
        <v>89</v>
      </c>
      <c r="J742" t="s">
        <v>62</v>
      </c>
      <c r="K742" t="s">
        <v>131</v>
      </c>
      <c r="L742" t="s">
        <v>64</v>
      </c>
      <c r="M742" t="s">
        <v>25</v>
      </c>
      <c r="N742" t="s">
        <v>92</v>
      </c>
      <c r="O742" t="s">
        <v>93</v>
      </c>
      <c r="P742" t="s">
        <v>76</v>
      </c>
      <c r="Q742">
        <v>267</v>
      </c>
      <c r="R742">
        <v>9.77</v>
      </c>
      <c r="S742">
        <v>2608.59</v>
      </c>
      <c r="T742">
        <v>12.89</v>
      </c>
      <c r="U742">
        <v>19</v>
      </c>
      <c r="V742">
        <v>19</v>
      </c>
      <c r="W742">
        <v>4857</v>
      </c>
      <c r="X742" t="s">
        <v>188</v>
      </c>
      <c r="Y742" t="s">
        <v>36</v>
      </c>
      <c r="Z742">
        <v>-86.35</v>
      </c>
    </row>
    <row r="743" spans="1:26" x14ac:dyDescent="0.25">
      <c r="A743">
        <v>100741</v>
      </c>
      <c r="B743" s="3">
        <v>45676</v>
      </c>
      <c r="C743" s="3">
        <v>45679</v>
      </c>
      <c r="D743" s="3">
        <v>45699</v>
      </c>
      <c r="E743" t="s">
        <v>2082</v>
      </c>
      <c r="F743" t="s">
        <v>38</v>
      </c>
      <c r="G743" t="s">
        <v>147</v>
      </c>
      <c r="H743" t="s">
        <v>2083</v>
      </c>
      <c r="I743" t="s">
        <v>207</v>
      </c>
      <c r="J743" t="s">
        <v>80</v>
      </c>
      <c r="K743" t="s">
        <v>1332</v>
      </c>
      <c r="L743" t="s">
        <v>122</v>
      </c>
      <c r="M743" t="s">
        <v>54</v>
      </c>
      <c r="N743" t="s">
        <v>92</v>
      </c>
      <c r="O743" t="s">
        <v>93</v>
      </c>
      <c r="P743" t="s">
        <v>76</v>
      </c>
      <c r="Q743">
        <v>105</v>
      </c>
      <c r="R743">
        <v>125.88</v>
      </c>
      <c r="S743">
        <v>13217.4</v>
      </c>
      <c r="T743">
        <v>9.93</v>
      </c>
      <c r="U743">
        <v>20</v>
      </c>
      <c r="V743">
        <v>23</v>
      </c>
      <c r="W743">
        <v>1995</v>
      </c>
      <c r="X743" t="s">
        <v>188</v>
      </c>
      <c r="Y743" t="s">
        <v>36</v>
      </c>
      <c r="Z743">
        <v>3001.99</v>
      </c>
    </row>
    <row r="744" spans="1:26" x14ac:dyDescent="0.25">
      <c r="A744">
        <v>100742</v>
      </c>
      <c r="B744" s="3">
        <v>45708</v>
      </c>
      <c r="C744" s="3">
        <v>45713</v>
      </c>
      <c r="D744" s="3">
        <v>45719</v>
      </c>
      <c r="E744" t="s">
        <v>2084</v>
      </c>
      <c r="F744" t="s">
        <v>32</v>
      </c>
      <c r="G744" t="s">
        <v>273</v>
      </c>
      <c r="H744" t="s">
        <v>2085</v>
      </c>
      <c r="I744" t="s">
        <v>191</v>
      </c>
      <c r="J744" t="s">
        <v>62</v>
      </c>
      <c r="K744" t="s">
        <v>2086</v>
      </c>
      <c r="L744" t="s">
        <v>187</v>
      </c>
      <c r="M744" t="s">
        <v>54</v>
      </c>
      <c r="N744" t="s">
        <v>151</v>
      </c>
      <c r="O744" t="s">
        <v>152</v>
      </c>
      <c r="P744" t="s">
        <v>123</v>
      </c>
      <c r="Q744">
        <v>120</v>
      </c>
      <c r="R744">
        <v>21.12</v>
      </c>
      <c r="S744">
        <v>2534.4</v>
      </c>
      <c r="T744">
        <v>13.61</v>
      </c>
      <c r="U744">
        <v>6</v>
      </c>
      <c r="V744">
        <v>11</v>
      </c>
      <c r="W744">
        <v>3472</v>
      </c>
      <c r="X744" t="s">
        <v>188</v>
      </c>
      <c r="Y744" t="s">
        <v>36</v>
      </c>
      <c r="Z744">
        <v>276.66000000000003</v>
      </c>
    </row>
    <row r="745" spans="1:26" x14ac:dyDescent="0.25">
      <c r="A745">
        <v>100743</v>
      </c>
      <c r="B745" s="3">
        <v>46002</v>
      </c>
      <c r="C745" s="3">
        <v>46002</v>
      </c>
      <c r="D745" s="3">
        <v>46006</v>
      </c>
      <c r="E745" t="s">
        <v>2067</v>
      </c>
      <c r="F745" t="s">
        <v>54</v>
      </c>
      <c r="G745" t="s">
        <v>193</v>
      </c>
      <c r="H745" t="s">
        <v>2087</v>
      </c>
      <c r="I745" t="s">
        <v>191</v>
      </c>
      <c r="J745" t="s">
        <v>62</v>
      </c>
      <c r="K745" t="s">
        <v>2088</v>
      </c>
      <c r="L745" t="s">
        <v>44</v>
      </c>
      <c r="M745" t="s">
        <v>32</v>
      </c>
      <c r="N745" t="s">
        <v>92</v>
      </c>
      <c r="O745" t="s">
        <v>93</v>
      </c>
      <c r="P745" t="s">
        <v>68</v>
      </c>
      <c r="Q745">
        <v>117</v>
      </c>
      <c r="R745">
        <v>27.48</v>
      </c>
      <c r="S745">
        <v>3215.16</v>
      </c>
      <c r="T745">
        <v>36.090000000000003</v>
      </c>
      <c r="U745">
        <v>4</v>
      </c>
      <c r="V745">
        <v>4</v>
      </c>
      <c r="W745">
        <v>2116</v>
      </c>
      <c r="X745" t="s">
        <v>3741</v>
      </c>
      <c r="Y745" t="s">
        <v>36</v>
      </c>
      <c r="Z745">
        <v>209.74</v>
      </c>
    </row>
    <row r="746" spans="1:26" x14ac:dyDescent="0.25">
      <c r="A746">
        <v>100744</v>
      </c>
      <c r="B746" s="3">
        <v>45400</v>
      </c>
      <c r="C746" s="3">
        <v>45401</v>
      </c>
      <c r="D746" s="3">
        <v>45407</v>
      </c>
      <c r="E746" t="s">
        <v>2089</v>
      </c>
      <c r="F746" t="s">
        <v>65</v>
      </c>
      <c r="G746" t="s">
        <v>154</v>
      </c>
      <c r="H746" t="s">
        <v>2090</v>
      </c>
      <c r="I746" t="s">
        <v>61</v>
      </c>
      <c r="J746" t="s">
        <v>62</v>
      </c>
      <c r="K746" t="s">
        <v>395</v>
      </c>
      <c r="L746" t="s">
        <v>91</v>
      </c>
      <c r="M746" t="s">
        <v>25</v>
      </c>
      <c r="N746" t="s">
        <v>55</v>
      </c>
      <c r="O746" t="s">
        <v>56</v>
      </c>
      <c r="P746" t="s">
        <v>123</v>
      </c>
      <c r="Q746">
        <v>273</v>
      </c>
      <c r="R746">
        <v>48.25</v>
      </c>
      <c r="S746">
        <v>13172.25</v>
      </c>
      <c r="T746">
        <v>17.329999999999998</v>
      </c>
      <c r="U746">
        <v>6</v>
      </c>
      <c r="V746">
        <v>7</v>
      </c>
      <c r="W746">
        <v>4930</v>
      </c>
      <c r="X746" t="s">
        <v>3742</v>
      </c>
      <c r="Y746" t="s">
        <v>47</v>
      </c>
      <c r="Z746">
        <v>-132.99</v>
      </c>
    </row>
    <row r="747" spans="1:26" x14ac:dyDescent="0.25">
      <c r="A747">
        <v>100745</v>
      </c>
      <c r="B747" s="3">
        <v>45602</v>
      </c>
      <c r="C747" s="3">
        <v>45603</v>
      </c>
      <c r="D747" s="3">
        <v>45612</v>
      </c>
      <c r="E747" t="s">
        <v>2091</v>
      </c>
      <c r="F747" t="s">
        <v>65</v>
      </c>
      <c r="G747" t="s">
        <v>154</v>
      </c>
      <c r="H747" t="s">
        <v>2092</v>
      </c>
      <c r="I747" t="s">
        <v>144</v>
      </c>
      <c r="J747" t="s">
        <v>52</v>
      </c>
      <c r="K747" t="s">
        <v>2093</v>
      </c>
      <c r="L747" t="s">
        <v>212</v>
      </c>
      <c r="M747" t="s">
        <v>38</v>
      </c>
      <c r="N747" t="s">
        <v>102</v>
      </c>
      <c r="O747" t="s">
        <v>103</v>
      </c>
      <c r="P747" t="s">
        <v>123</v>
      </c>
      <c r="Q747">
        <v>278</v>
      </c>
      <c r="R747">
        <v>74.27</v>
      </c>
      <c r="S747">
        <v>20647.060000000001</v>
      </c>
      <c r="T747">
        <v>17.45</v>
      </c>
      <c r="U747">
        <v>9</v>
      </c>
      <c r="V747">
        <v>10</v>
      </c>
      <c r="W747">
        <v>3191</v>
      </c>
      <c r="X747" t="s">
        <v>188</v>
      </c>
      <c r="Y747" t="s">
        <v>36</v>
      </c>
      <c r="Z747">
        <v>2999.36</v>
      </c>
    </row>
    <row r="748" spans="1:26" x14ac:dyDescent="0.25">
      <c r="A748">
        <v>100746</v>
      </c>
      <c r="B748" s="3">
        <v>45392</v>
      </c>
      <c r="C748" s="3">
        <v>45393</v>
      </c>
      <c r="D748" s="3">
        <v>45395</v>
      </c>
      <c r="E748" t="s">
        <v>366</v>
      </c>
      <c r="F748" t="s">
        <v>38</v>
      </c>
      <c r="G748" t="s">
        <v>217</v>
      </c>
      <c r="H748" t="s">
        <v>2094</v>
      </c>
      <c r="I748" t="s">
        <v>182</v>
      </c>
      <c r="J748" t="s">
        <v>80</v>
      </c>
      <c r="K748" t="s">
        <v>2095</v>
      </c>
      <c r="L748" t="s">
        <v>187</v>
      </c>
      <c r="M748" t="s">
        <v>32</v>
      </c>
      <c r="N748" t="s">
        <v>102</v>
      </c>
      <c r="O748" t="s">
        <v>103</v>
      </c>
      <c r="P748" t="s">
        <v>35</v>
      </c>
      <c r="Q748">
        <v>165</v>
      </c>
      <c r="R748">
        <v>200.87</v>
      </c>
      <c r="S748">
        <v>33143.550000000003</v>
      </c>
      <c r="T748">
        <v>17.149999999999999</v>
      </c>
      <c r="U748">
        <v>2</v>
      </c>
      <c r="V748">
        <v>3</v>
      </c>
      <c r="W748">
        <v>1029</v>
      </c>
      <c r="X748" t="s">
        <v>3741</v>
      </c>
      <c r="Y748" t="s">
        <v>36</v>
      </c>
      <c r="Z748">
        <v>5815.32</v>
      </c>
    </row>
    <row r="749" spans="1:26" x14ac:dyDescent="0.25">
      <c r="A749">
        <v>100747</v>
      </c>
      <c r="B749" s="3">
        <v>45393</v>
      </c>
      <c r="C749" s="3">
        <v>45393</v>
      </c>
      <c r="D749" s="3">
        <v>45397</v>
      </c>
      <c r="E749" t="s">
        <v>2096</v>
      </c>
      <c r="F749" t="s">
        <v>25</v>
      </c>
      <c r="G749" t="s">
        <v>221</v>
      </c>
      <c r="H749" t="s">
        <v>2097</v>
      </c>
      <c r="I749" t="s">
        <v>79</v>
      </c>
      <c r="J749" t="s">
        <v>80</v>
      </c>
      <c r="K749" t="s">
        <v>186</v>
      </c>
      <c r="L749" t="s">
        <v>187</v>
      </c>
      <c r="M749" t="s">
        <v>32</v>
      </c>
      <c r="N749" t="s">
        <v>107</v>
      </c>
      <c r="O749" t="s">
        <v>108</v>
      </c>
      <c r="P749" t="s">
        <v>123</v>
      </c>
      <c r="Q749">
        <v>231</v>
      </c>
      <c r="R749">
        <v>106.54</v>
      </c>
      <c r="S749">
        <v>24610.74</v>
      </c>
      <c r="T749">
        <v>16.309999999999999</v>
      </c>
      <c r="U749">
        <v>4</v>
      </c>
      <c r="V749">
        <v>4</v>
      </c>
      <c r="W749">
        <v>2157</v>
      </c>
      <c r="X749" t="s">
        <v>3741</v>
      </c>
      <c r="Y749" t="s">
        <v>36</v>
      </c>
      <c r="Z749">
        <v>5861.61</v>
      </c>
    </row>
    <row r="750" spans="1:26" x14ac:dyDescent="0.25">
      <c r="A750">
        <v>100748</v>
      </c>
      <c r="B750" s="3">
        <v>45836</v>
      </c>
      <c r="C750" s="3">
        <v>45839</v>
      </c>
      <c r="D750" s="3">
        <v>45847</v>
      </c>
      <c r="E750" t="s">
        <v>2098</v>
      </c>
      <c r="F750" t="s">
        <v>54</v>
      </c>
      <c r="G750" t="s">
        <v>165</v>
      </c>
      <c r="H750" t="s">
        <v>2099</v>
      </c>
      <c r="I750" t="s">
        <v>177</v>
      </c>
      <c r="J750" t="s">
        <v>29</v>
      </c>
      <c r="K750" t="s">
        <v>2100</v>
      </c>
      <c r="L750" t="s">
        <v>122</v>
      </c>
      <c r="M750" t="s">
        <v>54</v>
      </c>
      <c r="N750" t="s">
        <v>107</v>
      </c>
      <c r="O750" t="s">
        <v>108</v>
      </c>
      <c r="P750" t="s">
        <v>123</v>
      </c>
      <c r="Q750">
        <v>414</v>
      </c>
      <c r="R750">
        <v>87.08</v>
      </c>
      <c r="S750">
        <v>36051.120000000003</v>
      </c>
      <c r="T750">
        <v>15.37</v>
      </c>
      <c r="U750">
        <v>8</v>
      </c>
      <c r="V750">
        <v>11</v>
      </c>
      <c r="W750">
        <v>1025</v>
      </c>
      <c r="X750" t="s">
        <v>188</v>
      </c>
      <c r="Y750" t="s">
        <v>36</v>
      </c>
      <c r="Z750">
        <v>8812.99</v>
      </c>
    </row>
    <row r="751" spans="1:26" x14ac:dyDescent="0.25">
      <c r="A751">
        <v>100749</v>
      </c>
      <c r="B751" s="3">
        <v>45955</v>
      </c>
      <c r="C751" s="3">
        <v>45956</v>
      </c>
      <c r="D751" s="3">
        <v>45965</v>
      </c>
      <c r="E751" t="s">
        <v>2101</v>
      </c>
      <c r="F751" t="s">
        <v>38</v>
      </c>
      <c r="G751" t="s">
        <v>49</v>
      </c>
      <c r="H751" t="s">
        <v>2102</v>
      </c>
      <c r="I751" t="s">
        <v>182</v>
      </c>
      <c r="J751" t="s">
        <v>80</v>
      </c>
      <c r="K751" t="s">
        <v>1099</v>
      </c>
      <c r="L751" t="s">
        <v>44</v>
      </c>
      <c r="M751" t="s">
        <v>38</v>
      </c>
      <c r="N751" t="s">
        <v>33</v>
      </c>
      <c r="O751" t="s">
        <v>34</v>
      </c>
      <c r="P751" t="s">
        <v>35</v>
      </c>
      <c r="Q751">
        <v>337</v>
      </c>
      <c r="R751">
        <v>127.32</v>
      </c>
      <c r="S751">
        <v>42906.84</v>
      </c>
      <c r="T751">
        <v>16.32</v>
      </c>
      <c r="U751">
        <v>9</v>
      </c>
      <c r="V751">
        <v>10</v>
      </c>
      <c r="W751">
        <v>639</v>
      </c>
      <c r="X751" t="s">
        <v>3742</v>
      </c>
      <c r="Y751" t="s">
        <v>57</v>
      </c>
      <c r="Z751">
        <v>5749.16</v>
      </c>
    </row>
    <row r="752" spans="1:26" x14ac:dyDescent="0.25">
      <c r="A752">
        <v>100750</v>
      </c>
      <c r="B752" s="3">
        <v>45826</v>
      </c>
      <c r="C752" s="3">
        <v>45831</v>
      </c>
      <c r="D752" s="3">
        <v>45854</v>
      </c>
      <c r="E752" t="s">
        <v>2103</v>
      </c>
      <c r="F752" t="s">
        <v>38</v>
      </c>
      <c r="G752" t="s">
        <v>147</v>
      </c>
      <c r="H752" t="s">
        <v>2104</v>
      </c>
      <c r="I752" t="s">
        <v>61</v>
      </c>
      <c r="J752" t="s">
        <v>62</v>
      </c>
      <c r="K752" t="s">
        <v>53</v>
      </c>
      <c r="L752" t="s">
        <v>91</v>
      </c>
      <c r="M752" t="s">
        <v>65</v>
      </c>
      <c r="N752" t="s">
        <v>92</v>
      </c>
      <c r="O752" t="s">
        <v>93</v>
      </c>
      <c r="P752" t="s">
        <v>76</v>
      </c>
      <c r="Q752">
        <v>317</v>
      </c>
      <c r="R752">
        <v>39.229999999999997</v>
      </c>
      <c r="S752">
        <v>12435.91</v>
      </c>
      <c r="T752">
        <v>13.8</v>
      </c>
      <c r="U752">
        <v>23</v>
      </c>
      <c r="V752">
        <v>28</v>
      </c>
      <c r="W752">
        <v>4720</v>
      </c>
      <c r="X752" t="s">
        <v>188</v>
      </c>
      <c r="Y752" t="s">
        <v>36</v>
      </c>
      <c r="Z752">
        <v>1593.69</v>
      </c>
    </row>
    <row r="753" spans="1:26" x14ac:dyDescent="0.25">
      <c r="A753">
        <v>100751</v>
      </c>
      <c r="B753" s="3">
        <v>45793</v>
      </c>
      <c r="C753" s="3">
        <v>45793</v>
      </c>
      <c r="D753" s="3">
        <v>45800</v>
      </c>
      <c r="E753" t="s">
        <v>2105</v>
      </c>
      <c r="F753" t="s">
        <v>32</v>
      </c>
      <c r="G753" t="s">
        <v>137</v>
      </c>
      <c r="H753" t="s">
        <v>2106</v>
      </c>
      <c r="I753" t="s">
        <v>85</v>
      </c>
      <c r="J753" t="s">
        <v>52</v>
      </c>
      <c r="K753" t="s">
        <v>2107</v>
      </c>
      <c r="L753" t="s">
        <v>113</v>
      </c>
      <c r="M753" t="s">
        <v>25</v>
      </c>
      <c r="N753" t="s">
        <v>107</v>
      </c>
      <c r="O753" t="s">
        <v>108</v>
      </c>
      <c r="P753" t="s">
        <v>35</v>
      </c>
      <c r="Q753">
        <v>479</v>
      </c>
      <c r="R753">
        <v>48.33</v>
      </c>
      <c r="S753">
        <v>23150.07</v>
      </c>
      <c r="T753">
        <v>26.05</v>
      </c>
      <c r="U753">
        <v>7</v>
      </c>
      <c r="V753">
        <v>7</v>
      </c>
      <c r="W753">
        <v>1756</v>
      </c>
      <c r="X753" t="s">
        <v>3741</v>
      </c>
      <c r="Y753" t="s">
        <v>36</v>
      </c>
      <c r="Z753">
        <v>2343.61</v>
      </c>
    </row>
    <row r="754" spans="1:26" x14ac:dyDescent="0.25">
      <c r="A754">
        <v>100752</v>
      </c>
      <c r="B754" s="3">
        <v>45696</v>
      </c>
      <c r="C754" s="3">
        <v>45696</v>
      </c>
      <c r="D754" s="3">
        <v>45701</v>
      </c>
      <c r="E754" t="s">
        <v>2108</v>
      </c>
      <c r="F754" t="s">
        <v>32</v>
      </c>
      <c r="G754" t="s">
        <v>255</v>
      </c>
      <c r="H754" t="s">
        <v>2109</v>
      </c>
      <c r="I754" t="s">
        <v>41</v>
      </c>
      <c r="J754" t="s">
        <v>42</v>
      </c>
      <c r="K754" t="s">
        <v>2110</v>
      </c>
      <c r="L754" t="s">
        <v>44</v>
      </c>
      <c r="M754" t="s">
        <v>54</v>
      </c>
      <c r="N754" t="s">
        <v>74</v>
      </c>
      <c r="O754" t="s">
        <v>75</v>
      </c>
      <c r="P754" t="s">
        <v>68</v>
      </c>
      <c r="Q754">
        <v>222</v>
      </c>
      <c r="R754">
        <v>390.11</v>
      </c>
      <c r="S754">
        <v>86604.42</v>
      </c>
      <c r="T754">
        <v>42.9</v>
      </c>
      <c r="U754">
        <v>5</v>
      </c>
      <c r="V754">
        <v>5</v>
      </c>
      <c r="W754">
        <v>1644</v>
      </c>
      <c r="X754" t="s">
        <v>3741</v>
      </c>
      <c r="Y754" t="s">
        <v>36</v>
      </c>
      <c r="Z754">
        <v>18376.349999999999</v>
      </c>
    </row>
    <row r="755" spans="1:26" x14ac:dyDescent="0.25">
      <c r="A755">
        <v>100753</v>
      </c>
      <c r="B755" s="3">
        <v>45552</v>
      </c>
      <c r="C755" s="3">
        <v>45552</v>
      </c>
      <c r="D755" s="3">
        <v>45561</v>
      </c>
      <c r="E755" t="s">
        <v>2111</v>
      </c>
      <c r="F755" t="s">
        <v>38</v>
      </c>
      <c r="G755" t="s">
        <v>39</v>
      </c>
      <c r="H755" t="s">
        <v>2112</v>
      </c>
      <c r="I755" t="s">
        <v>144</v>
      </c>
      <c r="J755" t="s">
        <v>52</v>
      </c>
      <c r="K755" t="s">
        <v>2113</v>
      </c>
      <c r="L755" t="s">
        <v>122</v>
      </c>
      <c r="M755" t="s">
        <v>54</v>
      </c>
      <c r="N755" t="s">
        <v>102</v>
      </c>
      <c r="O755" t="s">
        <v>103</v>
      </c>
      <c r="P755" t="s">
        <v>35</v>
      </c>
      <c r="Q755">
        <v>61</v>
      </c>
      <c r="R755">
        <v>34.200000000000003</v>
      </c>
      <c r="S755">
        <v>2086.1999999999998</v>
      </c>
      <c r="T755">
        <v>14.2</v>
      </c>
      <c r="U755">
        <v>9</v>
      </c>
      <c r="V755">
        <v>9</v>
      </c>
      <c r="W755">
        <v>740</v>
      </c>
      <c r="X755" t="s">
        <v>188</v>
      </c>
      <c r="Y755" t="s">
        <v>36</v>
      </c>
      <c r="Z755">
        <v>266.3</v>
      </c>
    </row>
    <row r="756" spans="1:26" x14ac:dyDescent="0.25">
      <c r="A756">
        <v>100754</v>
      </c>
      <c r="B756" s="3">
        <v>45600</v>
      </c>
      <c r="C756" s="3">
        <v>45602</v>
      </c>
      <c r="D756" s="3">
        <v>45615</v>
      </c>
      <c r="E756" t="s">
        <v>2114</v>
      </c>
      <c r="F756" t="s">
        <v>25</v>
      </c>
      <c r="G756" t="s">
        <v>59</v>
      </c>
      <c r="H756" t="s">
        <v>2115</v>
      </c>
      <c r="I756" t="s">
        <v>238</v>
      </c>
      <c r="J756" t="s">
        <v>62</v>
      </c>
      <c r="K756" t="s">
        <v>968</v>
      </c>
      <c r="L756" t="s">
        <v>212</v>
      </c>
      <c r="M756" t="s">
        <v>32</v>
      </c>
      <c r="N756" t="s">
        <v>66</v>
      </c>
      <c r="O756" t="s">
        <v>67</v>
      </c>
      <c r="P756" t="s">
        <v>123</v>
      </c>
      <c r="Q756">
        <v>189</v>
      </c>
      <c r="R756">
        <v>19.559999999999999</v>
      </c>
      <c r="S756">
        <v>3696.84</v>
      </c>
      <c r="T756">
        <v>15.28</v>
      </c>
      <c r="U756">
        <v>13</v>
      </c>
      <c r="V756">
        <v>15</v>
      </c>
      <c r="W756">
        <v>3994</v>
      </c>
      <c r="X756" t="s">
        <v>188</v>
      </c>
      <c r="Y756" t="s">
        <v>36</v>
      </c>
      <c r="Z756">
        <v>536.89</v>
      </c>
    </row>
    <row r="757" spans="1:26" x14ac:dyDescent="0.25">
      <c r="A757">
        <v>100755</v>
      </c>
      <c r="B757" s="3">
        <v>45655</v>
      </c>
      <c r="C757" s="3">
        <v>45656</v>
      </c>
      <c r="D757" s="3">
        <v>45671</v>
      </c>
      <c r="E757" t="s">
        <v>2116</v>
      </c>
      <c r="F757" t="s">
        <v>32</v>
      </c>
      <c r="G757" t="s">
        <v>180</v>
      </c>
      <c r="H757" t="s">
        <v>2117</v>
      </c>
      <c r="I757" t="s">
        <v>72</v>
      </c>
      <c r="J757" t="s">
        <v>42</v>
      </c>
      <c r="K757" t="s">
        <v>265</v>
      </c>
      <c r="L757" t="s">
        <v>98</v>
      </c>
      <c r="M757" t="s">
        <v>65</v>
      </c>
      <c r="N757" t="s">
        <v>92</v>
      </c>
      <c r="O757" t="s">
        <v>93</v>
      </c>
      <c r="P757" t="s">
        <v>76</v>
      </c>
      <c r="Q757">
        <v>434</v>
      </c>
      <c r="R757">
        <v>75.8</v>
      </c>
      <c r="S757">
        <v>32897.199999999997</v>
      </c>
      <c r="T757">
        <v>15.93</v>
      </c>
      <c r="U757">
        <v>15</v>
      </c>
      <c r="V757">
        <v>16</v>
      </c>
      <c r="W757">
        <v>941</v>
      </c>
      <c r="X757" t="s">
        <v>188</v>
      </c>
      <c r="Y757" t="s">
        <v>36</v>
      </c>
      <c r="Z757">
        <v>1429.74</v>
      </c>
    </row>
    <row r="758" spans="1:26" x14ac:dyDescent="0.25">
      <c r="A758">
        <v>100756</v>
      </c>
      <c r="B758" s="3">
        <v>45836</v>
      </c>
      <c r="C758" s="3">
        <v>45839</v>
      </c>
      <c r="D758" s="3">
        <v>45843</v>
      </c>
      <c r="E758" t="s">
        <v>2118</v>
      </c>
      <c r="F758" t="s">
        <v>32</v>
      </c>
      <c r="G758" t="s">
        <v>364</v>
      </c>
      <c r="H758" t="s">
        <v>2119</v>
      </c>
      <c r="I758" t="s">
        <v>191</v>
      </c>
      <c r="J758" t="s">
        <v>62</v>
      </c>
      <c r="K758" t="s">
        <v>1530</v>
      </c>
      <c r="L758" t="s">
        <v>187</v>
      </c>
      <c r="M758" t="s">
        <v>38</v>
      </c>
      <c r="N758" t="s">
        <v>107</v>
      </c>
      <c r="O758" t="s">
        <v>108</v>
      </c>
      <c r="P758" t="s">
        <v>68</v>
      </c>
      <c r="Q758">
        <v>486</v>
      </c>
      <c r="R758">
        <v>33.229999999999997</v>
      </c>
      <c r="S758">
        <v>16149.78</v>
      </c>
      <c r="T758">
        <v>60</v>
      </c>
      <c r="U758">
        <v>4</v>
      </c>
      <c r="V758">
        <v>7</v>
      </c>
      <c r="W758">
        <v>2203</v>
      </c>
      <c r="X758" t="s">
        <v>3741</v>
      </c>
      <c r="Y758" t="s">
        <v>36</v>
      </c>
      <c r="Z758">
        <v>1034.53</v>
      </c>
    </row>
    <row r="759" spans="1:26" x14ac:dyDescent="0.25">
      <c r="A759">
        <v>100757</v>
      </c>
      <c r="B759" s="3">
        <v>45579</v>
      </c>
      <c r="C759" s="3">
        <v>45583</v>
      </c>
      <c r="D759" s="3">
        <v>45590</v>
      </c>
      <c r="E759" t="s">
        <v>2120</v>
      </c>
      <c r="F759" t="s">
        <v>54</v>
      </c>
      <c r="G759" t="s">
        <v>129</v>
      </c>
      <c r="H759" t="s">
        <v>2121</v>
      </c>
      <c r="I759" t="s">
        <v>79</v>
      </c>
      <c r="J759" t="s">
        <v>80</v>
      </c>
      <c r="K759" t="s">
        <v>1280</v>
      </c>
      <c r="L759" t="s">
        <v>187</v>
      </c>
      <c r="M759" t="s">
        <v>38</v>
      </c>
      <c r="N759" t="s">
        <v>92</v>
      </c>
      <c r="O759" t="s">
        <v>93</v>
      </c>
      <c r="P759" t="s">
        <v>35</v>
      </c>
      <c r="Q759">
        <v>327</v>
      </c>
      <c r="R759">
        <v>281.79000000000002</v>
      </c>
      <c r="S759">
        <v>92145.33</v>
      </c>
      <c r="T759">
        <v>21.74</v>
      </c>
      <c r="U759">
        <v>7</v>
      </c>
      <c r="V759">
        <v>11</v>
      </c>
      <c r="W759">
        <v>1009</v>
      </c>
      <c r="X759" t="s">
        <v>188</v>
      </c>
      <c r="Y759" t="s">
        <v>36</v>
      </c>
      <c r="Z759">
        <v>18952.5</v>
      </c>
    </row>
    <row r="760" spans="1:26" x14ac:dyDescent="0.25">
      <c r="A760">
        <v>100758</v>
      </c>
      <c r="B760" s="3">
        <v>45709</v>
      </c>
      <c r="C760" s="3">
        <v>45712</v>
      </c>
      <c r="D760" s="3">
        <v>45737</v>
      </c>
      <c r="E760" t="s">
        <v>2122</v>
      </c>
      <c r="F760" t="s">
        <v>32</v>
      </c>
      <c r="G760" t="s">
        <v>110</v>
      </c>
      <c r="H760" t="s">
        <v>2123</v>
      </c>
      <c r="I760" t="s">
        <v>182</v>
      </c>
      <c r="J760" t="s">
        <v>80</v>
      </c>
      <c r="K760" t="s">
        <v>1691</v>
      </c>
      <c r="L760" t="s">
        <v>91</v>
      </c>
      <c r="M760" t="s">
        <v>54</v>
      </c>
      <c r="N760" t="s">
        <v>33</v>
      </c>
      <c r="O760" t="s">
        <v>34</v>
      </c>
      <c r="P760" t="s">
        <v>76</v>
      </c>
      <c r="Q760">
        <v>14</v>
      </c>
      <c r="R760">
        <v>329.27</v>
      </c>
      <c r="S760">
        <v>4609.78</v>
      </c>
      <c r="T760">
        <v>8.27</v>
      </c>
      <c r="U760">
        <v>25</v>
      </c>
      <c r="V760">
        <v>28</v>
      </c>
      <c r="W760">
        <v>303</v>
      </c>
      <c r="X760" t="s">
        <v>3742</v>
      </c>
      <c r="Y760" t="s">
        <v>188</v>
      </c>
      <c r="Z760">
        <v>578.01</v>
      </c>
    </row>
    <row r="761" spans="1:26" x14ac:dyDescent="0.25">
      <c r="A761">
        <v>100759</v>
      </c>
      <c r="B761" s="3">
        <v>45633</v>
      </c>
      <c r="C761" s="3">
        <v>45637</v>
      </c>
      <c r="D761" s="3">
        <v>45645</v>
      </c>
      <c r="E761" t="s">
        <v>2124</v>
      </c>
      <c r="F761" t="s">
        <v>32</v>
      </c>
      <c r="G761" t="s">
        <v>110</v>
      </c>
      <c r="H761" t="s">
        <v>2125</v>
      </c>
      <c r="I761" t="s">
        <v>368</v>
      </c>
      <c r="J761" t="s">
        <v>29</v>
      </c>
      <c r="K761" t="s">
        <v>1289</v>
      </c>
      <c r="L761" t="s">
        <v>118</v>
      </c>
      <c r="M761" t="s">
        <v>32</v>
      </c>
      <c r="N761" t="s">
        <v>151</v>
      </c>
      <c r="O761" t="s">
        <v>152</v>
      </c>
      <c r="P761" t="s">
        <v>35</v>
      </c>
      <c r="Q761">
        <v>456</v>
      </c>
      <c r="R761">
        <v>73.17</v>
      </c>
      <c r="S761">
        <v>33365.519999999997</v>
      </c>
      <c r="T761">
        <v>18.82</v>
      </c>
      <c r="U761">
        <v>8</v>
      </c>
      <c r="V761">
        <v>12</v>
      </c>
      <c r="W761">
        <v>894</v>
      </c>
      <c r="X761" t="s">
        <v>188</v>
      </c>
      <c r="Y761" t="s">
        <v>36</v>
      </c>
      <c r="Z761">
        <v>8893.5400000000009</v>
      </c>
    </row>
    <row r="762" spans="1:26" x14ac:dyDescent="0.25">
      <c r="A762">
        <v>100760</v>
      </c>
      <c r="B762" s="3">
        <v>45799</v>
      </c>
      <c r="C762" s="3">
        <v>45804</v>
      </c>
      <c r="D762" s="3">
        <v>45824</v>
      </c>
      <c r="E762" t="s">
        <v>2126</v>
      </c>
      <c r="F762" t="s">
        <v>32</v>
      </c>
      <c r="G762" t="s">
        <v>364</v>
      </c>
      <c r="H762" t="s">
        <v>2127</v>
      </c>
      <c r="I762" t="s">
        <v>246</v>
      </c>
      <c r="J762" t="s">
        <v>29</v>
      </c>
      <c r="K762" t="s">
        <v>2128</v>
      </c>
      <c r="L762" t="s">
        <v>122</v>
      </c>
      <c r="M762" t="s">
        <v>25</v>
      </c>
      <c r="N762" t="s">
        <v>55</v>
      </c>
      <c r="O762" t="s">
        <v>56</v>
      </c>
      <c r="P762" t="s">
        <v>76</v>
      </c>
      <c r="Q762">
        <v>390</v>
      </c>
      <c r="R762">
        <v>86.1</v>
      </c>
      <c r="S762">
        <v>33579</v>
      </c>
      <c r="T762">
        <v>15.13</v>
      </c>
      <c r="U762">
        <v>20</v>
      </c>
      <c r="V762">
        <v>25</v>
      </c>
      <c r="W762">
        <v>2087</v>
      </c>
      <c r="X762" t="s">
        <v>188</v>
      </c>
      <c r="Y762" t="s">
        <v>36</v>
      </c>
      <c r="Z762">
        <v>7156.98</v>
      </c>
    </row>
    <row r="763" spans="1:26" x14ac:dyDescent="0.25">
      <c r="A763">
        <v>100761</v>
      </c>
      <c r="B763" s="3">
        <v>45862</v>
      </c>
      <c r="C763" s="3">
        <v>45864</v>
      </c>
      <c r="D763" s="3">
        <v>45867</v>
      </c>
      <c r="E763" t="s">
        <v>2129</v>
      </c>
      <c r="F763" t="s">
        <v>65</v>
      </c>
      <c r="G763" t="s">
        <v>70</v>
      </c>
      <c r="H763" t="s">
        <v>2130</v>
      </c>
      <c r="I763" t="s">
        <v>41</v>
      </c>
      <c r="J763" t="s">
        <v>42</v>
      </c>
      <c r="K763" t="s">
        <v>2131</v>
      </c>
      <c r="L763" t="s">
        <v>91</v>
      </c>
      <c r="M763" t="s">
        <v>32</v>
      </c>
      <c r="N763" t="s">
        <v>66</v>
      </c>
      <c r="O763" t="s">
        <v>67</v>
      </c>
      <c r="P763" t="s">
        <v>68</v>
      </c>
      <c r="Q763">
        <v>343</v>
      </c>
      <c r="R763">
        <v>288.2</v>
      </c>
      <c r="S763">
        <v>98852.6</v>
      </c>
      <c r="T763">
        <v>50.74</v>
      </c>
      <c r="U763">
        <v>3</v>
      </c>
      <c r="V763">
        <v>5</v>
      </c>
      <c r="W763">
        <v>411</v>
      </c>
      <c r="X763" t="s">
        <v>3741</v>
      </c>
      <c r="Y763" t="s">
        <v>36</v>
      </c>
      <c r="Z763">
        <v>15419.59</v>
      </c>
    </row>
    <row r="764" spans="1:26" x14ac:dyDescent="0.25">
      <c r="A764">
        <v>100762</v>
      </c>
      <c r="B764" s="3">
        <v>45667</v>
      </c>
      <c r="C764" s="3">
        <v>45672</v>
      </c>
      <c r="D764" s="3">
        <v>45676</v>
      </c>
      <c r="E764" t="s">
        <v>2132</v>
      </c>
      <c r="F764" t="s">
        <v>38</v>
      </c>
      <c r="G764" t="s">
        <v>147</v>
      </c>
      <c r="H764" t="s">
        <v>2133</v>
      </c>
      <c r="I764" t="s">
        <v>144</v>
      </c>
      <c r="J764" t="s">
        <v>52</v>
      </c>
      <c r="K764" t="s">
        <v>2134</v>
      </c>
      <c r="L764" t="s">
        <v>122</v>
      </c>
      <c r="M764" t="s">
        <v>54</v>
      </c>
      <c r="N764" t="s">
        <v>55</v>
      </c>
      <c r="O764" t="s">
        <v>56</v>
      </c>
      <c r="P764" t="s">
        <v>68</v>
      </c>
      <c r="Q764">
        <v>427</v>
      </c>
      <c r="R764">
        <v>22.32</v>
      </c>
      <c r="S764">
        <v>9530.64</v>
      </c>
      <c r="T764">
        <v>56.18</v>
      </c>
      <c r="U764">
        <v>4</v>
      </c>
      <c r="V764">
        <v>9</v>
      </c>
      <c r="W764">
        <v>767</v>
      </c>
      <c r="X764" t="s">
        <v>3742</v>
      </c>
      <c r="Y764" t="s">
        <v>57</v>
      </c>
      <c r="Z764">
        <v>784.48</v>
      </c>
    </row>
    <row r="765" spans="1:26" x14ac:dyDescent="0.25">
      <c r="A765">
        <v>100763</v>
      </c>
      <c r="B765" s="3">
        <v>45964</v>
      </c>
      <c r="C765" s="3">
        <v>45968</v>
      </c>
      <c r="D765" s="3">
        <v>45972</v>
      </c>
      <c r="E765" t="s">
        <v>2135</v>
      </c>
      <c r="F765" t="s">
        <v>25</v>
      </c>
      <c r="G765" t="s">
        <v>172</v>
      </c>
      <c r="H765" t="s">
        <v>2136</v>
      </c>
      <c r="I765" t="s">
        <v>278</v>
      </c>
      <c r="J765" t="s">
        <v>29</v>
      </c>
      <c r="K765" t="s">
        <v>2137</v>
      </c>
      <c r="L765" t="s">
        <v>64</v>
      </c>
      <c r="M765" t="s">
        <v>54</v>
      </c>
      <c r="N765" t="s">
        <v>33</v>
      </c>
      <c r="O765" t="s">
        <v>34</v>
      </c>
      <c r="P765" t="s">
        <v>68</v>
      </c>
      <c r="Q765">
        <v>443</v>
      </c>
      <c r="R765">
        <v>76.739999999999995</v>
      </c>
      <c r="S765">
        <v>33995.82</v>
      </c>
      <c r="T765">
        <v>57.22</v>
      </c>
      <c r="U765">
        <v>4</v>
      </c>
      <c r="V765">
        <v>8</v>
      </c>
      <c r="W765">
        <v>2064</v>
      </c>
      <c r="X765" t="s">
        <v>188</v>
      </c>
      <c r="Y765" t="s">
        <v>36</v>
      </c>
      <c r="Z765">
        <v>4101.03</v>
      </c>
    </row>
    <row r="766" spans="1:26" x14ac:dyDescent="0.25">
      <c r="A766">
        <v>100764</v>
      </c>
      <c r="B766" s="3">
        <v>45853</v>
      </c>
      <c r="C766" s="3">
        <v>45854</v>
      </c>
      <c r="D766" s="3">
        <v>45864</v>
      </c>
      <c r="E766" t="s">
        <v>2138</v>
      </c>
      <c r="F766" t="s">
        <v>38</v>
      </c>
      <c r="G766" t="s">
        <v>217</v>
      </c>
      <c r="H766" t="s">
        <v>2139</v>
      </c>
      <c r="I766" t="s">
        <v>177</v>
      </c>
      <c r="J766" t="s">
        <v>29</v>
      </c>
      <c r="K766" t="s">
        <v>775</v>
      </c>
      <c r="L766" t="s">
        <v>122</v>
      </c>
      <c r="M766" t="s">
        <v>25</v>
      </c>
      <c r="N766" t="s">
        <v>107</v>
      </c>
      <c r="O766" t="s">
        <v>108</v>
      </c>
      <c r="P766" t="s">
        <v>123</v>
      </c>
      <c r="Q766">
        <v>226</v>
      </c>
      <c r="R766">
        <v>117.21</v>
      </c>
      <c r="S766">
        <v>26489.46</v>
      </c>
      <c r="T766">
        <v>16.18</v>
      </c>
      <c r="U766">
        <v>10</v>
      </c>
      <c r="V766">
        <v>11</v>
      </c>
      <c r="W766">
        <v>2977</v>
      </c>
      <c r="X766" t="s">
        <v>188</v>
      </c>
      <c r="Y766" t="s">
        <v>36</v>
      </c>
      <c r="Z766">
        <v>4000.04</v>
      </c>
    </row>
    <row r="767" spans="1:26" x14ac:dyDescent="0.25">
      <c r="A767">
        <v>100765</v>
      </c>
      <c r="B767" s="3">
        <v>45563</v>
      </c>
      <c r="C767" s="3">
        <v>45563</v>
      </c>
      <c r="D767" s="3">
        <v>45566</v>
      </c>
      <c r="E767" t="s">
        <v>2140</v>
      </c>
      <c r="F767" t="s">
        <v>38</v>
      </c>
      <c r="G767" t="s">
        <v>39</v>
      </c>
      <c r="H767" t="s">
        <v>2141</v>
      </c>
      <c r="I767" t="s">
        <v>85</v>
      </c>
      <c r="J767" t="s">
        <v>52</v>
      </c>
      <c r="K767" t="s">
        <v>1184</v>
      </c>
      <c r="L767" t="s">
        <v>31</v>
      </c>
      <c r="M767" t="s">
        <v>38</v>
      </c>
      <c r="N767" t="s">
        <v>151</v>
      </c>
      <c r="O767" t="s">
        <v>152</v>
      </c>
      <c r="P767" t="s">
        <v>68</v>
      </c>
      <c r="Q767">
        <v>482</v>
      </c>
      <c r="R767">
        <v>18.12</v>
      </c>
      <c r="S767">
        <v>8733.84</v>
      </c>
      <c r="T767">
        <v>44.26</v>
      </c>
      <c r="U767">
        <v>3</v>
      </c>
      <c r="V767">
        <v>3</v>
      </c>
      <c r="W767">
        <v>4099</v>
      </c>
      <c r="X767" t="s">
        <v>3741</v>
      </c>
      <c r="Y767" t="s">
        <v>36</v>
      </c>
      <c r="Z767">
        <v>1392.66</v>
      </c>
    </row>
    <row r="768" spans="1:26" x14ac:dyDescent="0.25">
      <c r="A768">
        <v>100766</v>
      </c>
      <c r="B768" s="3">
        <v>45585</v>
      </c>
      <c r="C768" s="3">
        <v>45586</v>
      </c>
      <c r="D768" s="3">
        <v>45597</v>
      </c>
      <c r="E768" t="s">
        <v>2142</v>
      </c>
      <c r="F768" t="s">
        <v>38</v>
      </c>
      <c r="G768" t="s">
        <v>147</v>
      </c>
      <c r="H768" t="s">
        <v>2143</v>
      </c>
      <c r="I768" t="s">
        <v>72</v>
      </c>
      <c r="J768" t="s">
        <v>42</v>
      </c>
      <c r="K768" t="s">
        <v>2144</v>
      </c>
      <c r="L768" t="s">
        <v>212</v>
      </c>
      <c r="M768" t="s">
        <v>65</v>
      </c>
      <c r="N768" t="s">
        <v>203</v>
      </c>
      <c r="O768" t="s">
        <v>204</v>
      </c>
      <c r="P768" t="s">
        <v>35</v>
      </c>
      <c r="Q768">
        <v>43</v>
      </c>
      <c r="R768">
        <v>354.76</v>
      </c>
      <c r="S768">
        <v>15254.68</v>
      </c>
      <c r="T768">
        <v>13.69</v>
      </c>
      <c r="U768">
        <v>11</v>
      </c>
      <c r="V768">
        <v>12</v>
      </c>
      <c r="W768">
        <v>1301</v>
      </c>
      <c r="X768" t="s">
        <v>188</v>
      </c>
      <c r="Y768" t="s">
        <v>36</v>
      </c>
      <c r="Z768">
        <v>3191.27</v>
      </c>
    </row>
    <row r="769" spans="1:26" x14ac:dyDescent="0.25">
      <c r="A769">
        <v>100767</v>
      </c>
      <c r="B769" s="3">
        <v>45730</v>
      </c>
      <c r="C769" s="3">
        <v>45732</v>
      </c>
      <c r="D769" s="3">
        <v>45737</v>
      </c>
      <c r="E769" t="s">
        <v>2145</v>
      </c>
      <c r="F769" t="s">
        <v>65</v>
      </c>
      <c r="G769" t="s">
        <v>142</v>
      </c>
      <c r="H769" t="s">
        <v>2146</v>
      </c>
      <c r="I769" t="s">
        <v>144</v>
      </c>
      <c r="J769" t="s">
        <v>52</v>
      </c>
      <c r="K769" t="s">
        <v>2147</v>
      </c>
      <c r="L769" t="s">
        <v>64</v>
      </c>
      <c r="M769" t="s">
        <v>32</v>
      </c>
      <c r="N769" t="s">
        <v>55</v>
      </c>
      <c r="O769" t="s">
        <v>56</v>
      </c>
      <c r="P769" t="s">
        <v>68</v>
      </c>
      <c r="Q769">
        <v>327</v>
      </c>
      <c r="R769">
        <v>75.58</v>
      </c>
      <c r="S769">
        <v>24714.66</v>
      </c>
      <c r="T769">
        <v>49.7</v>
      </c>
      <c r="U769">
        <v>5</v>
      </c>
      <c r="V769">
        <v>7</v>
      </c>
      <c r="W769">
        <v>3551</v>
      </c>
      <c r="X769" t="s">
        <v>3741</v>
      </c>
      <c r="Y769" t="s">
        <v>36</v>
      </c>
      <c r="Z769">
        <v>3046.11</v>
      </c>
    </row>
    <row r="770" spans="1:26" x14ac:dyDescent="0.25">
      <c r="A770">
        <v>100768</v>
      </c>
      <c r="B770" s="3">
        <v>45739</v>
      </c>
      <c r="C770" s="3">
        <v>45740</v>
      </c>
      <c r="D770" s="3">
        <v>45753</v>
      </c>
      <c r="E770" t="s">
        <v>2148</v>
      </c>
      <c r="F770" t="s">
        <v>38</v>
      </c>
      <c r="G770" t="s">
        <v>39</v>
      </c>
      <c r="H770" t="s">
        <v>2149</v>
      </c>
      <c r="I770" t="s">
        <v>230</v>
      </c>
      <c r="J770" t="s">
        <v>80</v>
      </c>
      <c r="K770" t="s">
        <v>345</v>
      </c>
      <c r="L770" t="s">
        <v>212</v>
      </c>
      <c r="M770" t="s">
        <v>32</v>
      </c>
      <c r="N770" t="s">
        <v>107</v>
      </c>
      <c r="O770" t="s">
        <v>108</v>
      </c>
      <c r="P770" t="s">
        <v>123</v>
      </c>
      <c r="Q770">
        <v>388</v>
      </c>
      <c r="R770">
        <v>179.67</v>
      </c>
      <c r="S770">
        <v>69711.960000000006</v>
      </c>
      <c r="T770">
        <v>20.12</v>
      </c>
      <c r="U770">
        <v>13</v>
      </c>
      <c r="V770">
        <v>14</v>
      </c>
      <c r="W770">
        <v>650</v>
      </c>
      <c r="X770" t="s">
        <v>188</v>
      </c>
      <c r="Y770" t="s">
        <v>36</v>
      </c>
      <c r="Z770">
        <v>16557.72</v>
      </c>
    </row>
    <row r="771" spans="1:26" x14ac:dyDescent="0.25">
      <c r="A771">
        <v>100769</v>
      </c>
      <c r="B771" s="3">
        <v>45634</v>
      </c>
      <c r="C771" s="3">
        <v>45634</v>
      </c>
      <c r="D771" s="3">
        <v>45647</v>
      </c>
      <c r="E771" t="s">
        <v>2150</v>
      </c>
      <c r="F771" t="s">
        <v>25</v>
      </c>
      <c r="G771" t="s">
        <v>172</v>
      </c>
      <c r="H771" t="s">
        <v>2151</v>
      </c>
      <c r="I771" t="s">
        <v>72</v>
      </c>
      <c r="J771" t="s">
        <v>42</v>
      </c>
      <c r="K771" t="s">
        <v>1851</v>
      </c>
      <c r="L771" t="s">
        <v>44</v>
      </c>
      <c r="M771" t="s">
        <v>32</v>
      </c>
      <c r="N771" t="s">
        <v>55</v>
      </c>
      <c r="O771" t="s">
        <v>56</v>
      </c>
      <c r="P771" t="s">
        <v>76</v>
      </c>
      <c r="Q771">
        <v>498</v>
      </c>
      <c r="R771">
        <v>330.6</v>
      </c>
      <c r="S771">
        <v>164638.79999999999</v>
      </c>
      <c r="T771">
        <v>17.100000000000001</v>
      </c>
      <c r="U771">
        <v>13</v>
      </c>
      <c r="V771">
        <v>13</v>
      </c>
      <c r="W771">
        <v>301</v>
      </c>
      <c r="X771" t="s">
        <v>188</v>
      </c>
      <c r="Y771" t="s">
        <v>36</v>
      </c>
      <c r="Z771">
        <v>20825.28</v>
      </c>
    </row>
    <row r="772" spans="1:26" x14ac:dyDescent="0.25">
      <c r="A772">
        <v>100770</v>
      </c>
      <c r="B772" s="3">
        <v>45508</v>
      </c>
      <c r="C772" s="3">
        <v>45509</v>
      </c>
      <c r="D772" s="3">
        <v>45523</v>
      </c>
      <c r="E772" t="s">
        <v>2152</v>
      </c>
      <c r="F772" t="s">
        <v>54</v>
      </c>
      <c r="G772" t="s">
        <v>158</v>
      </c>
      <c r="H772" t="s">
        <v>2153</v>
      </c>
      <c r="I772" t="s">
        <v>278</v>
      </c>
      <c r="J772" t="s">
        <v>29</v>
      </c>
      <c r="K772" t="s">
        <v>2154</v>
      </c>
      <c r="L772" t="s">
        <v>118</v>
      </c>
      <c r="M772" t="s">
        <v>32</v>
      </c>
      <c r="N772" t="s">
        <v>151</v>
      </c>
      <c r="O772" t="s">
        <v>152</v>
      </c>
      <c r="P772" t="s">
        <v>123</v>
      </c>
      <c r="Q772">
        <v>444</v>
      </c>
      <c r="R772">
        <v>113.69</v>
      </c>
      <c r="S772">
        <v>50478.36</v>
      </c>
      <c r="T772">
        <v>21.48</v>
      </c>
      <c r="U772">
        <v>14</v>
      </c>
      <c r="V772">
        <v>15</v>
      </c>
      <c r="W772">
        <v>967</v>
      </c>
      <c r="X772" t="s">
        <v>188</v>
      </c>
      <c r="Y772" t="s">
        <v>36</v>
      </c>
      <c r="Z772">
        <v>11511</v>
      </c>
    </row>
    <row r="773" spans="1:26" x14ac:dyDescent="0.25">
      <c r="A773">
        <v>100771</v>
      </c>
      <c r="B773" s="3">
        <v>45423</v>
      </c>
      <c r="C773" s="3">
        <v>45426</v>
      </c>
      <c r="D773" s="3">
        <v>45451</v>
      </c>
      <c r="E773" t="s">
        <v>2155</v>
      </c>
      <c r="F773" t="s">
        <v>65</v>
      </c>
      <c r="G773" t="s">
        <v>154</v>
      </c>
      <c r="H773" t="s">
        <v>2156</v>
      </c>
      <c r="I773" t="s">
        <v>139</v>
      </c>
      <c r="J773" t="s">
        <v>42</v>
      </c>
      <c r="K773" t="s">
        <v>1076</v>
      </c>
      <c r="L773" t="s">
        <v>98</v>
      </c>
      <c r="M773" t="s">
        <v>38</v>
      </c>
      <c r="N773" t="s">
        <v>102</v>
      </c>
      <c r="O773" t="s">
        <v>103</v>
      </c>
      <c r="P773" t="s">
        <v>76</v>
      </c>
      <c r="Q773">
        <v>67</v>
      </c>
      <c r="R773">
        <v>78.459999999999994</v>
      </c>
      <c r="S773">
        <v>5256.82</v>
      </c>
      <c r="T773">
        <v>9.24</v>
      </c>
      <c r="U773">
        <v>25</v>
      </c>
      <c r="V773">
        <v>28</v>
      </c>
      <c r="W773">
        <v>1664</v>
      </c>
      <c r="X773" t="s">
        <v>3742</v>
      </c>
      <c r="Y773" t="s">
        <v>188</v>
      </c>
      <c r="Z773">
        <v>918.89</v>
      </c>
    </row>
    <row r="774" spans="1:26" x14ac:dyDescent="0.25">
      <c r="A774">
        <v>100772</v>
      </c>
      <c r="B774" s="3">
        <v>45873</v>
      </c>
      <c r="C774" s="3">
        <v>45873</v>
      </c>
      <c r="D774" s="3">
        <v>45874</v>
      </c>
      <c r="E774" t="s">
        <v>2157</v>
      </c>
      <c r="F774" t="s">
        <v>25</v>
      </c>
      <c r="G774" t="s">
        <v>172</v>
      </c>
      <c r="H774" t="s">
        <v>2158</v>
      </c>
      <c r="I774" t="s">
        <v>278</v>
      </c>
      <c r="J774" t="s">
        <v>29</v>
      </c>
      <c r="K774" t="s">
        <v>1924</v>
      </c>
      <c r="L774" t="s">
        <v>91</v>
      </c>
      <c r="M774" t="s">
        <v>38</v>
      </c>
      <c r="N774" t="s">
        <v>55</v>
      </c>
      <c r="O774" t="s">
        <v>56</v>
      </c>
      <c r="P774" t="s">
        <v>68</v>
      </c>
      <c r="Q774">
        <v>154</v>
      </c>
      <c r="R774">
        <v>19.23</v>
      </c>
      <c r="S774">
        <v>2961.42</v>
      </c>
      <c r="T774">
        <v>38.49</v>
      </c>
      <c r="U774">
        <v>1</v>
      </c>
      <c r="V774">
        <v>1</v>
      </c>
      <c r="W774">
        <v>3190</v>
      </c>
      <c r="X774" t="s">
        <v>3741</v>
      </c>
      <c r="Y774" t="s">
        <v>36</v>
      </c>
      <c r="Z774">
        <v>311.02</v>
      </c>
    </row>
    <row r="775" spans="1:26" x14ac:dyDescent="0.25">
      <c r="A775">
        <v>100773</v>
      </c>
      <c r="B775" s="3">
        <v>45809</v>
      </c>
      <c r="C775" s="3">
        <v>45809</v>
      </c>
      <c r="D775" s="3">
        <v>45813</v>
      </c>
      <c r="E775" t="s">
        <v>2159</v>
      </c>
      <c r="F775" t="s">
        <v>32</v>
      </c>
      <c r="G775" t="s">
        <v>273</v>
      </c>
      <c r="H775" t="s">
        <v>2160</v>
      </c>
      <c r="I775" t="s">
        <v>278</v>
      </c>
      <c r="J775" t="s">
        <v>29</v>
      </c>
      <c r="K775" t="s">
        <v>559</v>
      </c>
      <c r="L775" t="s">
        <v>113</v>
      </c>
      <c r="M775" t="s">
        <v>54</v>
      </c>
      <c r="N775" t="s">
        <v>151</v>
      </c>
      <c r="O775" t="s">
        <v>152</v>
      </c>
      <c r="P775" t="s">
        <v>35</v>
      </c>
      <c r="Q775">
        <v>77</v>
      </c>
      <c r="R775">
        <v>43.61</v>
      </c>
      <c r="S775">
        <v>3357.97</v>
      </c>
      <c r="T775">
        <v>14.66</v>
      </c>
      <c r="U775">
        <v>4</v>
      </c>
      <c r="V775">
        <v>4</v>
      </c>
      <c r="W775">
        <v>3263</v>
      </c>
      <c r="X775" t="s">
        <v>3741</v>
      </c>
      <c r="Y775" t="s">
        <v>36</v>
      </c>
      <c r="Z775">
        <v>863.76</v>
      </c>
    </row>
    <row r="776" spans="1:26" x14ac:dyDescent="0.25">
      <c r="A776">
        <v>100774</v>
      </c>
      <c r="B776" s="3">
        <v>45403</v>
      </c>
      <c r="C776" s="3">
        <v>45407</v>
      </c>
      <c r="D776" s="3">
        <v>45423</v>
      </c>
      <c r="E776" t="s">
        <v>2161</v>
      </c>
      <c r="F776" t="s">
        <v>54</v>
      </c>
      <c r="G776" t="s">
        <v>193</v>
      </c>
      <c r="H776" t="s">
        <v>2162</v>
      </c>
      <c r="I776" t="s">
        <v>79</v>
      </c>
      <c r="J776" t="s">
        <v>80</v>
      </c>
      <c r="K776" t="s">
        <v>1385</v>
      </c>
      <c r="L776" t="s">
        <v>64</v>
      </c>
      <c r="M776" t="s">
        <v>54</v>
      </c>
      <c r="N776" t="s">
        <v>203</v>
      </c>
      <c r="O776" t="s">
        <v>204</v>
      </c>
      <c r="P776" t="s">
        <v>76</v>
      </c>
      <c r="Q776">
        <v>28</v>
      </c>
      <c r="R776">
        <v>298.32</v>
      </c>
      <c r="S776">
        <v>8352.9599999999991</v>
      </c>
      <c r="T776">
        <v>6.32</v>
      </c>
      <c r="U776">
        <v>16</v>
      </c>
      <c r="V776">
        <v>20</v>
      </c>
      <c r="W776">
        <v>1605</v>
      </c>
      <c r="X776" t="s">
        <v>188</v>
      </c>
      <c r="Y776" t="s">
        <v>36</v>
      </c>
      <c r="Z776">
        <v>1767.34</v>
      </c>
    </row>
    <row r="777" spans="1:26" x14ac:dyDescent="0.25">
      <c r="A777">
        <v>100775</v>
      </c>
      <c r="B777" s="3">
        <v>45687</v>
      </c>
      <c r="C777" s="3">
        <v>45688</v>
      </c>
      <c r="D777" s="3">
        <v>45690</v>
      </c>
      <c r="E777" t="s">
        <v>2163</v>
      </c>
      <c r="F777" t="s">
        <v>38</v>
      </c>
      <c r="G777" t="s">
        <v>83</v>
      </c>
      <c r="H777" t="s">
        <v>2164</v>
      </c>
      <c r="I777" t="s">
        <v>134</v>
      </c>
      <c r="J777" t="s">
        <v>52</v>
      </c>
      <c r="K777" t="s">
        <v>1840</v>
      </c>
      <c r="L777" t="s">
        <v>118</v>
      </c>
      <c r="M777" t="s">
        <v>38</v>
      </c>
      <c r="N777" t="s">
        <v>151</v>
      </c>
      <c r="O777" t="s">
        <v>152</v>
      </c>
      <c r="P777" t="s">
        <v>35</v>
      </c>
      <c r="Q777">
        <v>283</v>
      </c>
      <c r="R777">
        <v>29.06</v>
      </c>
      <c r="S777">
        <v>8223.98</v>
      </c>
      <c r="T777">
        <v>15.18</v>
      </c>
      <c r="U777">
        <v>2</v>
      </c>
      <c r="V777">
        <v>3</v>
      </c>
      <c r="W777">
        <v>371</v>
      </c>
      <c r="X777" t="s">
        <v>3741</v>
      </c>
      <c r="Y777" t="s">
        <v>36</v>
      </c>
      <c r="Z777">
        <v>1113.69</v>
      </c>
    </row>
    <row r="778" spans="1:26" x14ac:dyDescent="0.25">
      <c r="A778">
        <v>100776</v>
      </c>
      <c r="B778" s="3">
        <v>45317</v>
      </c>
      <c r="C778" s="3">
        <v>45318</v>
      </c>
      <c r="D778" s="3">
        <v>45335</v>
      </c>
      <c r="E778" t="s">
        <v>2165</v>
      </c>
      <c r="F778" t="s">
        <v>38</v>
      </c>
      <c r="G778" t="s">
        <v>83</v>
      </c>
      <c r="H778" t="s">
        <v>2166</v>
      </c>
      <c r="I778" t="s">
        <v>246</v>
      </c>
      <c r="J778" t="s">
        <v>29</v>
      </c>
      <c r="K778" t="s">
        <v>2167</v>
      </c>
      <c r="L778" t="s">
        <v>122</v>
      </c>
      <c r="M778" t="s">
        <v>65</v>
      </c>
      <c r="N778" t="s">
        <v>151</v>
      </c>
      <c r="O778" t="s">
        <v>152</v>
      </c>
      <c r="P778" t="s">
        <v>76</v>
      </c>
      <c r="Q778">
        <v>471</v>
      </c>
      <c r="R778">
        <v>119.69</v>
      </c>
      <c r="S778">
        <v>56373.99</v>
      </c>
      <c r="T778">
        <v>16.600000000000001</v>
      </c>
      <c r="U778">
        <v>17</v>
      </c>
      <c r="V778">
        <v>18</v>
      </c>
      <c r="W778">
        <v>2852</v>
      </c>
      <c r="X778" t="s">
        <v>188</v>
      </c>
      <c r="Y778" t="s">
        <v>36</v>
      </c>
      <c r="Z778">
        <v>8195.4599999999991</v>
      </c>
    </row>
    <row r="779" spans="1:26" x14ac:dyDescent="0.25">
      <c r="A779">
        <v>100777</v>
      </c>
      <c r="B779" s="3">
        <v>45890</v>
      </c>
      <c r="C779" s="3">
        <v>45892</v>
      </c>
      <c r="D779" s="3">
        <v>45897</v>
      </c>
      <c r="E779" t="s">
        <v>2168</v>
      </c>
      <c r="F779" t="s">
        <v>54</v>
      </c>
      <c r="G779" t="s">
        <v>225</v>
      </c>
      <c r="H779" t="s">
        <v>2169</v>
      </c>
      <c r="I779" t="s">
        <v>116</v>
      </c>
      <c r="J779" t="s">
        <v>62</v>
      </c>
      <c r="K779" t="s">
        <v>2170</v>
      </c>
      <c r="L779" t="s">
        <v>212</v>
      </c>
      <c r="M779" t="s">
        <v>54</v>
      </c>
      <c r="N779" t="s">
        <v>66</v>
      </c>
      <c r="O779" t="s">
        <v>67</v>
      </c>
      <c r="P779" t="s">
        <v>68</v>
      </c>
      <c r="Q779">
        <v>496</v>
      </c>
      <c r="R779">
        <v>42.11</v>
      </c>
      <c r="S779">
        <v>20886.560000000001</v>
      </c>
      <c r="T779">
        <v>44.93</v>
      </c>
      <c r="U779">
        <v>5</v>
      </c>
      <c r="V779">
        <v>7</v>
      </c>
      <c r="W779">
        <v>1464</v>
      </c>
      <c r="X779" t="s">
        <v>3741</v>
      </c>
      <c r="Y779" t="s">
        <v>36</v>
      </c>
      <c r="Z779">
        <v>3328.16</v>
      </c>
    </row>
    <row r="780" spans="1:26" x14ac:dyDescent="0.25">
      <c r="A780">
        <v>100778</v>
      </c>
      <c r="B780" s="3">
        <v>45704</v>
      </c>
      <c r="C780" s="3">
        <v>45708</v>
      </c>
      <c r="D780" s="3">
        <v>45715</v>
      </c>
      <c r="E780" t="s">
        <v>2171</v>
      </c>
      <c r="F780" t="s">
        <v>65</v>
      </c>
      <c r="G780" t="s">
        <v>142</v>
      </c>
      <c r="H780" t="s">
        <v>2172</v>
      </c>
      <c r="I780" t="s">
        <v>246</v>
      </c>
      <c r="J780" t="s">
        <v>29</v>
      </c>
      <c r="K780" t="s">
        <v>2173</v>
      </c>
      <c r="L780" t="s">
        <v>98</v>
      </c>
      <c r="M780" t="s">
        <v>54</v>
      </c>
      <c r="N780" t="s">
        <v>33</v>
      </c>
      <c r="O780" t="s">
        <v>34</v>
      </c>
      <c r="P780" t="s">
        <v>35</v>
      </c>
      <c r="Q780">
        <v>277</v>
      </c>
      <c r="R780">
        <v>93.96</v>
      </c>
      <c r="S780">
        <v>26026.92</v>
      </c>
      <c r="T780">
        <v>20.329999999999998</v>
      </c>
      <c r="U780">
        <v>7</v>
      </c>
      <c r="V780">
        <v>11</v>
      </c>
      <c r="W780">
        <v>1428</v>
      </c>
      <c r="X780" t="s">
        <v>188</v>
      </c>
      <c r="Y780" t="s">
        <v>36</v>
      </c>
      <c r="Z780">
        <v>6464.87</v>
      </c>
    </row>
    <row r="781" spans="1:26" x14ac:dyDescent="0.25">
      <c r="A781">
        <v>100779</v>
      </c>
      <c r="B781" s="3">
        <v>45518</v>
      </c>
      <c r="C781" s="3">
        <v>45518</v>
      </c>
      <c r="D781" s="3">
        <v>45531</v>
      </c>
      <c r="E781" t="s">
        <v>2174</v>
      </c>
      <c r="F781" t="s">
        <v>32</v>
      </c>
      <c r="G781" t="s">
        <v>95</v>
      </c>
      <c r="H781" t="s">
        <v>2175</v>
      </c>
      <c r="I781" t="s">
        <v>207</v>
      </c>
      <c r="J781" t="s">
        <v>80</v>
      </c>
      <c r="K781" t="s">
        <v>2176</v>
      </c>
      <c r="L781" t="s">
        <v>31</v>
      </c>
      <c r="M781" t="s">
        <v>38</v>
      </c>
      <c r="N781" t="s">
        <v>107</v>
      </c>
      <c r="O781" t="s">
        <v>108</v>
      </c>
      <c r="P781" t="s">
        <v>123</v>
      </c>
      <c r="Q781">
        <v>453</v>
      </c>
      <c r="R781">
        <v>110.02</v>
      </c>
      <c r="S781">
        <v>49839.06</v>
      </c>
      <c r="T781">
        <v>21.7</v>
      </c>
      <c r="U781">
        <v>13</v>
      </c>
      <c r="V781">
        <v>13</v>
      </c>
      <c r="W781">
        <v>689</v>
      </c>
      <c r="X781" t="s">
        <v>188</v>
      </c>
      <c r="Y781" t="s">
        <v>36</v>
      </c>
      <c r="Z781">
        <v>10754.79</v>
      </c>
    </row>
    <row r="782" spans="1:26" x14ac:dyDescent="0.25">
      <c r="A782">
        <v>100780</v>
      </c>
      <c r="B782" s="3">
        <v>45760</v>
      </c>
      <c r="C782" s="3">
        <v>45760</v>
      </c>
      <c r="D782" s="3">
        <v>45773</v>
      </c>
      <c r="E782" t="s">
        <v>2122</v>
      </c>
      <c r="F782" t="s">
        <v>25</v>
      </c>
      <c r="G782" t="s">
        <v>169</v>
      </c>
      <c r="H782" t="s">
        <v>2177</v>
      </c>
      <c r="I782" t="s">
        <v>126</v>
      </c>
      <c r="J782" t="s">
        <v>42</v>
      </c>
      <c r="K782" t="s">
        <v>1686</v>
      </c>
      <c r="L782" t="s">
        <v>44</v>
      </c>
      <c r="M782" t="s">
        <v>54</v>
      </c>
      <c r="N782" t="s">
        <v>102</v>
      </c>
      <c r="O782" t="s">
        <v>103</v>
      </c>
      <c r="P782" t="s">
        <v>76</v>
      </c>
      <c r="Q782">
        <v>461</v>
      </c>
      <c r="R782">
        <v>360.91</v>
      </c>
      <c r="S782">
        <v>166379.51</v>
      </c>
      <c r="T782">
        <v>16.420000000000002</v>
      </c>
      <c r="U782">
        <v>13</v>
      </c>
      <c r="V782">
        <v>13</v>
      </c>
      <c r="W782">
        <v>631</v>
      </c>
      <c r="X782" t="s">
        <v>188</v>
      </c>
      <c r="Y782" t="s">
        <v>36</v>
      </c>
      <c r="Z782">
        <v>29975.66</v>
      </c>
    </row>
    <row r="783" spans="1:26" x14ac:dyDescent="0.25">
      <c r="A783">
        <v>100781</v>
      </c>
      <c r="B783" s="3">
        <v>45805</v>
      </c>
      <c r="C783" s="3">
        <v>45805</v>
      </c>
      <c r="D783" s="3">
        <v>45807</v>
      </c>
      <c r="E783" t="s">
        <v>2178</v>
      </c>
      <c r="F783" t="s">
        <v>54</v>
      </c>
      <c r="G783" t="s">
        <v>225</v>
      </c>
      <c r="H783" t="s">
        <v>2179</v>
      </c>
      <c r="I783" t="s">
        <v>191</v>
      </c>
      <c r="J783" t="s">
        <v>62</v>
      </c>
      <c r="K783" t="s">
        <v>640</v>
      </c>
      <c r="L783" t="s">
        <v>64</v>
      </c>
      <c r="M783" t="s">
        <v>54</v>
      </c>
      <c r="N783" t="s">
        <v>102</v>
      </c>
      <c r="O783" t="s">
        <v>103</v>
      </c>
      <c r="P783" t="s">
        <v>35</v>
      </c>
      <c r="Q783">
        <v>443</v>
      </c>
      <c r="R783">
        <v>28.75</v>
      </c>
      <c r="S783">
        <v>12736.25</v>
      </c>
      <c r="T783">
        <v>18.54</v>
      </c>
      <c r="U783">
        <v>2</v>
      </c>
      <c r="V783">
        <v>2</v>
      </c>
      <c r="W783">
        <v>3310</v>
      </c>
      <c r="X783" t="s">
        <v>3741</v>
      </c>
      <c r="Y783" t="s">
        <v>36</v>
      </c>
      <c r="Z783">
        <v>1549.63</v>
      </c>
    </row>
    <row r="784" spans="1:26" x14ac:dyDescent="0.25">
      <c r="A784">
        <v>100782</v>
      </c>
      <c r="B784" s="3">
        <v>45939</v>
      </c>
      <c r="C784" s="3">
        <v>45942</v>
      </c>
      <c r="D784" s="3">
        <v>45944</v>
      </c>
      <c r="E784" t="s">
        <v>2180</v>
      </c>
      <c r="F784" t="s">
        <v>65</v>
      </c>
      <c r="G784" t="s">
        <v>70</v>
      </c>
      <c r="H784" t="s">
        <v>2181</v>
      </c>
      <c r="I784" t="s">
        <v>149</v>
      </c>
      <c r="J784" t="s">
        <v>42</v>
      </c>
      <c r="K784" t="s">
        <v>2182</v>
      </c>
      <c r="L784" t="s">
        <v>122</v>
      </c>
      <c r="M784" t="s">
        <v>32</v>
      </c>
      <c r="N784" t="s">
        <v>151</v>
      </c>
      <c r="O784" t="s">
        <v>152</v>
      </c>
      <c r="P784" t="s">
        <v>68</v>
      </c>
      <c r="Q784">
        <v>438</v>
      </c>
      <c r="R784">
        <v>434.75</v>
      </c>
      <c r="S784">
        <v>190420.5</v>
      </c>
      <c r="T784">
        <v>56.89</v>
      </c>
      <c r="U784">
        <v>2</v>
      </c>
      <c r="V784">
        <v>5</v>
      </c>
      <c r="W784">
        <v>1239</v>
      </c>
      <c r="X784" t="s">
        <v>3741</v>
      </c>
      <c r="Y784" t="s">
        <v>36</v>
      </c>
      <c r="Z784">
        <v>26261.14</v>
      </c>
    </row>
    <row r="785" spans="1:26" x14ac:dyDescent="0.25">
      <c r="A785">
        <v>100783</v>
      </c>
      <c r="B785" s="3">
        <v>45858</v>
      </c>
      <c r="C785" s="3">
        <v>45861</v>
      </c>
      <c r="D785" s="3">
        <v>45865</v>
      </c>
      <c r="E785" t="s">
        <v>2183</v>
      </c>
      <c r="F785" t="s">
        <v>54</v>
      </c>
      <c r="G785" t="s">
        <v>225</v>
      </c>
      <c r="H785" t="s">
        <v>2184</v>
      </c>
      <c r="I785" t="s">
        <v>41</v>
      </c>
      <c r="J785" t="s">
        <v>42</v>
      </c>
      <c r="K785" t="s">
        <v>2185</v>
      </c>
      <c r="L785" t="s">
        <v>98</v>
      </c>
      <c r="M785" t="s">
        <v>25</v>
      </c>
      <c r="N785" t="s">
        <v>55</v>
      </c>
      <c r="O785" t="s">
        <v>56</v>
      </c>
      <c r="P785" t="s">
        <v>123</v>
      </c>
      <c r="Q785">
        <v>183</v>
      </c>
      <c r="R785">
        <v>288.83</v>
      </c>
      <c r="S785">
        <v>52855.89</v>
      </c>
      <c r="T785">
        <v>15.14</v>
      </c>
      <c r="U785">
        <v>4</v>
      </c>
      <c r="V785">
        <v>7</v>
      </c>
      <c r="W785">
        <v>1756</v>
      </c>
      <c r="X785" t="s">
        <v>3741</v>
      </c>
      <c r="Y785" t="s">
        <v>36</v>
      </c>
      <c r="Z785">
        <v>7774.67</v>
      </c>
    </row>
    <row r="786" spans="1:26" x14ac:dyDescent="0.25">
      <c r="A786">
        <v>100784</v>
      </c>
      <c r="B786" s="3">
        <v>45351</v>
      </c>
      <c r="C786" s="3">
        <v>45352</v>
      </c>
      <c r="D786" s="3">
        <v>45364</v>
      </c>
      <c r="E786" t="s">
        <v>2186</v>
      </c>
      <c r="F786" t="s">
        <v>65</v>
      </c>
      <c r="G786" t="s">
        <v>154</v>
      </c>
      <c r="H786" t="s">
        <v>2187</v>
      </c>
      <c r="I786" t="s">
        <v>41</v>
      </c>
      <c r="J786" t="s">
        <v>42</v>
      </c>
      <c r="K786" t="s">
        <v>766</v>
      </c>
      <c r="L786" t="s">
        <v>118</v>
      </c>
      <c r="M786" t="s">
        <v>65</v>
      </c>
      <c r="N786" t="s">
        <v>151</v>
      </c>
      <c r="O786" t="s">
        <v>152</v>
      </c>
      <c r="P786" t="s">
        <v>35</v>
      </c>
      <c r="Q786">
        <v>238</v>
      </c>
      <c r="R786">
        <v>219.59</v>
      </c>
      <c r="S786">
        <v>52262.42</v>
      </c>
      <c r="T786">
        <v>14.24</v>
      </c>
      <c r="U786">
        <v>12</v>
      </c>
      <c r="V786">
        <v>13</v>
      </c>
      <c r="W786">
        <v>883</v>
      </c>
      <c r="X786" t="s">
        <v>3742</v>
      </c>
      <c r="Y786" t="s">
        <v>188</v>
      </c>
      <c r="Z786">
        <v>5522.94</v>
      </c>
    </row>
    <row r="787" spans="1:26" x14ac:dyDescent="0.25">
      <c r="A787">
        <v>100785</v>
      </c>
      <c r="B787" s="3">
        <v>45644</v>
      </c>
      <c r="C787" s="3">
        <v>45647</v>
      </c>
      <c r="D787" s="3">
        <v>45652</v>
      </c>
      <c r="E787" t="s">
        <v>2188</v>
      </c>
      <c r="F787" t="s">
        <v>32</v>
      </c>
      <c r="G787" t="s">
        <v>95</v>
      </c>
      <c r="H787" t="s">
        <v>2189</v>
      </c>
      <c r="I787" t="s">
        <v>191</v>
      </c>
      <c r="J787" t="s">
        <v>62</v>
      </c>
      <c r="K787" t="s">
        <v>316</v>
      </c>
      <c r="L787" t="s">
        <v>98</v>
      </c>
      <c r="M787" t="s">
        <v>65</v>
      </c>
      <c r="N787" t="s">
        <v>102</v>
      </c>
      <c r="O787" t="s">
        <v>103</v>
      </c>
      <c r="P787" t="s">
        <v>68</v>
      </c>
      <c r="Q787">
        <v>226</v>
      </c>
      <c r="R787">
        <v>34.68</v>
      </c>
      <c r="S787">
        <v>7837.68</v>
      </c>
      <c r="T787">
        <v>43.16</v>
      </c>
      <c r="U787">
        <v>5</v>
      </c>
      <c r="V787">
        <v>8</v>
      </c>
      <c r="W787">
        <v>1485</v>
      </c>
      <c r="X787" t="s">
        <v>188</v>
      </c>
      <c r="Y787" t="s">
        <v>36</v>
      </c>
      <c r="Z787">
        <v>1132.43</v>
      </c>
    </row>
    <row r="788" spans="1:26" x14ac:dyDescent="0.25">
      <c r="A788">
        <v>100786</v>
      </c>
      <c r="B788" s="3">
        <v>45991</v>
      </c>
      <c r="C788" s="3">
        <v>45993</v>
      </c>
      <c r="D788" s="3">
        <v>45998</v>
      </c>
      <c r="E788" t="s">
        <v>2190</v>
      </c>
      <c r="F788" t="s">
        <v>54</v>
      </c>
      <c r="G788" t="s">
        <v>158</v>
      </c>
      <c r="H788" t="s">
        <v>2191</v>
      </c>
      <c r="I788" t="s">
        <v>28</v>
      </c>
      <c r="J788" t="s">
        <v>29</v>
      </c>
      <c r="K788" t="s">
        <v>2192</v>
      </c>
      <c r="L788" t="s">
        <v>122</v>
      </c>
      <c r="M788" t="s">
        <v>65</v>
      </c>
      <c r="N788" t="s">
        <v>33</v>
      </c>
      <c r="O788" t="s">
        <v>34</v>
      </c>
      <c r="P788" t="s">
        <v>68</v>
      </c>
      <c r="Q788">
        <v>493</v>
      </c>
      <c r="R788">
        <v>39.799999999999997</v>
      </c>
      <c r="S788">
        <v>19621.400000000001</v>
      </c>
      <c r="T788">
        <v>60.46</v>
      </c>
      <c r="U788">
        <v>5</v>
      </c>
      <c r="V788">
        <v>7</v>
      </c>
      <c r="W788">
        <v>2074</v>
      </c>
      <c r="X788" t="s">
        <v>3741</v>
      </c>
      <c r="Y788" t="s">
        <v>36</v>
      </c>
      <c r="Z788">
        <v>4341.8900000000003</v>
      </c>
    </row>
    <row r="789" spans="1:26" x14ac:dyDescent="0.25">
      <c r="A789">
        <v>100787</v>
      </c>
      <c r="B789" s="3">
        <v>45712</v>
      </c>
      <c r="C789" s="3">
        <v>45713</v>
      </c>
      <c r="D789" s="3">
        <v>45717</v>
      </c>
      <c r="E789" t="s">
        <v>2193</v>
      </c>
      <c r="F789" t="s">
        <v>38</v>
      </c>
      <c r="G789" t="s">
        <v>147</v>
      </c>
      <c r="H789" t="s">
        <v>2194</v>
      </c>
      <c r="I789" t="s">
        <v>198</v>
      </c>
      <c r="J789" t="s">
        <v>52</v>
      </c>
      <c r="K789" t="s">
        <v>2195</v>
      </c>
      <c r="L789" t="s">
        <v>31</v>
      </c>
      <c r="M789" t="s">
        <v>38</v>
      </c>
      <c r="N789" t="s">
        <v>74</v>
      </c>
      <c r="O789" t="s">
        <v>75</v>
      </c>
      <c r="P789" t="s">
        <v>35</v>
      </c>
      <c r="Q789">
        <v>202</v>
      </c>
      <c r="R789">
        <v>23.7</v>
      </c>
      <c r="S789">
        <v>4787.3999999999996</v>
      </c>
      <c r="T789">
        <v>13.48</v>
      </c>
      <c r="U789">
        <v>4</v>
      </c>
      <c r="V789">
        <v>5</v>
      </c>
      <c r="W789">
        <v>1072</v>
      </c>
      <c r="X789" t="s">
        <v>3741</v>
      </c>
      <c r="Y789" t="s">
        <v>36</v>
      </c>
      <c r="Z789">
        <v>758.6</v>
      </c>
    </row>
    <row r="790" spans="1:26" x14ac:dyDescent="0.25">
      <c r="A790">
        <v>100788</v>
      </c>
      <c r="B790" s="3">
        <v>45918</v>
      </c>
      <c r="C790" s="3">
        <v>45922</v>
      </c>
      <c r="D790" s="3">
        <v>45927</v>
      </c>
      <c r="E790" t="s">
        <v>1849</v>
      </c>
      <c r="F790" t="s">
        <v>65</v>
      </c>
      <c r="G790" t="s">
        <v>70</v>
      </c>
      <c r="H790" t="s">
        <v>2196</v>
      </c>
      <c r="I790" t="s">
        <v>368</v>
      </c>
      <c r="J790" t="s">
        <v>29</v>
      </c>
      <c r="K790" t="s">
        <v>2197</v>
      </c>
      <c r="L790" t="s">
        <v>31</v>
      </c>
      <c r="M790" t="s">
        <v>32</v>
      </c>
      <c r="N790" t="s">
        <v>33</v>
      </c>
      <c r="O790" t="s">
        <v>34</v>
      </c>
      <c r="P790" t="s">
        <v>68</v>
      </c>
      <c r="Q790">
        <v>237</v>
      </c>
      <c r="R790">
        <v>71.010000000000005</v>
      </c>
      <c r="S790">
        <v>16829.37</v>
      </c>
      <c r="T790">
        <v>43.87</v>
      </c>
      <c r="U790">
        <v>5</v>
      </c>
      <c r="V790">
        <v>9</v>
      </c>
      <c r="W790">
        <v>671</v>
      </c>
      <c r="X790" t="s">
        <v>188</v>
      </c>
      <c r="Y790" t="s">
        <v>36</v>
      </c>
      <c r="Z790">
        <v>1953.06</v>
      </c>
    </row>
    <row r="791" spans="1:26" x14ac:dyDescent="0.25">
      <c r="A791">
        <v>100789</v>
      </c>
      <c r="B791" s="3">
        <v>45727</v>
      </c>
      <c r="C791" s="3">
        <v>45729</v>
      </c>
      <c r="D791" s="3">
        <v>45730</v>
      </c>
      <c r="E791" t="s">
        <v>1001</v>
      </c>
      <c r="F791" t="s">
        <v>38</v>
      </c>
      <c r="G791" t="s">
        <v>83</v>
      </c>
      <c r="H791" t="s">
        <v>2198</v>
      </c>
      <c r="I791" t="s">
        <v>51</v>
      </c>
      <c r="J791" t="s">
        <v>52</v>
      </c>
      <c r="K791" t="s">
        <v>2199</v>
      </c>
      <c r="L791" t="s">
        <v>187</v>
      </c>
      <c r="M791" t="s">
        <v>32</v>
      </c>
      <c r="N791" t="s">
        <v>151</v>
      </c>
      <c r="O791" t="s">
        <v>152</v>
      </c>
      <c r="P791" t="s">
        <v>68</v>
      </c>
      <c r="Q791">
        <v>407</v>
      </c>
      <c r="R791">
        <v>79.77</v>
      </c>
      <c r="S791">
        <v>32466.39</v>
      </c>
      <c r="T791">
        <v>54.89</v>
      </c>
      <c r="U791">
        <v>1</v>
      </c>
      <c r="V791">
        <v>3</v>
      </c>
      <c r="W791">
        <v>917</v>
      </c>
      <c r="X791" t="s">
        <v>3741</v>
      </c>
      <c r="Y791" t="s">
        <v>36</v>
      </c>
      <c r="Z791">
        <v>2538.88</v>
      </c>
    </row>
    <row r="792" spans="1:26" x14ac:dyDescent="0.25">
      <c r="A792">
        <v>100790</v>
      </c>
      <c r="B792" s="3">
        <v>45673</v>
      </c>
      <c r="C792" s="3">
        <v>45678</v>
      </c>
      <c r="D792" s="3">
        <v>45684</v>
      </c>
      <c r="E792" t="s">
        <v>2200</v>
      </c>
      <c r="F792" t="s">
        <v>25</v>
      </c>
      <c r="G792" t="s">
        <v>172</v>
      </c>
      <c r="H792" t="s">
        <v>2201</v>
      </c>
      <c r="I792" t="s">
        <v>416</v>
      </c>
      <c r="J792" t="s">
        <v>80</v>
      </c>
      <c r="K792" t="s">
        <v>2202</v>
      </c>
      <c r="L792" t="s">
        <v>44</v>
      </c>
      <c r="M792" t="s">
        <v>54</v>
      </c>
      <c r="N792" t="s">
        <v>203</v>
      </c>
      <c r="O792" t="s">
        <v>204</v>
      </c>
      <c r="P792" t="s">
        <v>123</v>
      </c>
      <c r="Q792">
        <v>498</v>
      </c>
      <c r="R792">
        <v>286.82</v>
      </c>
      <c r="S792">
        <v>142836.35999999999</v>
      </c>
      <c r="T792">
        <v>22.79</v>
      </c>
      <c r="U792">
        <v>6</v>
      </c>
      <c r="V792">
        <v>11</v>
      </c>
      <c r="W792">
        <v>404</v>
      </c>
      <c r="X792" t="s">
        <v>188</v>
      </c>
      <c r="Y792" t="s">
        <v>36</v>
      </c>
      <c r="Z792">
        <v>24388.57</v>
      </c>
    </row>
    <row r="793" spans="1:26" x14ac:dyDescent="0.25">
      <c r="A793">
        <v>100791</v>
      </c>
      <c r="B793" s="3">
        <v>45459</v>
      </c>
      <c r="C793" s="3">
        <v>45464</v>
      </c>
      <c r="D793" s="3">
        <v>45486</v>
      </c>
      <c r="E793" t="s">
        <v>2203</v>
      </c>
      <c r="F793" t="s">
        <v>38</v>
      </c>
      <c r="G793" t="s">
        <v>147</v>
      </c>
      <c r="H793" t="s">
        <v>2204</v>
      </c>
      <c r="I793" t="s">
        <v>79</v>
      </c>
      <c r="J793" t="s">
        <v>80</v>
      </c>
      <c r="K793" t="s">
        <v>613</v>
      </c>
      <c r="L793" t="s">
        <v>64</v>
      </c>
      <c r="M793" t="s">
        <v>65</v>
      </c>
      <c r="N793" t="s">
        <v>74</v>
      </c>
      <c r="O793" t="s">
        <v>75</v>
      </c>
      <c r="P793" t="s">
        <v>76</v>
      </c>
      <c r="Q793">
        <v>42</v>
      </c>
      <c r="R793">
        <v>130.33000000000001</v>
      </c>
      <c r="S793">
        <v>5473.86</v>
      </c>
      <c r="T793">
        <v>8.7799999999999994</v>
      </c>
      <c r="U793">
        <v>22</v>
      </c>
      <c r="V793">
        <v>27</v>
      </c>
      <c r="W793">
        <v>1052</v>
      </c>
      <c r="X793" t="s">
        <v>188</v>
      </c>
      <c r="Y793" t="s">
        <v>36</v>
      </c>
      <c r="Z793">
        <v>1427.83</v>
      </c>
    </row>
    <row r="794" spans="1:26" x14ac:dyDescent="0.25">
      <c r="A794">
        <v>100792</v>
      </c>
      <c r="B794" s="3">
        <v>45700</v>
      </c>
      <c r="C794" s="3">
        <v>45701</v>
      </c>
      <c r="D794" s="3">
        <v>45713</v>
      </c>
      <c r="E794" t="s">
        <v>644</v>
      </c>
      <c r="F794" t="s">
        <v>38</v>
      </c>
      <c r="G794" t="s">
        <v>217</v>
      </c>
      <c r="H794" t="s">
        <v>2205</v>
      </c>
      <c r="I794" t="s">
        <v>79</v>
      </c>
      <c r="J794" t="s">
        <v>80</v>
      </c>
      <c r="K794" t="s">
        <v>2206</v>
      </c>
      <c r="L794" t="s">
        <v>122</v>
      </c>
      <c r="M794" t="s">
        <v>25</v>
      </c>
      <c r="N794" t="s">
        <v>92</v>
      </c>
      <c r="O794" t="s">
        <v>93</v>
      </c>
      <c r="P794" t="s">
        <v>76</v>
      </c>
      <c r="Q794">
        <v>204</v>
      </c>
      <c r="R794">
        <v>267.69</v>
      </c>
      <c r="S794">
        <v>54608.76</v>
      </c>
      <c r="T794">
        <v>11.74</v>
      </c>
      <c r="U794">
        <v>12</v>
      </c>
      <c r="V794">
        <v>13</v>
      </c>
      <c r="W794">
        <v>1497</v>
      </c>
      <c r="X794" t="s">
        <v>3742</v>
      </c>
      <c r="Y794" t="s">
        <v>47</v>
      </c>
      <c r="Z794">
        <v>-175.59</v>
      </c>
    </row>
    <row r="795" spans="1:26" x14ac:dyDescent="0.25">
      <c r="A795">
        <v>100793</v>
      </c>
      <c r="B795" s="3">
        <v>45304</v>
      </c>
      <c r="C795" s="3">
        <v>45309</v>
      </c>
      <c r="D795" s="3">
        <v>45313</v>
      </c>
      <c r="E795" t="s">
        <v>2207</v>
      </c>
      <c r="F795" t="s">
        <v>54</v>
      </c>
      <c r="G795" t="s">
        <v>165</v>
      </c>
      <c r="H795" t="s">
        <v>2208</v>
      </c>
      <c r="I795" t="s">
        <v>182</v>
      </c>
      <c r="J795" t="s">
        <v>80</v>
      </c>
      <c r="K795" t="s">
        <v>2209</v>
      </c>
      <c r="L795" t="s">
        <v>31</v>
      </c>
      <c r="M795" t="s">
        <v>32</v>
      </c>
      <c r="N795" t="s">
        <v>66</v>
      </c>
      <c r="O795" t="s">
        <v>67</v>
      </c>
      <c r="P795" t="s">
        <v>35</v>
      </c>
      <c r="Q795">
        <v>286</v>
      </c>
      <c r="R795">
        <v>205.66</v>
      </c>
      <c r="S795">
        <v>58818.76</v>
      </c>
      <c r="T795">
        <v>20.58</v>
      </c>
      <c r="U795">
        <v>4</v>
      </c>
      <c r="V795">
        <v>9</v>
      </c>
      <c r="W795">
        <v>1901</v>
      </c>
      <c r="X795" t="s">
        <v>188</v>
      </c>
      <c r="Y795" t="s">
        <v>36</v>
      </c>
      <c r="Z795">
        <v>9900.08</v>
      </c>
    </row>
    <row r="796" spans="1:26" x14ac:dyDescent="0.25">
      <c r="A796">
        <v>100794</v>
      </c>
      <c r="B796" s="3">
        <v>45406</v>
      </c>
      <c r="C796" s="3">
        <v>45407</v>
      </c>
      <c r="D796" s="3">
        <v>45411</v>
      </c>
      <c r="E796" t="s">
        <v>2210</v>
      </c>
      <c r="F796" t="s">
        <v>65</v>
      </c>
      <c r="G796" t="s">
        <v>154</v>
      </c>
      <c r="H796" t="s">
        <v>2211</v>
      </c>
      <c r="I796" t="s">
        <v>238</v>
      </c>
      <c r="J796" t="s">
        <v>62</v>
      </c>
      <c r="K796" t="s">
        <v>2212</v>
      </c>
      <c r="L796" t="s">
        <v>64</v>
      </c>
      <c r="M796" t="s">
        <v>54</v>
      </c>
      <c r="N796" t="s">
        <v>92</v>
      </c>
      <c r="O796" t="s">
        <v>93</v>
      </c>
      <c r="P796" t="s">
        <v>68</v>
      </c>
      <c r="Q796">
        <v>224</v>
      </c>
      <c r="R796">
        <v>39.75</v>
      </c>
      <c r="S796">
        <v>8904</v>
      </c>
      <c r="T796">
        <v>43.03</v>
      </c>
      <c r="U796">
        <v>4</v>
      </c>
      <c r="V796">
        <v>5</v>
      </c>
      <c r="W796">
        <v>2606</v>
      </c>
      <c r="X796" t="s">
        <v>3741</v>
      </c>
      <c r="Y796" t="s">
        <v>36</v>
      </c>
      <c r="Z796">
        <v>1288.06</v>
      </c>
    </row>
    <row r="797" spans="1:26" x14ac:dyDescent="0.25">
      <c r="A797">
        <v>100795</v>
      </c>
      <c r="B797" s="3">
        <v>45979</v>
      </c>
      <c r="C797" s="3">
        <v>45983</v>
      </c>
      <c r="D797" s="3">
        <v>45989</v>
      </c>
      <c r="E797" t="s">
        <v>2213</v>
      </c>
      <c r="F797" t="s">
        <v>25</v>
      </c>
      <c r="G797" t="s">
        <v>233</v>
      </c>
      <c r="H797" t="s">
        <v>2214</v>
      </c>
      <c r="I797" t="s">
        <v>139</v>
      </c>
      <c r="J797" t="s">
        <v>42</v>
      </c>
      <c r="K797" t="s">
        <v>2215</v>
      </c>
      <c r="L797" t="s">
        <v>113</v>
      </c>
      <c r="M797" t="s">
        <v>54</v>
      </c>
      <c r="N797" t="s">
        <v>66</v>
      </c>
      <c r="O797" t="s">
        <v>67</v>
      </c>
      <c r="P797" t="s">
        <v>35</v>
      </c>
      <c r="Q797">
        <v>78</v>
      </c>
      <c r="R797">
        <v>355.78</v>
      </c>
      <c r="S797">
        <v>27750.84</v>
      </c>
      <c r="T797">
        <v>14.69</v>
      </c>
      <c r="U797">
        <v>6</v>
      </c>
      <c r="V797">
        <v>10</v>
      </c>
      <c r="W797">
        <v>65</v>
      </c>
      <c r="X797" t="s">
        <v>188</v>
      </c>
      <c r="Y797" t="s">
        <v>36</v>
      </c>
      <c r="Z797">
        <v>3511.42</v>
      </c>
    </row>
    <row r="798" spans="1:26" x14ac:dyDescent="0.25">
      <c r="A798">
        <v>100796</v>
      </c>
      <c r="B798" s="3">
        <v>45539</v>
      </c>
      <c r="C798" s="3">
        <v>45539</v>
      </c>
      <c r="D798" s="3">
        <v>45549</v>
      </c>
      <c r="E798" t="s">
        <v>2216</v>
      </c>
      <c r="F798" t="s">
        <v>65</v>
      </c>
      <c r="G798" t="s">
        <v>142</v>
      </c>
      <c r="H798" t="s">
        <v>2217</v>
      </c>
      <c r="I798" t="s">
        <v>85</v>
      </c>
      <c r="J798" t="s">
        <v>52</v>
      </c>
      <c r="K798" t="s">
        <v>386</v>
      </c>
      <c r="L798" t="s">
        <v>118</v>
      </c>
      <c r="M798" t="s">
        <v>25</v>
      </c>
      <c r="N798" t="s">
        <v>203</v>
      </c>
      <c r="O798" t="s">
        <v>204</v>
      </c>
      <c r="P798" t="s">
        <v>68</v>
      </c>
      <c r="Q798">
        <v>130</v>
      </c>
      <c r="R798">
        <v>84.65</v>
      </c>
      <c r="S798">
        <v>11004.5</v>
      </c>
      <c r="T798">
        <v>36.94</v>
      </c>
      <c r="U798">
        <v>10</v>
      </c>
      <c r="V798">
        <v>10</v>
      </c>
      <c r="W798">
        <v>2480</v>
      </c>
      <c r="X798" t="s">
        <v>188</v>
      </c>
      <c r="Y798" t="s">
        <v>36</v>
      </c>
      <c r="Z798">
        <v>1906.87</v>
      </c>
    </row>
    <row r="799" spans="1:26" x14ac:dyDescent="0.25">
      <c r="A799">
        <v>100797</v>
      </c>
      <c r="B799" s="3">
        <v>45405</v>
      </c>
      <c r="C799" s="3">
        <v>45409</v>
      </c>
      <c r="D799" s="3">
        <v>45412</v>
      </c>
      <c r="E799" t="s">
        <v>2218</v>
      </c>
      <c r="F799" t="s">
        <v>65</v>
      </c>
      <c r="G799" t="s">
        <v>142</v>
      </c>
      <c r="H799" t="s">
        <v>2219</v>
      </c>
      <c r="I799" t="s">
        <v>139</v>
      </c>
      <c r="J799" t="s">
        <v>42</v>
      </c>
      <c r="K799" t="s">
        <v>2220</v>
      </c>
      <c r="L799" t="s">
        <v>118</v>
      </c>
      <c r="M799" t="s">
        <v>54</v>
      </c>
      <c r="N799" t="s">
        <v>203</v>
      </c>
      <c r="O799" t="s">
        <v>204</v>
      </c>
      <c r="P799" t="s">
        <v>35</v>
      </c>
      <c r="Q799">
        <v>450</v>
      </c>
      <c r="R799">
        <v>305.67</v>
      </c>
      <c r="S799">
        <v>137551.5</v>
      </c>
      <c r="T799">
        <v>25.23</v>
      </c>
      <c r="U799">
        <v>3</v>
      </c>
      <c r="V799">
        <v>7</v>
      </c>
      <c r="W799">
        <v>375</v>
      </c>
      <c r="X799" t="s">
        <v>3741</v>
      </c>
      <c r="Y799" t="s">
        <v>36</v>
      </c>
      <c r="Z799">
        <v>12875.62</v>
      </c>
    </row>
    <row r="800" spans="1:26" x14ac:dyDescent="0.25">
      <c r="A800">
        <v>100798</v>
      </c>
      <c r="B800" s="3">
        <v>45450</v>
      </c>
      <c r="C800" s="3">
        <v>45454</v>
      </c>
      <c r="D800" s="3">
        <v>45468</v>
      </c>
      <c r="E800" t="s">
        <v>2221</v>
      </c>
      <c r="F800" t="s">
        <v>32</v>
      </c>
      <c r="G800" t="s">
        <v>110</v>
      </c>
      <c r="H800" t="s">
        <v>2222</v>
      </c>
      <c r="I800" t="s">
        <v>116</v>
      </c>
      <c r="J800" t="s">
        <v>62</v>
      </c>
      <c r="K800" t="s">
        <v>1867</v>
      </c>
      <c r="L800" t="s">
        <v>122</v>
      </c>
      <c r="M800" t="s">
        <v>54</v>
      </c>
      <c r="N800" t="s">
        <v>203</v>
      </c>
      <c r="O800" t="s">
        <v>204</v>
      </c>
      <c r="P800" t="s">
        <v>123</v>
      </c>
      <c r="Q800">
        <v>105</v>
      </c>
      <c r="R800">
        <v>39.450000000000003</v>
      </c>
      <c r="S800">
        <v>4142.25</v>
      </c>
      <c r="T800">
        <v>13.24</v>
      </c>
      <c r="U800">
        <v>14</v>
      </c>
      <c r="V800">
        <v>18</v>
      </c>
      <c r="W800">
        <v>2669</v>
      </c>
      <c r="X800" t="s">
        <v>188</v>
      </c>
      <c r="Y800" t="s">
        <v>36</v>
      </c>
      <c r="Z800">
        <v>383.08</v>
      </c>
    </row>
    <row r="801" spans="1:26" x14ac:dyDescent="0.25">
      <c r="A801">
        <v>100799</v>
      </c>
      <c r="B801" s="3">
        <v>45585</v>
      </c>
      <c r="C801" s="3">
        <v>45587</v>
      </c>
      <c r="D801" s="3">
        <v>45589</v>
      </c>
      <c r="E801" t="s">
        <v>2223</v>
      </c>
      <c r="F801" t="s">
        <v>65</v>
      </c>
      <c r="G801" t="s">
        <v>70</v>
      </c>
      <c r="H801" t="s">
        <v>1599</v>
      </c>
      <c r="I801" t="s">
        <v>51</v>
      </c>
      <c r="J801" t="s">
        <v>52</v>
      </c>
      <c r="K801" t="s">
        <v>2224</v>
      </c>
      <c r="L801" t="s">
        <v>91</v>
      </c>
      <c r="M801" t="s">
        <v>38</v>
      </c>
      <c r="N801" t="s">
        <v>74</v>
      </c>
      <c r="O801" t="s">
        <v>75</v>
      </c>
      <c r="P801" t="s">
        <v>35</v>
      </c>
      <c r="Q801">
        <v>346</v>
      </c>
      <c r="R801">
        <v>85.7</v>
      </c>
      <c r="S801">
        <v>29652.2</v>
      </c>
      <c r="T801">
        <v>22.28</v>
      </c>
      <c r="U801">
        <v>2</v>
      </c>
      <c r="V801">
        <v>4</v>
      </c>
      <c r="W801">
        <v>738</v>
      </c>
      <c r="X801" t="s">
        <v>3741</v>
      </c>
      <c r="Y801" t="s">
        <v>36</v>
      </c>
      <c r="Z801">
        <v>3976.42</v>
      </c>
    </row>
    <row r="802" spans="1:26" x14ac:dyDescent="0.25">
      <c r="A802">
        <v>100800</v>
      </c>
      <c r="B802" s="3">
        <v>45510</v>
      </c>
      <c r="C802" s="3">
        <v>45515</v>
      </c>
      <c r="D802" s="3">
        <v>45525</v>
      </c>
      <c r="E802" t="s">
        <v>2225</v>
      </c>
      <c r="F802" t="s">
        <v>32</v>
      </c>
      <c r="G802" t="s">
        <v>255</v>
      </c>
      <c r="H802" t="s">
        <v>2226</v>
      </c>
      <c r="I802" t="s">
        <v>149</v>
      </c>
      <c r="J802" t="s">
        <v>42</v>
      </c>
      <c r="K802" t="s">
        <v>2227</v>
      </c>
      <c r="L802" t="s">
        <v>113</v>
      </c>
      <c r="M802" t="s">
        <v>25</v>
      </c>
      <c r="N802" t="s">
        <v>55</v>
      </c>
      <c r="O802" t="s">
        <v>56</v>
      </c>
      <c r="P802" t="s">
        <v>76</v>
      </c>
      <c r="Q802">
        <v>151</v>
      </c>
      <c r="R802">
        <v>412.8</v>
      </c>
      <c r="S802">
        <v>62332.800000000003</v>
      </c>
      <c r="T802">
        <v>10.77</v>
      </c>
      <c r="U802">
        <v>10</v>
      </c>
      <c r="V802">
        <v>15</v>
      </c>
      <c r="W802">
        <v>256</v>
      </c>
      <c r="X802" t="s">
        <v>188</v>
      </c>
      <c r="Y802" t="s">
        <v>36</v>
      </c>
      <c r="Z802">
        <v>8826.0400000000009</v>
      </c>
    </row>
    <row r="803" spans="1:26" x14ac:dyDescent="0.25">
      <c r="A803">
        <v>100801</v>
      </c>
      <c r="B803" s="3">
        <v>45476</v>
      </c>
      <c r="C803" s="3">
        <v>45480</v>
      </c>
      <c r="D803" s="3">
        <v>45488</v>
      </c>
      <c r="E803" t="s">
        <v>2228</v>
      </c>
      <c r="F803" t="s">
        <v>65</v>
      </c>
      <c r="G803" t="s">
        <v>142</v>
      </c>
      <c r="H803" t="s">
        <v>2229</v>
      </c>
      <c r="I803" t="s">
        <v>72</v>
      </c>
      <c r="J803" t="s">
        <v>42</v>
      </c>
      <c r="K803" t="s">
        <v>587</v>
      </c>
      <c r="L803" t="s">
        <v>122</v>
      </c>
      <c r="M803" t="s">
        <v>65</v>
      </c>
      <c r="N803" t="s">
        <v>203</v>
      </c>
      <c r="O803" t="s">
        <v>204</v>
      </c>
      <c r="P803" t="s">
        <v>123</v>
      </c>
      <c r="Q803">
        <v>395</v>
      </c>
      <c r="R803">
        <v>331.16</v>
      </c>
      <c r="S803">
        <v>130808.2</v>
      </c>
      <c r="T803">
        <v>15.03</v>
      </c>
      <c r="U803">
        <v>8</v>
      </c>
      <c r="V803">
        <v>12</v>
      </c>
      <c r="W803">
        <v>476</v>
      </c>
      <c r="X803" t="s">
        <v>188</v>
      </c>
      <c r="Y803" t="s">
        <v>36</v>
      </c>
      <c r="Z803">
        <v>25895.439999999999</v>
      </c>
    </row>
    <row r="804" spans="1:26" x14ac:dyDescent="0.25">
      <c r="A804">
        <v>100802</v>
      </c>
      <c r="B804" s="3">
        <v>45509</v>
      </c>
      <c r="C804" s="3">
        <v>45511</v>
      </c>
      <c r="D804" s="3">
        <v>45516</v>
      </c>
      <c r="E804" t="s">
        <v>2230</v>
      </c>
      <c r="F804" t="s">
        <v>38</v>
      </c>
      <c r="G804" t="s">
        <v>217</v>
      </c>
      <c r="H804" t="s">
        <v>2231</v>
      </c>
      <c r="I804" t="s">
        <v>51</v>
      </c>
      <c r="J804" t="s">
        <v>52</v>
      </c>
      <c r="K804" t="s">
        <v>458</v>
      </c>
      <c r="L804" t="s">
        <v>64</v>
      </c>
      <c r="M804" t="s">
        <v>54</v>
      </c>
      <c r="N804" t="s">
        <v>151</v>
      </c>
      <c r="O804" t="s">
        <v>152</v>
      </c>
      <c r="P804" t="s">
        <v>35</v>
      </c>
      <c r="Q804">
        <v>153</v>
      </c>
      <c r="R804">
        <v>41.34</v>
      </c>
      <c r="S804">
        <v>6325.02</v>
      </c>
      <c r="T804">
        <v>16.809999999999999</v>
      </c>
      <c r="U804">
        <v>5</v>
      </c>
      <c r="V804">
        <v>7</v>
      </c>
      <c r="W804">
        <v>1682</v>
      </c>
      <c r="X804" t="s">
        <v>3741</v>
      </c>
      <c r="Y804" t="s">
        <v>36</v>
      </c>
      <c r="Z804">
        <v>591.75</v>
      </c>
    </row>
    <row r="805" spans="1:26" x14ac:dyDescent="0.25">
      <c r="A805">
        <v>100803</v>
      </c>
      <c r="B805" s="3">
        <v>45733</v>
      </c>
      <c r="C805" s="3">
        <v>45733</v>
      </c>
      <c r="D805" s="3">
        <v>45740</v>
      </c>
      <c r="E805" t="s">
        <v>2232</v>
      </c>
      <c r="F805" t="s">
        <v>32</v>
      </c>
      <c r="G805" t="s">
        <v>180</v>
      </c>
      <c r="H805" t="s">
        <v>2233</v>
      </c>
      <c r="I805" t="s">
        <v>116</v>
      </c>
      <c r="J805" t="s">
        <v>62</v>
      </c>
      <c r="K805" t="s">
        <v>452</v>
      </c>
      <c r="L805" t="s">
        <v>187</v>
      </c>
      <c r="M805" t="s">
        <v>32</v>
      </c>
      <c r="N805" t="s">
        <v>66</v>
      </c>
      <c r="O805" t="s">
        <v>67</v>
      </c>
      <c r="P805" t="s">
        <v>35</v>
      </c>
      <c r="Q805">
        <v>34</v>
      </c>
      <c r="R805">
        <v>23.87</v>
      </c>
      <c r="S805">
        <v>811.58</v>
      </c>
      <c r="T805">
        <v>9.9499999999999993</v>
      </c>
      <c r="U805">
        <v>7</v>
      </c>
      <c r="V805">
        <v>7</v>
      </c>
      <c r="W805">
        <v>1859</v>
      </c>
      <c r="X805" t="s">
        <v>3741</v>
      </c>
      <c r="Y805" t="s">
        <v>36</v>
      </c>
      <c r="Z805">
        <v>86.69</v>
      </c>
    </row>
    <row r="806" spans="1:26" x14ac:dyDescent="0.25">
      <c r="A806">
        <v>100804</v>
      </c>
      <c r="B806" s="3">
        <v>45397</v>
      </c>
      <c r="C806" s="3">
        <v>45400</v>
      </c>
      <c r="D806" s="3">
        <v>45410</v>
      </c>
      <c r="E806" t="s">
        <v>2234</v>
      </c>
      <c r="F806" t="s">
        <v>38</v>
      </c>
      <c r="G806" t="s">
        <v>83</v>
      </c>
      <c r="H806" t="s">
        <v>2235</v>
      </c>
      <c r="I806" t="s">
        <v>79</v>
      </c>
      <c r="J806" t="s">
        <v>80</v>
      </c>
      <c r="K806" t="s">
        <v>1486</v>
      </c>
      <c r="L806" t="s">
        <v>212</v>
      </c>
      <c r="M806" t="s">
        <v>54</v>
      </c>
      <c r="N806" t="s">
        <v>45</v>
      </c>
      <c r="O806" t="s">
        <v>46</v>
      </c>
      <c r="P806" t="s">
        <v>123</v>
      </c>
      <c r="Q806">
        <v>17</v>
      </c>
      <c r="R806">
        <v>192.84</v>
      </c>
      <c r="S806">
        <v>3278.28</v>
      </c>
      <c r="T806">
        <v>11.11</v>
      </c>
      <c r="U806">
        <v>10</v>
      </c>
      <c r="V806">
        <v>13</v>
      </c>
      <c r="W806">
        <v>1183</v>
      </c>
      <c r="X806" t="s">
        <v>3742</v>
      </c>
      <c r="Y806" t="s">
        <v>57</v>
      </c>
      <c r="Z806">
        <v>397.74</v>
      </c>
    </row>
    <row r="807" spans="1:26" x14ac:dyDescent="0.25">
      <c r="A807">
        <v>100805</v>
      </c>
      <c r="B807" s="3">
        <v>45940</v>
      </c>
      <c r="C807" s="3">
        <v>45940</v>
      </c>
      <c r="D807" s="3">
        <v>45956</v>
      </c>
      <c r="E807" t="s">
        <v>1213</v>
      </c>
      <c r="F807" t="s">
        <v>65</v>
      </c>
      <c r="G807" t="s">
        <v>154</v>
      </c>
      <c r="H807" t="s">
        <v>2236</v>
      </c>
      <c r="I807" t="s">
        <v>134</v>
      </c>
      <c r="J807" t="s">
        <v>52</v>
      </c>
      <c r="K807" t="s">
        <v>1679</v>
      </c>
      <c r="L807" t="s">
        <v>91</v>
      </c>
      <c r="M807" t="s">
        <v>65</v>
      </c>
      <c r="N807" t="s">
        <v>33</v>
      </c>
      <c r="O807" t="s">
        <v>34</v>
      </c>
      <c r="P807" t="s">
        <v>76</v>
      </c>
      <c r="Q807">
        <v>76</v>
      </c>
      <c r="R807">
        <v>62.51</v>
      </c>
      <c r="S807">
        <v>4750.76</v>
      </c>
      <c r="T807">
        <v>6.97</v>
      </c>
      <c r="U807">
        <v>16</v>
      </c>
      <c r="V807">
        <v>16</v>
      </c>
      <c r="W807">
        <v>1977</v>
      </c>
      <c r="X807" t="s">
        <v>188</v>
      </c>
      <c r="Y807" t="s">
        <v>36</v>
      </c>
      <c r="Z807">
        <v>942.33</v>
      </c>
    </row>
    <row r="808" spans="1:26" x14ac:dyDescent="0.25">
      <c r="A808">
        <v>100806</v>
      </c>
      <c r="B808" s="3">
        <v>45894</v>
      </c>
      <c r="C808" s="3">
        <v>45899</v>
      </c>
      <c r="D808" s="3">
        <v>45911</v>
      </c>
      <c r="E808" t="s">
        <v>2200</v>
      </c>
      <c r="F808" t="s">
        <v>38</v>
      </c>
      <c r="G808" t="s">
        <v>147</v>
      </c>
      <c r="H808" t="s">
        <v>2237</v>
      </c>
      <c r="I808" t="s">
        <v>230</v>
      </c>
      <c r="J808" t="s">
        <v>80</v>
      </c>
      <c r="K808" t="s">
        <v>1676</v>
      </c>
      <c r="L808" t="s">
        <v>98</v>
      </c>
      <c r="M808" t="s">
        <v>25</v>
      </c>
      <c r="N808" t="s">
        <v>74</v>
      </c>
      <c r="O808" t="s">
        <v>75</v>
      </c>
      <c r="P808" t="s">
        <v>35</v>
      </c>
      <c r="Q808">
        <v>160</v>
      </c>
      <c r="R808">
        <v>47</v>
      </c>
      <c r="S808">
        <v>7520</v>
      </c>
      <c r="T808">
        <v>17.010000000000002</v>
      </c>
      <c r="U808">
        <v>12</v>
      </c>
      <c r="V808">
        <v>17</v>
      </c>
      <c r="W808">
        <v>820</v>
      </c>
      <c r="X808" t="s">
        <v>3742</v>
      </c>
      <c r="Y808" t="s">
        <v>188</v>
      </c>
      <c r="Z808">
        <v>1247.46</v>
      </c>
    </row>
    <row r="809" spans="1:26" x14ac:dyDescent="0.25">
      <c r="A809">
        <v>100807</v>
      </c>
      <c r="B809" s="3">
        <v>45761</v>
      </c>
      <c r="C809" s="3">
        <v>45766</v>
      </c>
      <c r="D809" s="3">
        <v>45768</v>
      </c>
      <c r="E809" t="s">
        <v>2238</v>
      </c>
      <c r="F809" t="s">
        <v>25</v>
      </c>
      <c r="G809" t="s">
        <v>26</v>
      </c>
      <c r="H809" t="s">
        <v>2239</v>
      </c>
      <c r="I809" t="s">
        <v>134</v>
      </c>
      <c r="J809" t="s">
        <v>52</v>
      </c>
      <c r="K809" t="s">
        <v>43</v>
      </c>
      <c r="L809" t="s">
        <v>44</v>
      </c>
      <c r="M809" t="s">
        <v>65</v>
      </c>
      <c r="N809" t="s">
        <v>151</v>
      </c>
      <c r="O809" t="s">
        <v>152</v>
      </c>
      <c r="P809" t="s">
        <v>35</v>
      </c>
      <c r="Q809">
        <v>354</v>
      </c>
      <c r="R809">
        <v>65.540000000000006</v>
      </c>
      <c r="S809">
        <v>23201.16</v>
      </c>
      <c r="T809">
        <v>22.51</v>
      </c>
      <c r="U809">
        <v>2</v>
      </c>
      <c r="V809">
        <v>7</v>
      </c>
      <c r="W809">
        <v>4152</v>
      </c>
      <c r="X809" t="s">
        <v>3741</v>
      </c>
      <c r="Y809" t="s">
        <v>36</v>
      </c>
      <c r="Z809">
        <v>4305.7700000000004</v>
      </c>
    </row>
    <row r="810" spans="1:26" x14ac:dyDescent="0.25">
      <c r="A810">
        <v>100808</v>
      </c>
      <c r="B810" s="3">
        <v>45307</v>
      </c>
      <c r="C810" s="3">
        <v>45312</v>
      </c>
      <c r="D810" s="3">
        <v>45327</v>
      </c>
      <c r="E810" t="s">
        <v>2240</v>
      </c>
      <c r="F810" t="s">
        <v>54</v>
      </c>
      <c r="G810" t="s">
        <v>225</v>
      </c>
      <c r="H810" t="s">
        <v>2241</v>
      </c>
      <c r="I810" t="s">
        <v>207</v>
      </c>
      <c r="J810" t="s">
        <v>80</v>
      </c>
      <c r="K810" t="s">
        <v>2242</v>
      </c>
      <c r="L810" t="s">
        <v>91</v>
      </c>
      <c r="M810" t="s">
        <v>54</v>
      </c>
      <c r="N810" t="s">
        <v>203</v>
      </c>
      <c r="O810" t="s">
        <v>204</v>
      </c>
      <c r="P810" t="s">
        <v>76</v>
      </c>
      <c r="Q810">
        <v>464</v>
      </c>
      <c r="R810">
        <v>230.99</v>
      </c>
      <c r="S810">
        <v>107179.36</v>
      </c>
      <c r="T810">
        <v>12.2</v>
      </c>
      <c r="U810">
        <v>15</v>
      </c>
      <c r="V810">
        <v>20</v>
      </c>
      <c r="W810">
        <v>1617</v>
      </c>
      <c r="X810" t="s">
        <v>188</v>
      </c>
      <c r="Y810" t="s">
        <v>36</v>
      </c>
      <c r="Z810">
        <v>26177.05</v>
      </c>
    </row>
    <row r="811" spans="1:26" x14ac:dyDescent="0.25">
      <c r="A811">
        <v>100809</v>
      </c>
      <c r="B811" s="3">
        <v>45959</v>
      </c>
      <c r="C811" s="3">
        <v>45960</v>
      </c>
      <c r="D811" s="3">
        <v>45967</v>
      </c>
      <c r="E811" t="s">
        <v>2243</v>
      </c>
      <c r="F811" t="s">
        <v>38</v>
      </c>
      <c r="G811" t="s">
        <v>49</v>
      </c>
      <c r="H811" t="s">
        <v>2244</v>
      </c>
      <c r="I811" t="s">
        <v>61</v>
      </c>
      <c r="J811" t="s">
        <v>62</v>
      </c>
      <c r="K811" t="s">
        <v>2245</v>
      </c>
      <c r="L811" t="s">
        <v>122</v>
      </c>
      <c r="M811" t="s">
        <v>32</v>
      </c>
      <c r="N811" t="s">
        <v>102</v>
      </c>
      <c r="O811" t="s">
        <v>103</v>
      </c>
      <c r="P811" t="s">
        <v>123</v>
      </c>
      <c r="Q811">
        <v>66</v>
      </c>
      <c r="R811">
        <v>34.770000000000003</v>
      </c>
      <c r="S811">
        <v>2294.8200000000002</v>
      </c>
      <c r="T811">
        <v>12.3</v>
      </c>
      <c r="U811">
        <v>7</v>
      </c>
      <c r="V811">
        <v>8</v>
      </c>
      <c r="W811">
        <v>2715</v>
      </c>
      <c r="X811" t="s">
        <v>188</v>
      </c>
      <c r="Y811" t="s">
        <v>36</v>
      </c>
      <c r="Z811">
        <v>82.71</v>
      </c>
    </row>
    <row r="812" spans="1:26" x14ac:dyDescent="0.25">
      <c r="A812">
        <v>100810</v>
      </c>
      <c r="B812" s="3">
        <v>45297</v>
      </c>
      <c r="C812" s="3">
        <v>45298</v>
      </c>
      <c r="D812" s="3">
        <v>45308</v>
      </c>
      <c r="E812" t="s">
        <v>2246</v>
      </c>
      <c r="F812" t="s">
        <v>65</v>
      </c>
      <c r="G812" t="s">
        <v>154</v>
      </c>
      <c r="H812" t="s">
        <v>2247</v>
      </c>
      <c r="I812" t="s">
        <v>238</v>
      </c>
      <c r="J812" t="s">
        <v>62</v>
      </c>
      <c r="K812" t="s">
        <v>1076</v>
      </c>
      <c r="L812" t="s">
        <v>122</v>
      </c>
      <c r="M812" t="s">
        <v>32</v>
      </c>
      <c r="N812" t="s">
        <v>151</v>
      </c>
      <c r="O812" t="s">
        <v>152</v>
      </c>
      <c r="P812" t="s">
        <v>123</v>
      </c>
      <c r="Q812">
        <v>386</v>
      </c>
      <c r="R812">
        <v>25.18</v>
      </c>
      <c r="S812">
        <v>9719.48</v>
      </c>
      <c r="T812">
        <v>20.07</v>
      </c>
      <c r="U812">
        <v>10</v>
      </c>
      <c r="V812">
        <v>11</v>
      </c>
      <c r="W812">
        <v>3585</v>
      </c>
      <c r="X812" t="s">
        <v>188</v>
      </c>
      <c r="Y812" t="s">
        <v>36</v>
      </c>
      <c r="Z812">
        <v>1551.83</v>
      </c>
    </row>
    <row r="813" spans="1:26" x14ac:dyDescent="0.25">
      <c r="A813">
        <v>100811</v>
      </c>
      <c r="B813" s="3">
        <v>45700</v>
      </c>
      <c r="C813" s="3">
        <v>45704</v>
      </c>
      <c r="D813" s="3">
        <v>45706</v>
      </c>
      <c r="E813" t="s">
        <v>2248</v>
      </c>
      <c r="F813" t="s">
        <v>25</v>
      </c>
      <c r="G813" t="s">
        <v>244</v>
      </c>
      <c r="H813" t="s">
        <v>2249</v>
      </c>
      <c r="I813" t="s">
        <v>182</v>
      </c>
      <c r="J813" t="s">
        <v>80</v>
      </c>
      <c r="K813" t="s">
        <v>2250</v>
      </c>
      <c r="L813" t="s">
        <v>122</v>
      </c>
      <c r="M813" t="s">
        <v>25</v>
      </c>
      <c r="N813" t="s">
        <v>66</v>
      </c>
      <c r="O813" t="s">
        <v>67</v>
      </c>
      <c r="P813" t="s">
        <v>35</v>
      </c>
      <c r="Q813">
        <v>414</v>
      </c>
      <c r="R813">
        <v>178.95</v>
      </c>
      <c r="S813">
        <v>74085.3</v>
      </c>
      <c r="T813">
        <v>17.93</v>
      </c>
      <c r="U813">
        <v>2</v>
      </c>
      <c r="V813">
        <v>6</v>
      </c>
      <c r="W813">
        <v>181</v>
      </c>
      <c r="X813" t="s">
        <v>3741</v>
      </c>
      <c r="Y813" t="s">
        <v>36</v>
      </c>
      <c r="Z813">
        <v>20188.240000000002</v>
      </c>
    </row>
    <row r="814" spans="1:26" x14ac:dyDescent="0.25">
      <c r="A814">
        <v>100812</v>
      </c>
      <c r="B814" s="3">
        <v>45295</v>
      </c>
      <c r="C814" s="3">
        <v>45299</v>
      </c>
      <c r="D814" s="3">
        <v>45309</v>
      </c>
      <c r="E814" t="s">
        <v>2251</v>
      </c>
      <c r="F814" t="s">
        <v>54</v>
      </c>
      <c r="G814" t="s">
        <v>225</v>
      </c>
      <c r="H814" t="s">
        <v>2252</v>
      </c>
      <c r="I814" t="s">
        <v>79</v>
      </c>
      <c r="J814" t="s">
        <v>80</v>
      </c>
      <c r="K814" t="s">
        <v>1938</v>
      </c>
      <c r="L814" t="s">
        <v>122</v>
      </c>
      <c r="M814" t="s">
        <v>54</v>
      </c>
      <c r="N814" t="s">
        <v>102</v>
      </c>
      <c r="O814" t="s">
        <v>103</v>
      </c>
      <c r="P814" t="s">
        <v>123</v>
      </c>
      <c r="Q814">
        <v>453</v>
      </c>
      <c r="R814">
        <v>324.64</v>
      </c>
      <c r="S814">
        <v>147061.92000000001</v>
      </c>
      <c r="T814">
        <v>16.07</v>
      </c>
      <c r="U814">
        <v>10</v>
      </c>
      <c r="V814">
        <v>14</v>
      </c>
      <c r="W814">
        <v>1793</v>
      </c>
      <c r="X814" t="s">
        <v>188</v>
      </c>
      <c r="Y814" t="s">
        <v>36</v>
      </c>
      <c r="Z814">
        <v>19462.91</v>
      </c>
    </row>
    <row r="815" spans="1:26" x14ac:dyDescent="0.25">
      <c r="A815">
        <v>100813</v>
      </c>
      <c r="B815" s="3">
        <v>45669</v>
      </c>
      <c r="C815" s="3">
        <v>45671</v>
      </c>
      <c r="D815" s="3">
        <v>45682</v>
      </c>
      <c r="E815" t="s">
        <v>2253</v>
      </c>
      <c r="F815" t="s">
        <v>38</v>
      </c>
      <c r="G815" t="s">
        <v>39</v>
      </c>
      <c r="H815" t="s">
        <v>2254</v>
      </c>
      <c r="I815" t="s">
        <v>207</v>
      </c>
      <c r="J815" t="s">
        <v>80</v>
      </c>
      <c r="K815" t="s">
        <v>2255</v>
      </c>
      <c r="L815" t="s">
        <v>31</v>
      </c>
      <c r="M815" t="s">
        <v>32</v>
      </c>
      <c r="N815" t="s">
        <v>203</v>
      </c>
      <c r="O815" t="s">
        <v>204</v>
      </c>
      <c r="P815" t="s">
        <v>123</v>
      </c>
      <c r="Q815">
        <v>352</v>
      </c>
      <c r="R815">
        <v>65.53</v>
      </c>
      <c r="S815">
        <v>23066.560000000001</v>
      </c>
      <c r="T815">
        <v>19.25</v>
      </c>
      <c r="U815">
        <v>11</v>
      </c>
      <c r="V815">
        <v>13</v>
      </c>
      <c r="W815">
        <v>1823</v>
      </c>
      <c r="X815" t="s">
        <v>3742</v>
      </c>
      <c r="Y815" t="s">
        <v>57</v>
      </c>
      <c r="Z815">
        <v>4089.64</v>
      </c>
    </row>
    <row r="816" spans="1:26" x14ac:dyDescent="0.25">
      <c r="A816">
        <v>100814</v>
      </c>
      <c r="B816" s="3">
        <v>45530</v>
      </c>
      <c r="C816" s="3">
        <v>45534</v>
      </c>
      <c r="D816" s="3">
        <v>45541</v>
      </c>
      <c r="E816" t="s">
        <v>2256</v>
      </c>
      <c r="F816" t="s">
        <v>38</v>
      </c>
      <c r="G816" t="s">
        <v>39</v>
      </c>
      <c r="H816" t="s">
        <v>2257</v>
      </c>
      <c r="I816" t="s">
        <v>116</v>
      </c>
      <c r="J816" t="s">
        <v>62</v>
      </c>
      <c r="K816" t="s">
        <v>1935</v>
      </c>
      <c r="L816" t="s">
        <v>98</v>
      </c>
      <c r="M816" t="s">
        <v>54</v>
      </c>
      <c r="N816" t="s">
        <v>102</v>
      </c>
      <c r="O816" t="s">
        <v>103</v>
      </c>
      <c r="P816" t="s">
        <v>35</v>
      </c>
      <c r="Q816">
        <v>395</v>
      </c>
      <c r="R816">
        <v>8.33</v>
      </c>
      <c r="S816">
        <v>3290.35</v>
      </c>
      <c r="T816">
        <v>23.67</v>
      </c>
      <c r="U816">
        <v>7</v>
      </c>
      <c r="V816">
        <v>11</v>
      </c>
      <c r="W816">
        <v>704</v>
      </c>
      <c r="X816" t="s">
        <v>3742</v>
      </c>
      <c r="Y816" t="s">
        <v>57</v>
      </c>
      <c r="Z816">
        <v>547.42999999999995</v>
      </c>
    </row>
    <row r="817" spans="1:26" x14ac:dyDescent="0.25">
      <c r="A817">
        <v>100815</v>
      </c>
      <c r="B817" s="3">
        <v>45500</v>
      </c>
      <c r="C817" s="3">
        <v>45504</v>
      </c>
      <c r="D817" s="3">
        <v>45510</v>
      </c>
      <c r="E817" t="s">
        <v>2258</v>
      </c>
      <c r="F817" t="s">
        <v>25</v>
      </c>
      <c r="G817" t="s">
        <v>172</v>
      </c>
      <c r="H817" t="s">
        <v>2259</v>
      </c>
      <c r="I817" t="s">
        <v>51</v>
      </c>
      <c r="J817" t="s">
        <v>52</v>
      </c>
      <c r="K817" t="s">
        <v>2260</v>
      </c>
      <c r="L817" t="s">
        <v>64</v>
      </c>
      <c r="M817" t="s">
        <v>25</v>
      </c>
      <c r="N817" t="s">
        <v>55</v>
      </c>
      <c r="O817" t="s">
        <v>56</v>
      </c>
      <c r="P817" t="s">
        <v>68</v>
      </c>
      <c r="Q817">
        <v>86</v>
      </c>
      <c r="R817">
        <v>19.64</v>
      </c>
      <c r="S817">
        <v>1689.04</v>
      </c>
      <c r="T817">
        <v>25.25</v>
      </c>
      <c r="U817">
        <v>6</v>
      </c>
      <c r="V817">
        <v>10</v>
      </c>
      <c r="W817">
        <v>4377</v>
      </c>
      <c r="X817" t="s">
        <v>188</v>
      </c>
      <c r="Y817" t="s">
        <v>36</v>
      </c>
      <c r="Z817">
        <v>134.49</v>
      </c>
    </row>
    <row r="818" spans="1:26" x14ac:dyDescent="0.25">
      <c r="A818">
        <v>100816</v>
      </c>
      <c r="B818" s="3">
        <v>45595</v>
      </c>
      <c r="C818" s="3">
        <v>45596</v>
      </c>
      <c r="D818" s="3">
        <v>45600</v>
      </c>
      <c r="E818" t="s">
        <v>2261</v>
      </c>
      <c r="F818" t="s">
        <v>25</v>
      </c>
      <c r="G818" t="s">
        <v>244</v>
      </c>
      <c r="H818" t="s">
        <v>2262</v>
      </c>
      <c r="I818" t="s">
        <v>134</v>
      </c>
      <c r="J818" t="s">
        <v>52</v>
      </c>
      <c r="K818" t="s">
        <v>1234</v>
      </c>
      <c r="L818" t="s">
        <v>113</v>
      </c>
      <c r="M818" t="s">
        <v>38</v>
      </c>
      <c r="N818" t="s">
        <v>33</v>
      </c>
      <c r="O818" t="s">
        <v>34</v>
      </c>
      <c r="P818" t="s">
        <v>123</v>
      </c>
      <c r="Q818">
        <v>437</v>
      </c>
      <c r="R818">
        <v>87.22</v>
      </c>
      <c r="S818">
        <v>38115.14</v>
      </c>
      <c r="T818">
        <v>21.31</v>
      </c>
      <c r="U818">
        <v>4</v>
      </c>
      <c r="V818">
        <v>5</v>
      </c>
      <c r="W818">
        <v>3207</v>
      </c>
      <c r="X818" t="s">
        <v>3742</v>
      </c>
      <c r="Y818" t="s">
        <v>57</v>
      </c>
      <c r="Z818">
        <v>4929.43</v>
      </c>
    </row>
    <row r="819" spans="1:26" x14ac:dyDescent="0.25">
      <c r="A819">
        <v>100817</v>
      </c>
      <c r="B819" s="3">
        <v>45447</v>
      </c>
      <c r="C819" s="3">
        <v>45448</v>
      </c>
      <c r="D819" s="3">
        <v>45454</v>
      </c>
      <c r="E819" t="s">
        <v>323</v>
      </c>
      <c r="F819" t="s">
        <v>32</v>
      </c>
      <c r="G819" t="s">
        <v>137</v>
      </c>
      <c r="H819" t="s">
        <v>1452</v>
      </c>
      <c r="I819" t="s">
        <v>149</v>
      </c>
      <c r="J819" t="s">
        <v>42</v>
      </c>
      <c r="K819" t="s">
        <v>140</v>
      </c>
      <c r="L819" t="s">
        <v>212</v>
      </c>
      <c r="M819" t="s">
        <v>65</v>
      </c>
      <c r="N819" t="s">
        <v>55</v>
      </c>
      <c r="O819" t="s">
        <v>56</v>
      </c>
      <c r="P819" t="s">
        <v>35</v>
      </c>
      <c r="Q819">
        <v>189</v>
      </c>
      <c r="R819">
        <v>201.62</v>
      </c>
      <c r="S819">
        <v>38106.18</v>
      </c>
      <c r="T819">
        <v>17.829999999999998</v>
      </c>
      <c r="U819">
        <v>6</v>
      </c>
      <c r="V819">
        <v>7</v>
      </c>
      <c r="W819">
        <v>1108</v>
      </c>
      <c r="X819" t="s">
        <v>3742</v>
      </c>
      <c r="Y819" t="s">
        <v>57</v>
      </c>
      <c r="Z819">
        <v>6253.54</v>
      </c>
    </row>
    <row r="820" spans="1:26" x14ac:dyDescent="0.25">
      <c r="A820">
        <v>100818</v>
      </c>
      <c r="B820" s="3">
        <v>45595</v>
      </c>
      <c r="C820" s="3">
        <v>45597</v>
      </c>
      <c r="D820" s="3">
        <v>45601</v>
      </c>
      <c r="E820" t="s">
        <v>2263</v>
      </c>
      <c r="F820" t="s">
        <v>65</v>
      </c>
      <c r="G820" t="s">
        <v>142</v>
      </c>
      <c r="H820" t="s">
        <v>2264</v>
      </c>
      <c r="I820" t="s">
        <v>72</v>
      </c>
      <c r="J820" t="s">
        <v>42</v>
      </c>
      <c r="K820" t="s">
        <v>2265</v>
      </c>
      <c r="L820" t="s">
        <v>113</v>
      </c>
      <c r="M820" t="s">
        <v>38</v>
      </c>
      <c r="N820" t="s">
        <v>92</v>
      </c>
      <c r="O820" t="s">
        <v>93</v>
      </c>
      <c r="P820" t="s">
        <v>35</v>
      </c>
      <c r="Q820">
        <v>224</v>
      </c>
      <c r="R820">
        <v>222.39</v>
      </c>
      <c r="S820">
        <v>49815.360000000001</v>
      </c>
      <c r="T820">
        <v>18.82</v>
      </c>
      <c r="U820">
        <v>4</v>
      </c>
      <c r="V820">
        <v>6</v>
      </c>
      <c r="W820">
        <v>523</v>
      </c>
      <c r="X820" t="s">
        <v>3741</v>
      </c>
      <c r="Y820" t="s">
        <v>36</v>
      </c>
      <c r="Z820">
        <v>4773.1499999999996</v>
      </c>
    </row>
    <row r="821" spans="1:26" x14ac:dyDescent="0.25">
      <c r="A821">
        <v>100819</v>
      </c>
      <c r="B821" s="3">
        <v>45437</v>
      </c>
      <c r="C821" s="3">
        <v>45438</v>
      </c>
      <c r="D821" s="3">
        <v>45440</v>
      </c>
      <c r="E821" t="s">
        <v>2266</v>
      </c>
      <c r="F821" t="s">
        <v>54</v>
      </c>
      <c r="G821" t="s">
        <v>165</v>
      </c>
      <c r="H821" t="s">
        <v>2267</v>
      </c>
      <c r="I821" t="s">
        <v>278</v>
      </c>
      <c r="J821" t="s">
        <v>29</v>
      </c>
      <c r="K821" t="s">
        <v>2268</v>
      </c>
      <c r="L821" t="s">
        <v>122</v>
      </c>
      <c r="M821" t="s">
        <v>25</v>
      </c>
      <c r="N821" t="s">
        <v>55</v>
      </c>
      <c r="O821" t="s">
        <v>56</v>
      </c>
      <c r="P821" t="s">
        <v>68</v>
      </c>
      <c r="Q821">
        <v>115</v>
      </c>
      <c r="R821">
        <v>86.68</v>
      </c>
      <c r="S821">
        <v>9968.2000000000007</v>
      </c>
      <c r="T821">
        <v>35.96</v>
      </c>
      <c r="U821">
        <v>2</v>
      </c>
      <c r="V821">
        <v>3</v>
      </c>
      <c r="W821">
        <v>463</v>
      </c>
      <c r="X821" t="s">
        <v>3741</v>
      </c>
      <c r="Y821" t="s">
        <v>36</v>
      </c>
      <c r="Z821">
        <v>1104.94</v>
      </c>
    </row>
    <row r="822" spans="1:26" x14ac:dyDescent="0.25">
      <c r="A822">
        <v>100820</v>
      </c>
      <c r="B822" s="3">
        <v>45952</v>
      </c>
      <c r="C822" s="3">
        <v>45957</v>
      </c>
      <c r="D822" s="3">
        <v>45960</v>
      </c>
      <c r="E822" t="s">
        <v>2269</v>
      </c>
      <c r="F822" t="s">
        <v>38</v>
      </c>
      <c r="G822" t="s">
        <v>83</v>
      </c>
      <c r="H822" t="s">
        <v>2162</v>
      </c>
      <c r="I822" t="s">
        <v>72</v>
      </c>
      <c r="J822" t="s">
        <v>42</v>
      </c>
      <c r="K822" t="s">
        <v>2250</v>
      </c>
      <c r="L822" t="s">
        <v>212</v>
      </c>
      <c r="M822" t="s">
        <v>32</v>
      </c>
      <c r="N822" t="s">
        <v>55</v>
      </c>
      <c r="O822" t="s">
        <v>56</v>
      </c>
      <c r="P822" t="s">
        <v>68</v>
      </c>
      <c r="Q822">
        <v>365</v>
      </c>
      <c r="R822">
        <v>253.51</v>
      </c>
      <c r="S822">
        <v>92531.15</v>
      </c>
      <c r="T822">
        <v>52.16</v>
      </c>
      <c r="U822">
        <v>3</v>
      </c>
      <c r="V822">
        <v>8</v>
      </c>
      <c r="W822">
        <v>1772</v>
      </c>
      <c r="X822" t="s">
        <v>188</v>
      </c>
      <c r="Y822" t="s">
        <v>36</v>
      </c>
      <c r="Z822">
        <v>9369.67</v>
      </c>
    </row>
    <row r="823" spans="1:26" x14ac:dyDescent="0.25">
      <c r="A823">
        <v>100821</v>
      </c>
      <c r="B823" s="3">
        <v>45975</v>
      </c>
      <c r="C823" s="3">
        <v>45980</v>
      </c>
      <c r="D823" s="3">
        <v>45987</v>
      </c>
      <c r="E823" t="s">
        <v>2270</v>
      </c>
      <c r="F823" t="s">
        <v>65</v>
      </c>
      <c r="G823" t="s">
        <v>142</v>
      </c>
      <c r="H823" t="s">
        <v>2271</v>
      </c>
      <c r="I823" t="s">
        <v>198</v>
      </c>
      <c r="J823" t="s">
        <v>52</v>
      </c>
      <c r="K823" t="s">
        <v>2272</v>
      </c>
      <c r="L823" t="s">
        <v>98</v>
      </c>
      <c r="M823" t="s">
        <v>54</v>
      </c>
      <c r="N823" t="s">
        <v>33</v>
      </c>
      <c r="O823" t="s">
        <v>34</v>
      </c>
      <c r="P823" t="s">
        <v>35</v>
      </c>
      <c r="Q823">
        <v>236</v>
      </c>
      <c r="R823">
        <v>26.13</v>
      </c>
      <c r="S823">
        <v>6166.68</v>
      </c>
      <c r="T823">
        <v>19.16</v>
      </c>
      <c r="U823">
        <v>7</v>
      </c>
      <c r="V823">
        <v>12</v>
      </c>
      <c r="W823">
        <v>1820</v>
      </c>
      <c r="X823" t="s">
        <v>188</v>
      </c>
      <c r="Y823" t="s">
        <v>36</v>
      </c>
      <c r="Z823">
        <v>423.89</v>
      </c>
    </row>
    <row r="824" spans="1:26" x14ac:dyDescent="0.25">
      <c r="A824">
        <v>100822</v>
      </c>
      <c r="B824" s="3">
        <v>45793</v>
      </c>
      <c r="C824" s="3">
        <v>45796</v>
      </c>
      <c r="D824" s="3">
        <v>45813</v>
      </c>
      <c r="E824" t="s">
        <v>2273</v>
      </c>
      <c r="F824" t="s">
        <v>38</v>
      </c>
      <c r="G824" t="s">
        <v>217</v>
      </c>
      <c r="H824" t="s">
        <v>2274</v>
      </c>
      <c r="I824" t="s">
        <v>278</v>
      </c>
      <c r="J824" t="s">
        <v>29</v>
      </c>
      <c r="K824" t="s">
        <v>2275</v>
      </c>
      <c r="L824" t="s">
        <v>122</v>
      </c>
      <c r="M824" t="s">
        <v>38</v>
      </c>
      <c r="N824" t="s">
        <v>107</v>
      </c>
      <c r="O824" t="s">
        <v>108</v>
      </c>
      <c r="P824" t="s">
        <v>76</v>
      </c>
      <c r="Q824">
        <v>118</v>
      </c>
      <c r="R824">
        <v>66.12</v>
      </c>
      <c r="S824">
        <v>7802.16</v>
      </c>
      <c r="T824">
        <v>7.53</v>
      </c>
      <c r="U824">
        <v>17</v>
      </c>
      <c r="V824">
        <v>20</v>
      </c>
      <c r="W824">
        <v>829</v>
      </c>
      <c r="X824" t="s">
        <v>188</v>
      </c>
      <c r="Y824" t="s">
        <v>36</v>
      </c>
      <c r="Z824">
        <v>1877.26</v>
      </c>
    </row>
    <row r="825" spans="1:26" x14ac:dyDescent="0.25">
      <c r="A825">
        <v>100823</v>
      </c>
      <c r="B825" s="3">
        <v>45577</v>
      </c>
      <c r="C825" s="3">
        <v>45578</v>
      </c>
      <c r="D825" s="3">
        <v>45583</v>
      </c>
      <c r="E825" t="s">
        <v>2276</v>
      </c>
      <c r="F825" t="s">
        <v>65</v>
      </c>
      <c r="G825" t="s">
        <v>70</v>
      </c>
      <c r="H825" t="s">
        <v>2277</v>
      </c>
      <c r="I825" t="s">
        <v>149</v>
      </c>
      <c r="J825" t="s">
        <v>42</v>
      </c>
      <c r="K825" t="s">
        <v>2131</v>
      </c>
      <c r="L825" t="s">
        <v>122</v>
      </c>
      <c r="M825" t="s">
        <v>38</v>
      </c>
      <c r="N825" t="s">
        <v>66</v>
      </c>
      <c r="O825" t="s">
        <v>67</v>
      </c>
      <c r="P825" t="s">
        <v>68</v>
      </c>
      <c r="Q825">
        <v>85</v>
      </c>
      <c r="R825">
        <v>67.48</v>
      </c>
      <c r="S825">
        <v>5735.8</v>
      </c>
      <c r="T825">
        <v>34.020000000000003</v>
      </c>
      <c r="U825">
        <v>5</v>
      </c>
      <c r="V825">
        <v>6</v>
      </c>
      <c r="W825">
        <v>856</v>
      </c>
      <c r="X825" t="s">
        <v>3741</v>
      </c>
      <c r="Y825" t="s">
        <v>36</v>
      </c>
      <c r="Z825">
        <v>818.5</v>
      </c>
    </row>
    <row r="826" spans="1:26" x14ac:dyDescent="0.25">
      <c r="A826">
        <v>100824</v>
      </c>
      <c r="B826" s="3">
        <v>45854</v>
      </c>
      <c r="C826" s="3">
        <v>45857</v>
      </c>
      <c r="D826" s="3">
        <v>45870</v>
      </c>
      <c r="E826" t="s">
        <v>2278</v>
      </c>
      <c r="F826" t="s">
        <v>65</v>
      </c>
      <c r="G826" t="s">
        <v>70</v>
      </c>
      <c r="H826" t="s">
        <v>2279</v>
      </c>
      <c r="I826" t="s">
        <v>28</v>
      </c>
      <c r="J826" t="s">
        <v>29</v>
      </c>
      <c r="K826" t="s">
        <v>1636</v>
      </c>
      <c r="L826" t="s">
        <v>113</v>
      </c>
      <c r="M826" t="s">
        <v>32</v>
      </c>
      <c r="N826" t="s">
        <v>102</v>
      </c>
      <c r="O826" t="s">
        <v>103</v>
      </c>
      <c r="P826" t="s">
        <v>123</v>
      </c>
      <c r="Q826">
        <v>353</v>
      </c>
      <c r="R826">
        <v>54.46</v>
      </c>
      <c r="S826">
        <v>19224.38</v>
      </c>
      <c r="T826">
        <v>19.27</v>
      </c>
      <c r="U826">
        <v>13</v>
      </c>
      <c r="V826">
        <v>16</v>
      </c>
      <c r="W826">
        <v>1792</v>
      </c>
      <c r="X826" t="s">
        <v>188</v>
      </c>
      <c r="Y826" t="s">
        <v>36</v>
      </c>
      <c r="Z826">
        <v>4619.07</v>
      </c>
    </row>
    <row r="827" spans="1:26" x14ac:dyDescent="0.25">
      <c r="A827">
        <v>100825</v>
      </c>
      <c r="B827" s="3">
        <v>45924</v>
      </c>
      <c r="C827" s="3">
        <v>45927</v>
      </c>
      <c r="D827" s="3">
        <v>45933</v>
      </c>
      <c r="E827" t="s">
        <v>2280</v>
      </c>
      <c r="F827" t="s">
        <v>65</v>
      </c>
      <c r="G827" t="s">
        <v>70</v>
      </c>
      <c r="H827" t="s">
        <v>2281</v>
      </c>
      <c r="I827" t="s">
        <v>116</v>
      </c>
      <c r="J827" t="s">
        <v>62</v>
      </c>
      <c r="K827" t="s">
        <v>1068</v>
      </c>
      <c r="L827" t="s">
        <v>122</v>
      </c>
      <c r="M827" t="s">
        <v>54</v>
      </c>
      <c r="N827" t="s">
        <v>203</v>
      </c>
      <c r="O827" t="s">
        <v>204</v>
      </c>
      <c r="P827" t="s">
        <v>35</v>
      </c>
      <c r="Q827">
        <v>22</v>
      </c>
      <c r="R827">
        <v>22.42</v>
      </c>
      <c r="S827">
        <v>493.24</v>
      </c>
      <c r="T827">
        <v>13.1</v>
      </c>
      <c r="U827">
        <v>6</v>
      </c>
      <c r="V827">
        <v>9</v>
      </c>
      <c r="W827">
        <v>2510</v>
      </c>
      <c r="X827" t="s">
        <v>188</v>
      </c>
      <c r="Y827" t="s">
        <v>36</v>
      </c>
      <c r="Z827">
        <v>26.54</v>
      </c>
    </row>
    <row r="828" spans="1:26" x14ac:dyDescent="0.25">
      <c r="A828">
        <v>100826</v>
      </c>
      <c r="B828" s="3">
        <v>45355</v>
      </c>
      <c r="C828" s="3">
        <v>45359</v>
      </c>
      <c r="D828" s="3">
        <v>45368</v>
      </c>
      <c r="E828" t="s">
        <v>2282</v>
      </c>
      <c r="F828" t="s">
        <v>32</v>
      </c>
      <c r="G828" t="s">
        <v>255</v>
      </c>
      <c r="H828" t="s">
        <v>2283</v>
      </c>
      <c r="I828" t="s">
        <v>230</v>
      </c>
      <c r="J828" t="s">
        <v>80</v>
      </c>
      <c r="K828" t="s">
        <v>688</v>
      </c>
      <c r="L828" t="s">
        <v>31</v>
      </c>
      <c r="M828" t="s">
        <v>38</v>
      </c>
      <c r="N828" t="s">
        <v>74</v>
      </c>
      <c r="O828" t="s">
        <v>75</v>
      </c>
      <c r="P828" t="s">
        <v>123</v>
      </c>
      <c r="Q828">
        <v>268</v>
      </c>
      <c r="R828">
        <v>324.66000000000003</v>
      </c>
      <c r="S828">
        <v>87008.88</v>
      </c>
      <c r="T828">
        <v>17.2</v>
      </c>
      <c r="U828">
        <v>9</v>
      </c>
      <c r="V828">
        <v>13</v>
      </c>
      <c r="W828">
        <v>1499</v>
      </c>
      <c r="X828" t="s">
        <v>3742</v>
      </c>
      <c r="Y828" t="s">
        <v>57</v>
      </c>
      <c r="Z828">
        <v>17156.169999999998</v>
      </c>
    </row>
    <row r="829" spans="1:26" x14ac:dyDescent="0.25">
      <c r="A829">
        <v>100827</v>
      </c>
      <c r="B829" s="3">
        <v>45493</v>
      </c>
      <c r="C829" s="3">
        <v>45494</v>
      </c>
      <c r="D829" s="3">
        <v>45502</v>
      </c>
      <c r="E829" t="s">
        <v>2284</v>
      </c>
      <c r="F829" t="s">
        <v>65</v>
      </c>
      <c r="G829" t="s">
        <v>70</v>
      </c>
      <c r="H829" t="s">
        <v>2285</v>
      </c>
      <c r="I829" t="s">
        <v>126</v>
      </c>
      <c r="J829" t="s">
        <v>42</v>
      </c>
      <c r="K829" t="s">
        <v>1161</v>
      </c>
      <c r="L829" t="s">
        <v>113</v>
      </c>
      <c r="M829" t="s">
        <v>54</v>
      </c>
      <c r="N829" t="s">
        <v>92</v>
      </c>
      <c r="O829" t="s">
        <v>93</v>
      </c>
      <c r="P829" t="s">
        <v>35</v>
      </c>
      <c r="Q829">
        <v>378</v>
      </c>
      <c r="R829">
        <v>445</v>
      </c>
      <c r="S829">
        <v>168210</v>
      </c>
      <c r="T829">
        <v>23.19</v>
      </c>
      <c r="U829">
        <v>8</v>
      </c>
      <c r="V829">
        <v>9</v>
      </c>
      <c r="W829">
        <v>270</v>
      </c>
      <c r="X829" t="s">
        <v>188</v>
      </c>
      <c r="Y829" t="s">
        <v>36</v>
      </c>
      <c r="Z829">
        <v>17246.150000000001</v>
      </c>
    </row>
    <row r="830" spans="1:26" x14ac:dyDescent="0.25">
      <c r="A830">
        <v>100828</v>
      </c>
      <c r="B830" s="3">
        <v>45813</v>
      </c>
      <c r="C830" s="3">
        <v>45817</v>
      </c>
      <c r="D830" s="3">
        <v>45819</v>
      </c>
      <c r="E830" t="s">
        <v>2286</v>
      </c>
      <c r="F830" t="s">
        <v>54</v>
      </c>
      <c r="G830" t="s">
        <v>225</v>
      </c>
      <c r="H830" t="s">
        <v>2287</v>
      </c>
      <c r="I830" t="s">
        <v>61</v>
      </c>
      <c r="J830" t="s">
        <v>62</v>
      </c>
      <c r="K830" t="s">
        <v>2288</v>
      </c>
      <c r="L830" t="s">
        <v>91</v>
      </c>
      <c r="M830" t="s">
        <v>54</v>
      </c>
      <c r="N830" t="s">
        <v>107</v>
      </c>
      <c r="O830" t="s">
        <v>108</v>
      </c>
      <c r="P830" t="s">
        <v>68</v>
      </c>
      <c r="Q830">
        <v>396</v>
      </c>
      <c r="R830">
        <v>6.77</v>
      </c>
      <c r="S830">
        <v>2680.92</v>
      </c>
      <c r="T830">
        <v>40.130000000000003</v>
      </c>
      <c r="U830">
        <v>2</v>
      </c>
      <c r="V830">
        <v>6</v>
      </c>
      <c r="W830">
        <v>4892</v>
      </c>
      <c r="X830" t="s">
        <v>3741</v>
      </c>
      <c r="Y830" t="s">
        <v>36</v>
      </c>
      <c r="Z830">
        <v>110.48</v>
      </c>
    </row>
    <row r="831" spans="1:26" x14ac:dyDescent="0.25">
      <c r="A831">
        <v>100829</v>
      </c>
      <c r="B831" s="3">
        <v>45761</v>
      </c>
      <c r="C831" s="3">
        <v>45765</v>
      </c>
      <c r="D831" s="3">
        <v>45777</v>
      </c>
      <c r="E831" t="s">
        <v>2289</v>
      </c>
      <c r="F831" t="s">
        <v>38</v>
      </c>
      <c r="G831" t="s">
        <v>39</v>
      </c>
      <c r="H831" t="s">
        <v>2290</v>
      </c>
      <c r="I831" t="s">
        <v>139</v>
      </c>
      <c r="J831" t="s">
        <v>42</v>
      </c>
      <c r="K831" t="s">
        <v>2288</v>
      </c>
      <c r="L831" t="s">
        <v>113</v>
      </c>
      <c r="M831" t="s">
        <v>54</v>
      </c>
      <c r="N831" t="s">
        <v>74</v>
      </c>
      <c r="O831" t="s">
        <v>75</v>
      </c>
      <c r="P831" t="s">
        <v>76</v>
      </c>
      <c r="Q831">
        <v>291</v>
      </c>
      <c r="R831">
        <v>225.46</v>
      </c>
      <c r="S831">
        <v>65608.86</v>
      </c>
      <c r="T831">
        <v>13.32</v>
      </c>
      <c r="U831">
        <v>12</v>
      </c>
      <c r="V831">
        <v>16</v>
      </c>
      <c r="W831">
        <v>1301</v>
      </c>
      <c r="X831" t="s">
        <v>188</v>
      </c>
      <c r="Y831" t="s">
        <v>36</v>
      </c>
      <c r="Z831">
        <v>5866.88</v>
      </c>
    </row>
    <row r="832" spans="1:26" x14ac:dyDescent="0.25">
      <c r="A832">
        <v>100830</v>
      </c>
      <c r="B832" s="3">
        <v>45853</v>
      </c>
      <c r="C832" s="3">
        <v>45857</v>
      </c>
      <c r="D832" s="3">
        <v>45866</v>
      </c>
      <c r="E832" t="s">
        <v>2291</v>
      </c>
      <c r="F832" t="s">
        <v>25</v>
      </c>
      <c r="G832" t="s">
        <v>221</v>
      </c>
      <c r="H832" t="s">
        <v>2292</v>
      </c>
      <c r="I832" t="s">
        <v>177</v>
      </c>
      <c r="J832" t="s">
        <v>29</v>
      </c>
      <c r="K832" t="s">
        <v>977</v>
      </c>
      <c r="L832" t="s">
        <v>212</v>
      </c>
      <c r="M832" t="s">
        <v>65</v>
      </c>
      <c r="N832" t="s">
        <v>74</v>
      </c>
      <c r="O832" t="s">
        <v>75</v>
      </c>
      <c r="P832" t="s">
        <v>35</v>
      </c>
      <c r="Q832">
        <v>12</v>
      </c>
      <c r="R832">
        <v>59.56</v>
      </c>
      <c r="S832">
        <v>714.72</v>
      </c>
      <c r="T832">
        <v>12.81</v>
      </c>
      <c r="U832">
        <v>9</v>
      </c>
      <c r="V832">
        <v>13</v>
      </c>
      <c r="W832">
        <v>3175</v>
      </c>
      <c r="X832" t="s">
        <v>188</v>
      </c>
      <c r="Y832" t="s">
        <v>36</v>
      </c>
      <c r="Z832">
        <v>60.1</v>
      </c>
    </row>
    <row r="833" spans="1:26" x14ac:dyDescent="0.25">
      <c r="A833">
        <v>100831</v>
      </c>
      <c r="B833" s="3">
        <v>45838</v>
      </c>
      <c r="C833" s="3">
        <v>45843</v>
      </c>
      <c r="D833" s="3">
        <v>45846</v>
      </c>
      <c r="E833" t="s">
        <v>2293</v>
      </c>
      <c r="F833" t="s">
        <v>65</v>
      </c>
      <c r="G833" t="s">
        <v>70</v>
      </c>
      <c r="H833" t="s">
        <v>2294</v>
      </c>
      <c r="I833" t="s">
        <v>368</v>
      </c>
      <c r="J833" t="s">
        <v>29</v>
      </c>
      <c r="K833" t="s">
        <v>1930</v>
      </c>
      <c r="L833" t="s">
        <v>91</v>
      </c>
      <c r="M833" t="s">
        <v>54</v>
      </c>
      <c r="N833" t="s">
        <v>45</v>
      </c>
      <c r="O833" t="s">
        <v>46</v>
      </c>
      <c r="P833" t="s">
        <v>68</v>
      </c>
      <c r="Q833">
        <v>188</v>
      </c>
      <c r="R833">
        <v>35.4</v>
      </c>
      <c r="S833">
        <v>6655.2</v>
      </c>
      <c r="T833">
        <v>40.69</v>
      </c>
      <c r="U833">
        <v>3</v>
      </c>
      <c r="V833">
        <v>8</v>
      </c>
      <c r="W833">
        <v>1992</v>
      </c>
      <c r="X833" t="s">
        <v>188</v>
      </c>
      <c r="Y833" t="s">
        <v>36</v>
      </c>
      <c r="Z833">
        <v>1664.02</v>
      </c>
    </row>
    <row r="834" spans="1:26" x14ac:dyDescent="0.25">
      <c r="A834">
        <v>100832</v>
      </c>
      <c r="B834" s="3">
        <v>45343</v>
      </c>
      <c r="C834" s="3">
        <v>45345</v>
      </c>
      <c r="D834" s="3">
        <v>45365</v>
      </c>
      <c r="E834" t="s">
        <v>2295</v>
      </c>
      <c r="F834" t="s">
        <v>38</v>
      </c>
      <c r="G834" t="s">
        <v>83</v>
      </c>
      <c r="H834" t="s">
        <v>2296</v>
      </c>
      <c r="I834" t="s">
        <v>238</v>
      </c>
      <c r="J834" t="s">
        <v>62</v>
      </c>
      <c r="K834" t="s">
        <v>1435</v>
      </c>
      <c r="L834" t="s">
        <v>118</v>
      </c>
      <c r="M834" t="s">
        <v>25</v>
      </c>
      <c r="N834" t="s">
        <v>151</v>
      </c>
      <c r="O834" t="s">
        <v>152</v>
      </c>
      <c r="P834" t="s">
        <v>76</v>
      </c>
      <c r="Q834">
        <v>341</v>
      </c>
      <c r="R834">
        <v>25.29</v>
      </c>
      <c r="S834">
        <v>8623.89</v>
      </c>
      <c r="T834">
        <v>14.23</v>
      </c>
      <c r="U834">
        <v>20</v>
      </c>
      <c r="V834">
        <v>22</v>
      </c>
      <c r="W834">
        <v>2357</v>
      </c>
      <c r="X834" t="s">
        <v>188</v>
      </c>
      <c r="Y834" t="s">
        <v>36</v>
      </c>
      <c r="Z834">
        <v>661.26</v>
      </c>
    </row>
    <row r="835" spans="1:26" x14ac:dyDescent="0.25">
      <c r="A835">
        <v>100833</v>
      </c>
      <c r="B835" s="3">
        <v>45931</v>
      </c>
      <c r="C835" s="3">
        <v>45932</v>
      </c>
      <c r="D835" s="3">
        <v>45935</v>
      </c>
      <c r="E835" t="s">
        <v>2297</v>
      </c>
      <c r="F835" t="s">
        <v>25</v>
      </c>
      <c r="G835" t="s">
        <v>233</v>
      </c>
      <c r="H835" t="s">
        <v>2298</v>
      </c>
      <c r="I835" t="s">
        <v>149</v>
      </c>
      <c r="J835" t="s">
        <v>42</v>
      </c>
      <c r="K835" t="s">
        <v>208</v>
      </c>
      <c r="L835" t="s">
        <v>44</v>
      </c>
      <c r="M835" t="s">
        <v>54</v>
      </c>
      <c r="N835" t="s">
        <v>74</v>
      </c>
      <c r="O835" t="s">
        <v>75</v>
      </c>
      <c r="P835" t="s">
        <v>35</v>
      </c>
      <c r="Q835">
        <v>336</v>
      </c>
      <c r="R835">
        <v>126.19</v>
      </c>
      <c r="S835">
        <v>42399.839999999997</v>
      </c>
      <c r="T835">
        <v>22</v>
      </c>
      <c r="U835">
        <v>3</v>
      </c>
      <c r="V835">
        <v>4</v>
      </c>
      <c r="W835">
        <v>444</v>
      </c>
      <c r="X835" t="s">
        <v>3741</v>
      </c>
      <c r="Y835" t="s">
        <v>36</v>
      </c>
      <c r="Z835">
        <v>6448.61</v>
      </c>
    </row>
    <row r="836" spans="1:26" x14ac:dyDescent="0.25">
      <c r="A836">
        <v>100834</v>
      </c>
      <c r="B836" s="3">
        <v>45913</v>
      </c>
      <c r="C836" s="3">
        <v>45917</v>
      </c>
      <c r="D836" s="3">
        <v>45936</v>
      </c>
      <c r="E836" t="s">
        <v>2299</v>
      </c>
      <c r="F836" t="s">
        <v>65</v>
      </c>
      <c r="G836" t="s">
        <v>154</v>
      </c>
      <c r="H836" t="s">
        <v>2300</v>
      </c>
      <c r="I836" t="s">
        <v>89</v>
      </c>
      <c r="J836" t="s">
        <v>62</v>
      </c>
      <c r="K836" t="s">
        <v>1779</v>
      </c>
      <c r="L836" t="s">
        <v>187</v>
      </c>
      <c r="M836" t="s">
        <v>38</v>
      </c>
      <c r="N836" t="s">
        <v>33</v>
      </c>
      <c r="O836" t="s">
        <v>34</v>
      </c>
      <c r="P836" t="s">
        <v>76</v>
      </c>
      <c r="Q836">
        <v>271</v>
      </c>
      <c r="R836">
        <v>10.89</v>
      </c>
      <c r="S836">
        <v>2951.19</v>
      </c>
      <c r="T836">
        <v>12.96</v>
      </c>
      <c r="U836">
        <v>19</v>
      </c>
      <c r="V836">
        <v>23</v>
      </c>
      <c r="W836">
        <v>2103</v>
      </c>
      <c r="X836" t="s">
        <v>188</v>
      </c>
      <c r="Y836" t="s">
        <v>36</v>
      </c>
      <c r="Z836">
        <v>254.9</v>
      </c>
    </row>
    <row r="837" spans="1:26" x14ac:dyDescent="0.25">
      <c r="A837">
        <v>100835</v>
      </c>
      <c r="B837" s="3">
        <v>45566</v>
      </c>
      <c r="C837" s="3">
        <v>45567</v>
      </c>
      <c r="D837" s="3">
        <v>45575</v>
      </c>
      <c r="E837" t="s">
        <v>2301</v>
      </c>
      <c r="F837" t="s">
        <v>38</v>
      </c>
      <c r="G837" t="s">
        <v>49</v>
      </c>
      <c r="H837" t="s">
        <v>2302</v>
      </c>
      <c r="I837" t="s">
        <v>198</v>
      </c>
      <c r="J837" t="s">
        <v>52</v>
      </c>
      <c r="K837" t="s">
        <v>2303</v>
      </c>
      <c r="L837" t="s">
        <v>44</v>
      </c>
      <c r="M837" t="s">
        <v>25</v>
      </c>
      <c r="N837" t="s">
        <v>55</v>
      </c>
      <c r="O837" t="s">
        <v>56</v>
      </c>
      <c r="P837" t="s">
        <v>35</v>
      </c>
      <c r="Q837">
        <v>81</v>
      </c>
      <c r="R837">
        <v>42.87</v>
      </c>
      <c r="S837">
        <v>3472.47</v>
      </c>
      <c r="T837">
        <v>14.77</v>
      </c>
      <c r="U837">
        <v>8</v>
      </c>
      <c r="V837">
        <v>9</v>
      </c>
      <c r="W837">
        <v>416</v>
      </c>
      <c r="X837" t="s">
        <v>188</v>
      </c>
      <c r="Y837" t="s">
        <v>36</v>
      </c>
      <c r="Z837">
        <v>385.92</v>
      </c>
    </row>
    <row r="838" spans="1:26" x14ac:dyDescent="0.25">
      <c r="A838">
        <v>100836</v>
      </c>
      <c r="B838" s="3">
        <v>45674</v>
      </c>
      <c r="C838" s="3">
        <v>45678</v>
      </c>
      <c r="D838" s="3">
        <v>45696</v>
      </c>
      <c r="E838" t="s">
        <v>2304</v>
      </c>
      <c r="F838" t="s">
        <v>54</v>
      </c>
      <c r="G838" t="s">
        <v>225</v>
      </c>
      <c r="H838" t="s">
        <v>2305</v>
      </c>
      <c r="I838" t="s">
        <v>89</v>
      </c>
      <c r="J838" t="s">
        <v>62</v>
      </c>
      <c r="K838" t="s">
        <v>2306</v>
      </c>
      <c r="L838" t="s">
        <v>122</v>
      </c>
      <c r="M838" t="s">
        <v>65</v>
      </c>
      <c r="N838" t="s">
        <v>107</v>
      </c>
      <c r="O838" t="s">
        <v>108</v>
      </c>
      <c r="P838" t="s">
        <v>76</v>
      </c>
      <c r="Q838">
        <v>236</v>
      </c>
      <c r="R838">
        <v>40.08</v>
      </c>
      <c r="S838">
        <v>9458.8799999999992</v>
      </c>
      <c r="T838">
        <v>12.32</v>
      </c>
      <c r="U838">
        <v>18</v>
      </c>
      <c r="V838">
        <v>22</v>
      </c>
      <c r="W838">
        <v>495</v>
      </c>
      <c r="X838" t="s">
        <v>188</v>
      </c>
      <c r="Y838" t="s">
        <v>36</v>
      </c>
      <c r="Z838">
        <v>133.34</v>
      </c>
    </row>
    <row r="839" spans="1:26" x14ac:dyDescent="0.25">
      <c r="A839">
        <v>100837</v>
      </c>
      <c r="B839" s="3">
        <v>45492</v>
      </c>
      <c r="C839" s="3">
        <v>45494</v>
      </c>
      <c r="D839" s="3">
        <v>45504</v>
      </c>
      <c r="E839" t="s">
        <v>2307</v>
      </c>
      <c r="F839" t="s">
        <v>25</v>
      </c>
      <c r="G839" t="s">
        <v>26</v>
      </c>
      <c r="H839" t="s">
        <v>2308</v>
      </c>
      <c r="I839" t="s">
        <v>207</v>
      </c>
      <c r="J839" t="s">
        <v>80</v>
      </c>
      <c r="K839" t="s">
        <v>919</v>
      </c>
      <c r="L839" t="s">
        <v>91</v>
      </c>
      <c r="M839" t="s">
        <v>65</v>
      </c>
      <c r="N839" t="s">
        <v>107</v>
      </c>
      <c r="O839" t="s">
        <v>108</v>
      </c>
      <c r="P839" t="s">
        <v>123</v>
      </c>
      <c r="Q839">
        <v>340</v>
      </c>
      <c r="R839">
        <v>106.51</v>
      </c>
      <c r="S839">
        <v>36213.4</v>
      </c>
      <c r="T839">
        <v>18.95</v>
      </c>
      <c r="U839">
        <v>10</v>
      </c>
      <c r="V839">
        <v>12</v>
      </c>
      <c r="W839">
        <v>965</v>
      </c>
      <c r="X839" t="s">
        <v>188</v>
      </c>
      <c r="Y839" t="s">
        <v>36</v>
      </c>
      <c r="Z839">
        <v>9093.1299999999992</v>
      </c>
    </row>
    <row r="840" spans="1:26" x14ac:dyDescent="0.25">
      <c r="A840">
        <v>100838</v>
      </c>
      <c r="B840" s="3">
        <v>45920</v>
      </c>
      <c r="C840" s="3">
        <v>45922</v>
      </c>
      <c r="D840" s="3">
        <v>45939</v>
      </c>
      <c r="E840" t="s">
        <v>2309</v>
      </c>
      <c r="F840" t="s">
        <v>25</v>
      </c>
      <c r="G840" t="s">
        <v>169</v>
      </c>
      <c r="H840" t="s">
        <v>2310</v>
      </c>
      <c r="I840" t="s">
        <v>72</v>
      </c>
      <c r="J840" t="s">
        <v>42</v>
      </c>
      <c r="K840" t="s">
        <v>2311</v>
      </c>
      <c r="L840" t="s">
        <v>91</v>
      </c>
      <c r="M840" t="s">
        <v>65</v>
      </c>
      <c r="N840" t="s">
        <v>151</v>
      </c>
      <c r="O840" t="s">
        <v>152</v>
      </c>
      <c r="P840" t="s">
        <v>76</v>
      </c>
      <c r="Q840">
        <v>254</v>
      </c>
      <c r="R840">
        <v>220</v>
      </c>
      <c r="S840">
        <v>55880</v>
      </c>
      <c r="T840">
        <v>12.65</v>
      </c>
      <c r="U840">
        <v>17</v>
      </c>
      <c r="V840">
        <v>19</v>
      </c>
      <c r="W840">
        <v>917</v>
      </c>
      <c r="X840" t="s">
        <v>188</v>
      </c>
      <c r="Y840" t="s">
        <v>36</v>
      </c>
      <c r="Z840">
        <v>9899.89</v>
      </c>
    </row>
    <row r="841" spans="1:26" x14ac:dyDescent="0.25">
      <c r="A841">
        <v>100839</v>
      </c>
      <c r="B841" s="3">
        <v>45639</v>
      </c>
      <c r="C841" s="3">
        <v>45640</v>
      </c>
      <c r="D841" s="3">
        <v>45644</v>
      </c>
      <c r="E841" t="s">
        <v>2312</v>
      </c>
      <c r="F841" t="s">
        <v>65</v>
      </c>
      <c r="G841" t="s">
        <v>70</v>
      </c>
      <c r="H841" t="s">
        <v>2313</v>
      </c>
      <c r="I841" t="s">
        <v>416</v>
      </c>
      <c r="J841" t="s">
        <v>80</v>
      </c>
      <c r="K841" t="s">
        <v>340</v>
      </c>
      <c r="L841" t="s">
        <v>113</v>
      </c>
      <c r="M841" t="s">
        <v>32</v>
      </c>
      <c r="N841" t="s">
        <v>55</v>
      </c>
      <c r="O841" t="s">
        <v>56</v>
      </c>
      <c r="P841" t="s">
        <v>68</v>
      </c>
      <c r="Q841">
        <v>266</v>
      </c>
      <c r="R841">
        <v>46.2</v>
      </c>
      <c r="S841">
        <v>12289.2</v>
      </c>
      <c r="T841">
        <v>45.75</v>
      </c>
      <c r="U841">
        <v>4</v>
      </c>
      <c r="V841">
        <v>5</v>
      </c>
      <c r="W841">
        <v>1413</v>
      </c>
      <c r="X841" t="s">
        <v>3742</v>
      </c>
      <c r="Y841" t="s">
        <v>57</v>
      </c>
      <c r="Z841">
        <v>1949.12</v>
      </c>
    </row>
    <row r="842" spans="1:26" x14ac:dyDescent="0.25">
      <c r="A842">
        <v>100840</v>
      </c>
      <c r="B842" s="3">
        <v>45457</v>
      </c>
      <c r="C842" s="3">
        <v>45460</v>
      </c>
      <c r="D842" s="3">
        <v>45464</v>
      </c>
      <c r="E842" t="s">
        <v>2314</v>
      </c>
      <c r="F842" t="s">
        <v>32</v>
      </c>
      <c r="G842" t="s">
        <v>255</v>
      </c>
      <c r="H842" t="s">
        <v>2315</v>
      </c>
      <c r="I842" t="s">
        <v>416</v>
      </c>
      <c r="J842" t="s">
        <v>80</v>
      </c>
      <c r="K842" t="s">
        <v>658</v>
      </c>
      <c r="L842" t="s">
        <v>122</v>
      </c>
      <c r="M842" t="s">
        <v>38</v>
      </c>
      <c r="N842" t="s">
        <v>203</v>
      </c>
      <c r="O842" t="s">
        <v>204</v>
      </c>
      <c r="P842" t="s">
        <v>123</v>
      </c>
      <c r="Q842">
        <v>210</v>
      </c>
      <c r="R842">
        <v>102</v>
      </c>
      <c r="S842">
        <v>21420</v>
      </c>
      <c r="T842">
        <v>15.8</v>
      </c>
      <c r="U842">
        <v>4</v>
      </c>
      <c r="V842">
        <v>7</v>
      </c>
      <c r="W842">
        <v>693</v>
      </c>
      <c r="X842" t="s">
        <v>3741</v>
      </c>
      <c r="Y842" t="s">
        <v>36</v>
      </c>
      <c r="Z842">
        <v>4025.52</v>
      </c>
    </row>
    <row r="843" spans="1:26" x14ac:dyDescent="0.25">
      <c r="A843">
        <v>100841</v>
      </c>
      <c r="B843" s="3">
        <v>45938</v>
      </c>
      <c r="C843" s="3">
        <v>45939</v>
      </c>
      <c r="D843" s="3">
        <v>45961</v>
      </c>
      <c r="E843" t="s">
        <v>2316</v>
      </c>
      <c r="F843" t="s">
        <v>38</v>
      </c>
      <c r="G843" t="s">
        <v>217</v>
      </c>
      <c r="H843" t="s">
        <v>2317</v>
      </c>
      <c r="I843" t="s">
        <v>207</v>
      </c>
      <c r="J843" t="s">
        <v>80</v>
      </c>
      <c r="K843" t="s">
        <v>1051</v>
      </c>
      <c r="L843" t="s">
        <v>44</v>
      </c>
      <c r="M843" t="s">
        <v>25</v>
      </c>
      <c r="N843" t="s">
        <v>33</v>
      </c>
      <c r="O843" t="s">
        <v>34</v>
      </c>
      <c r="P843" t="s">
        <v>76</v>
      </c>
      <c r="Q843">
        <v>151</v>
      </c>
      <c r="R843">
        <v>49.94</v>
      </c>
      <c r="S843">
        <v>7540.94</v>
      </c>
      <c r="T843">
        <v>10.77</v>
      </c>
      <c r="U843">
        <v>22</v>
      </c>
      <c r="V843">
        <v>23</v>
      </c>
      <c r="W843">
        <v>1809</v>
      </c>
      <c r="X843" t="s">
        <v>188</v>
      </c>
      <c r="Y843" t="s">
        <v>36</v>
      </c>
      <c r="Z843">
        <v>1734.86</v>
      </c>
    </row>
    <row r="844" spans="1:26" x14ac:dyDescent="0.25">
      <c r="A844">
        <v>100842</v>
      </c>
      <c r="B844" s="3">
        <v>45870</v>
      </c>
      <c r="C844" s="3">
        <v>45871</v>
      </c>
      <c r="D844" s="3">
        <v>45876</v>
      </c>
      <c r="E844" t="s">
        <v>2318</v>
      </c>
      <c r="F844" t="s">
        <v>38</v>
      </c>
      <c r="G844" t="s">
        <v>83</v>
      </c>
      <c r="H844" t="s">
        <v>2319</v>
      </c>
      <c r="I844" t="s">
        <v>416</v>
      </c>
      <c r="J844" t="s">
        <v>80</v>
      </c>
      <c r="K844" t="s">
        <v>1627</v>
      </c>
      <c r="L844" t="s">
        <v>113</v>
      </c>
      <c r="M844" t="s">
        <v>32</v>
      </c>
      <c r="N844" t="s">
        <v>151</v>
      </c>
      <c r="O844" t="s">
        <v>152</v>
      </c>
      <c r="P844" t="s">
        <v>35</v>
      </c>
      <c r="Q844">
        <v>255</v>
      </c>
      <c r="R844">
        <v>101.51</v>
      </c>
      <c r="S844">
        <v>25885.05</v>
      </c>
      <c r="T844">
        <v>19.7</v>
      </c>
      <c r="U844">
        <v>5</v>
      </c>
      <c r="V844">
        <v>6</v>
      </c>
      <c r="W844">
        <v>452</v>
      </c>
      <c r="X844" t="s">
        <v>3741</v>
      </c>
      <c r="Y844" t="s">
        <v>36</v>
      </c>
      <c r="Z844">
        <v>5467.39</v>
      </c>
    </row>
    <row r="845" spans="1:26" x14ac:dyDescent="0.25">
      <c r="A845">
        <v>100843</v>
      </c>
      <c r="B845" s="3">
        <v>45347</v>
      </c>
      <c r="C845" s="3">
        <v>45350</v>
      </c>
      <c r="D845" s="3">
        <v>45352</v>
      </c>
      <c r="E845" t="s">
        <v>2320</v>
      </c>
      <c r="F845" t="s">
        <v>54</v>
      </c>
      <c r="G845" t="s">
        <v>165</v>
      </c>
      <c r="H845" t="s">
        <v>2321</v>
      </c>
      <c r="I845" t="s">
        <v>238</v>
      </c>
      <c r="J845" t="s">
        <v>62</v>
      </c>
      <c r="K845" t="s">
        <v>1177</v>
      </c>
      <c r="L845" t="s">
        <v>91</v>
      </c>
      <c r="M845" t="s">
        <v>38</v>
      </c>
      <c r="N845" t="s">
        <v>151</v>
      </c>
      <c r="O845" t="s">
        <v>152</v>
      </c>
      <c r="P845" t="s">
        <v>35</v>
      </c>
      <c r="Q845">
        <v>278</v>
      </c>
      <c r="R845">
        <v>45.05</v>
      </c>
      <c r="S845">
        <v>12523.9</v>
      </c>
      <c r="T845">
        <v>20.36</v>
      </c>
      <c r="U845">
        <v>2</v>
      </c>
      <c r="V845">
        <v>5</v>
      </c>
      <c r="W845">
        <v>1826</v>
      </c>
      <c r="X845" t="s">
        <v>3741</v>
      </c>
      <c r="Y845" t="s">
        <v>36</v>
      </c>
      <c r="Z845">
        <v>2228.16</v>
      </c>
    </row>
    <row r="846" spans="1:26" x14ac:dyDescent="0.25">
      <c r="A846">
        <v>100844</v>
      </c>
      <c r="B846" s="3">
        <v>45465</v>
      </c>
      <c r="C846" s="3">
        <v>45468</v>
      </c>
      <c r="D846" s="3">
        <v>45481</v>
      </c>
      <c r="E846" t="s">
        <v>2322</v>
      </c>
      <c r="F846" t="s">
        <v>54</v>
      </c>
      <c r="G846" t="s">
        <v>129</v>
      </c>
      <c r="H846" t="s">
        <v>2323</v>
      </c>
      <c r="I846" t="s">
        <v>416</v>
      </c>
      <c r="J846" t="s">
        <v>80</v>
      </c>
      <c r="K846" t="s">
        <v>2324</v>
      </c>
      <c r="L846" t="s">
        <v>118</v>
      </c>
      <c r="M846" t="s">
        <v>32</v>
      </c>
      <c r="N846" t="s">
        <v>151</v>
      </c>
      <c r="O846" t="s">
        <v>152</v>
      </c>
      <c r="P846" t="s">
        <v>123</v>
      </c>
      <c r="Q846">
        <v>90</v>
      </c>
      <c r="R846">
        <v>66.27</v>
      </c>
      <c r="S846">
        <v>5964.3</v>
      </c>
      <c r="T846">
        <v>12.88</v>
      </c>
      <c r="U846">
        <v>13</v>
      </c>
      <c r="V846">
        <v>16</v>
      </c>
      <c r="W846">
        <v>1768</v>
      </c>
      <c r="X846" t="s">
        <v>188</v>
      </c>
      <c r="Y846" t="s">
        <v>36</v>
      </c>
      <c r="Z846">
        <v>1319.26</v>
      </c>
    </row>
    <row r="847" spans="1:26" x14ac:dyDescent="0.25">
      <c r="A847">
        <v>100845</v>
      </c>
      <c r="B847" s="3">
        <v>45943</v>
      </c>
      <c r="C847" s="3">
        <v>45948</v>
      </c>
      <c r="D847" s="3">
        <v>45957</v>
      </c>
      <c r="E847" t="s">
        <v>2325</v>
      </c>
      <c r="F847" t="s">
        <v>54</v>
      </c>
      <c r="G847" t="s">
        <v>158</v>
      </c>
      <c r="H847" t="s">
        <v>2326</v>
      </c>
      <c r="I847" t="s">
        <v>144</v>
      </c>
      <c r="J847" t="s">
        <v>52</v>
      </c>
      <c r="K847" t="s">
        <v>634</v>
      </c>
      <c r="L847" t="s">
        <v>64</v>
      </c>
      <c r="M847" t="s">
        <v>65</v>
      </c>
      <c r="N847" t="s">
        <v>107</v>
      </c>
      <c r="O847" t="s">
        <v>108</v>
      </c>
      <c r="P847" t="s">
        <v>123</v>
      </c>
      <c r="Q847">
        <v>128</v>
      </c>
      <c r="R847">
        <v>20.71</v>
      </c>
      <c r="S847">
        <v>2650.88</v>
      </c>
      <c r="T847">
        <v>13.8</v>
      </c>
      <c r="U847">
        <v>9</v>
      </c>
      <c r="V847">
        <v>14</v>
      </c>
      <c r="W847">
        <v>1728</v>
      </c>
      <c r="X847" t="s">
        <v>188</v>
      </c>
      <c r="Y847" t="s">
        <v>36</v>
      </c>
      <c r="Z847">
        <v>449.53</v>
      </c>
    </row>
    <row r="848" spans="1:26" x14ac:dyDescent="0.25">
      <c r="A848">
        <v>100846</v>
      </c>
      <c r="B848" s="3">
        <v>45780</v>
      </c>
      <c r="C848" s="3">
        <v>45784</v>
      </c>
      <c r="D848" s="3">
        <v>45792</v>
      </c>
      <c r="E848" t="s">
        <v>2327</v>
      </c>
      <c r="F848" t="s">
        <v>25</v>
      </c>
      <c r="G848" t="s">
        <v>26</v>
      </c>
      <c r="H848" t="s">
        <v>2328</v>
      </c>
      <c r="I848" t="s">
        <v>139</v>
      </c>
      <c r="J848" t="s">
        <v>42</v>
      </c>
      <c r="K848" t="s">
        <v>362</v>
      </c>
      <c r="L848" t="s">
        <v>118</v>
      </c>
      <c r="M848" t="s">
        <v>65</v>
      </c>
      <c r="N848" t="s">
        <v>33</v>
      </c>
      <c r="O848" t="s">
        <v>34</v>
      </c>
      <c r="P848" t="s">
        <v>123</v>
      </c>
      <c r="Q848">
        <v>116</v>
      </c>
      <c r="R848">
        <v>171.56</v>
      </c>
      <c r="S848">
        <v>19900.96</v>
      </c>
      <c r="T848">
        <v>13.51</v>
      </c>
      <c r="U848">
        <v>8</v>
      </c>
      <c r="V848">
        <v>12</v>
      </c>
      <c r="W848">
        <v>579</v>
      </c>
      <c r="X848" t="s">
        <v>188</v>
      </c>
      <c r="Y848" t="s">
        <v>36</v>
      </c>
      <c r="Z848">
        <v>2057.38</v>
      </c>
    </row>
    <row r="849" spans="1:26" x14ac:dyDescent="0.25">
      <c r="A849">
        <v>100847</v>
      </c>
      <c r="B849" s="3">
        <v>45506</v>
      </c>
      <c r="C849" s="3">
        <v>45506</v>
      </c>
      <c r="D849" s="3">
        <v>45519</v>
      </c>
      <c r="E849" t="s">
        <v>2329</v>
      </c>
      <c r="F849" t="s">
        <v>65</v>
      </c>
      <c r="G849" t="s">
        <v>142</v>
      </c>
      <c r="H849" t="s">
        <v>2330</v>
      </c>
      <c r="I849" t="s">
        <v>191</v>
      </c>
      <c r="J849" t="s">
        <v>62</v>
      </c>
      <c r="K849" t="s">
        <v>2331</v>
      </c>
      <c r="L849" t="s">
        <v>118</v>
      </c>
      <c r="M849" t="s">
        <v>25</v>
      </c>
      <c r="N849" t="s">
        <v>203</v>
      </c>
      <c r="O849" t="s">
        <v>204</v>
      </c>
      <c r="P849" t="s">
        <v>123</v>
      </c>
      <c r="Q849">
        <v>113</v>
      </c>
      <c r="R849">
        <v>30.46</v>
      </c>
      <c r="S849">
        <v>3441.98</v>
      </c>
      <c r="T849">
        <v>13.44</v>
      </c>
      <c r="U849">
        <v>13</v>
      </c>
      <c r="V849">
        <v>13</v>
      </c>
      <c r="W849">
        <v>2672</v>
      </c>
      <c r="X849" t="s">
        <v>188</v>
      </c>
      <c r="Y849" t="s">
        <v>36</v>
      </c>
      <c r="Z849">
        <v>324.19</v>
      </c>
    </row>
    <row r="850" spans="1:26" x14ac:dyDescent="0.25">
      <c r="A850">
        <v>100848</v>
      </c>
      <c r="B850" s="3">
        <v>45354</v>
      </c>
      <c r="C850" s="3">
        <v>45358</v>
      </c>
      <c r="D850" s="3">
        <v>45382</v>
      </c>
      <c r="E850" t="s">
        <v>2332</v>
      </c>
      <c r="F850" t="s">
        <v>65</v>
      </c>
      <c r="G850" t="s">
        <v>142</v>
      </c>
      <c r="H850" t="s">
        <v>2333</v>
      </c>
      <c r="I850" t="s">
        <v>416</v>
      </c>
      <c r="J850" t="s">
        <v>80</v>
      </c>
      <c r="K850" t="s">
        <v>753</v>
      </c>
      <c r="L850" t="s">
        <v>64</v>
      </c>
      <c r="M850" t="s">
        <v>54</v>
      </c>
      <c r="N850" t="s">
        <v>33</v>
      </c>
      <c r="O850" t="s">
        <v>34</v>
      </c>
      <c r="P850" t="s">
        <v>76</v>
      </c>
      <c r="Q850">
        <v>89</v>
      </c>
      <c r="R850">
        <v>286.16000000000003</v>
      </c>
      <c r="S850">
        <v>25468.240000000002</v>
      </c>
      <c r="T850">
        <v>9.64</v>
      </c>
      <c r="U850">
        <v>24</v>
      </c>
      <c r="V850">
        <v>28</v>
      </c>
      <c r="W850">
        <v>1150</v>
      </c>
      <c r="X850" t="s">
        <v>3742</v>
      </c>
      <c r="Y850" t="s">
        <v>188</v>
      </c>
      <c r="Z850">
        <v>5816.75</v>
      </c>
    </row>
    <row r="851" spans="1:26" x14ac:dyDescent="0.25">
      <c r="A851">
        <v>100849</v>
      </c>
      <c r="B851" s="3">
        <v>45368</v>
      </c>
      <c r="C851" s="3">
        <v>45372</v>
      </c>
      <c r="D851" s="3">
        <v>45379</v>
      </c>
      <c r="E851" t="s">
        <v>2334</v>
      </c>
      <c r="F851" t="s">
        <v>32</v>
      </c>
      <c r="G851" t="s">
        <v>273</v>
      </c>
      <c r="H851" t="s">
        <v>2335</v>
      </c>
      <c r="I851" t="s">
        <v>126</v>
      </c>
      <c r="J851" t="s">
        <v>42</v>
      </c>
      <c r="K851" t="s">
        <v>673</v>
      </c>
      <c r="L851" t="s">
        <v>187</v>
      </c>
      <c r="M851" t="s">
        <v>38</v>
      </c>
      <c r="N851" t="s">
        <v>45</v>
      </c>
      <c r="O851" t="s">
        <v>46</v>
      </c>
      <c r="P851" t="s">
        <v>123</v>
      </c>
      <c r="Q851">
        <v>254</v>
      </c>
      <c r="R851">
        <v>422.68</v>
      </c>
      <c r="S851">
        <v>107360.72</v>
      </c>
      <c r="T851">
        <v>16.86</v>
      </c>
      <c r="U851">
        <v>7</v>
      </c>
      <c r="V851">
        <v>11</v>
      </c>
      <c r="W851">
        <v>81</v>
      </c>
      <c r="X851" t="s">
        <v>188</v>
      </c>
      <c r="Y851" t="s">
        <v>36</v>
      </c>
      <c r="Z851">
        <v>8575.6200000000008</v>
      </c>
    </row>
    <row r="852" spans="1:26" x14ac:dyDescent="0.25">
      <c r="A852">
        <v>100850</v>
      </c>
      <c r="B852" s="3">
        <v>45887</v>
      </c>
      <c r="C852" s="3">
        <v>45887</v>
      </c>
      <c r="D852" s="3">
        <v>45896</v>
      </c>
      <c r="E852" t="s">
        <v>2336</v>
      </c>
      <c r="F852" t="s">
        <v>54</v>
      </c>
      <c r="G852" t="s">
        <v>158</v>
      </c>
      <c r="H852" t="s">
        <v>2337</v>
      </c>
      <c r="I852" t="s">
        <v>134</v>
      </c>
      <c r="J852" t="s">
        <v>52</v>
      </c>
      <c r="K852" t="s">
        <v>2088</v>
      </c>
      <c r="L852" t="s">
        <v>113</v>
      </c>
      <c r="M852" t="s">
        <v>38</v>
      </c>
      <c r="N852" t="s">
        <v>92</v>
      </c>
      <c r="O852" t="s">
        <v>93</v>
      </c>
      <c r="P852" t="s">
        <v>123</v>
      </c>
      <c r="Q852">
        <v>491</v>
      </c>
      <c r="R852">
        <v>29.64</v>
      </c>
      <c r="S852">
        <v>14553.24</v>
      </c>
      <c r="T852">
        <v>22.62</v>
      </c>
      <c r="U852">
        <v>9</v>
      </c>
      <c r="V852">
        <v>9</v>
      </c>
      <c r="W852">
        <v>4403</v>
      </c>
      <c r="X852" t="s">
        <v>3742</v>
      </c>
      <c r="Y852" t="s">
        <v>57</v>
      </c>
      <c r="Z852">
        <v>1817.08</v>
      </c>
    </row>
    <row r="853" spans="1:26" x14ac:dyDescent="0.25">
      <c r="A853">
        <v>100851</v>
      </c>
      <c r="B853" s="3">
        <v>45404</v>
      </c>
      <c r="C853" s="3">
        <v>45404</v>
      </c>
      <c r="D853" s="3">
        <v>45414</v>
      </c>
      <c r="E853" t="s">
        <v>2338</v>
      </c>
      <c r="F853" t="s">
        <v>25</v>
      </c>
      <c r="G853" t="s">
        <v>169</v>
      </c>
      <c r="H853" t="s">
        <v>2339</v>
      </c>
      <c r="I853" t="s">
        <v>139</v>
      </c>
      <c r="J853" t="s">
        <v>42</v>
      </c>
      <c r="K853" t="s">
        <v>1010</v>
      </c>
      <c r="L853" t="s">
        <v>187</v>
      </c>
      <c r="M853" t="s">
        <v>54</v>
      </c>
      <c r="N853" t="s">
        <v>33</v>
      </c>
      <c r="O853" t="s">
        <v>34</v>
      </c>
      <c r="P853" t="s">
        <v>35</v>
      </c>
      <c r="Q853">
        <v>363</v>
      </c>
      <c r="R853">
        <v>449.81</v>
      </c>
      <c r="S853">
        <v>163281.03</v>
      </c>
      <c r="T853">
        <v>22.77</v>
      </c>
      <c r="U853">
        <v>10</v>
      </c>
      <c r="V853">
        <v>10</v>
      </c>
      <c r="W853">
        <v>1626</v>
      </c>
      <c r="X853" t="s">
        <v>188</v>
      </c>
      <c r="Y853" t="s">
        <v>36</v>
      </c>
      <c r="Z853">
        <v>26018.720000000001</v>
      </c>
    </row>
    <row r="854" spans="1:26" x14ac:dyDescent="0.25">
      <c r="A854">
        <v>100852</v>
      </c>
      <c r="B854" s="3">
        <v>46013</v>
      </c>
      <c r="C854" s="3">
        <v>46016</v>
      </c>
      <c r="D854" s="3">
        <v>46040</v>
      </c>
      <c r="E854" t="s">
        <v>2340</v>
      </c>
      <c r="F854" t="s">
        <v>38</v>
      </c>
      <c r="G854" t="s">
        <v>39</v>
      </c>
      <c r="H854" t="s">
        <v>2341</v>
      </c>
      <c r="I854" t="s">
        <v>85</v>
      </c>
      <c r="J854" t="s">
        <v>52</v>
      </c>
      <c r="K854" t="s">
        <v>2342</v>
      </c>
      <c r="L854" t="s">
        <v>212</v>
      </c>
      <c r="M854" t="s">
        <v>32</v>
      </c>
      <c r="N854" t="s">
        <v>33</v>
      </c>
      <c r="O854" t="s">
        <v>34</v>
      </c>
      <c r="P854" t="s">
        <v>76</v>
      </c>
      <c r="Q854">
        <v>54</v>
      </c>
      <c r="R854">
        <v>14.78</v>
      </c>
      <c r="S854">
        <v>798.12</v>
      </c>
      <c r="T854">
        <v>9</v>
      </c>
      <c r="U854">
        <v>24</v>
      </c>
      <c r="V854">
        <v>27</v>
      </c>
      <c r="W854">
        <v>439</v>
      </c>
      <c r="X854" t="s">
        <v>188</v>
      </c>
      <c r="Y854" t="s">
        <v>36</v>
      </c>
      <c r="Z854">
        <v>17.670000000000002</v>
      </c>
    </row>
    <row r="855" spans="1:26" x14ac:dyDescent="0.25">
      <c r="A855">
        <v>100853</v>
      </c>
      <c r="B855" s="3">
        <v>45626</v>
      </c>
      <c r="C855" s="3">
        <v>45630</v>
      </c>
      <c r="D855" s="3">
        <v>45635</v>
      </c>
      <c r="E855" t="s">
        <v>2343</v>
      </c>
      <c r="F855" t="s">
        <v>32</v>
      </c>
      <c r="G855" t="s">
        <v>137</v>
      </c>
      <c r="H855" t="s">
        <v>2344</v>
      </c>
      <c r="I855" t="s">
        <v>72</v>
      </c>
      <c r="J855" t="s">
        <v>42</v>
      </c>
      <c r="K855" t="s">
        <v>2268</v>
      </c>
      <c r="L855" t="s">
        <v>212</v>
      </c>
      <c r="M855" t="s">
        <v>25</v>
      </c>
      <c r="N855" t="s">
        <v>45</v>
      </c>
      <c r="O855" t="s">
        <v>46</v>
      </c>
      <c r="P855" t="s">
        <v>35</v>
      </c>
      <c r="Q855">
        <v>419</v>
      </c>
      <c r="R855">
        <v>266.8</v>
      </c>
      <c r="S855">
        <v>111789.2</v>
      </c>
      <c r="T855">
        <v>24.35</v>
      </c>
      <c r="U855">
        <v>5</v>
      </c>
      <c r="V855">
        <v>9</v>
      </c>
      <c r="W855">
        <v>843</v>
      </c>
      <c r="X855" t="s">
        <v>188</v>
      </c>
      <c r="Y855" t="s">
        <v>36</v>
      </c>
      <c r="Z855">
        <v>14388.23</v>
      </c>
    </row>
    <row r="856" spans="1:26" x14ac:dyDescent="0.25">
      <c r="A856">
        <v>100854</v>
      </c>
      <c r="B856" s="3">
        <v>45736</v>
      </c>
      <c r="C856" s="3">
        <v>45740</v>
      </c>
      <c r="D856" s="3">
        <v>45758</v>
      </c>
      <c r="E856" t="s">
        <v>1209</v>
      </c>
      <c r="F856" t="s">
        <v>25</v>
      </c>
      <c r="G856" t="s">
        <v>244</v>
      </c>
      <c r="H856" t="s">
        <v>2345</v>
      </c>
      <c r="I856" t="s">
        <v>139</v>
      </c>
      <c r="J856" t="s">
        <v>42</v>
      </c>
      <c r="K856" t="s">
        <v>1184</v>
      </c>
      <c r="L856" t="s">
        <v>44</v>
      </c>
      <c r="M856" t="s">
        <v>54</v>
      </c>
      <c r="N856" t="s">
        <v>55</v>
      </c>
      <c r="O856" t="s">
        <v>56</v>
      </c>
      <c r="P856" t="s">
        <v>76</v>
      </c>
      <c r="Q856">
        <v>339</v>
      </c>
      <c r="R856">
        <v>274.49</v>
      </c>
      <c r="S856">
        <v>93052.11</v>
      </c>
      <c r="T856">
        <v>14.2</v>
      </c>
      <c r="U856">
        <v>18</v>
      </c>
      <c r="V856">
        <v>22</v>
      </c>
      <c r="W856">
        <v>1495</v>
      </c>
      <c r="X856" t="s">
        <v>188</v>
      </c>
      <c r="Y856" t="s">
        <v>36</v>
      </c>
      <c r="Z856">
        <v>15242.69</v>
      </c>
    </row>
    <row r="857" spans="1:26" x14ac:dyDescent="0.25">
      <c r="A857">
        <v>100855</v>
      </c>
      <c r="B857" s="3">
        <v>45917</v>
      </c>
      <c r="C857" s="3">
        <v>45919</v>
      </c>
      <c r="D857" s="3">
        <v>45938</v>
      </c>
      <c r="E857" t="s">
        <v>2346</v>
      </c>
      <c r="F857" t="s">
        <v>38</v>
      </c>
      <c r="G857" t="s">
        <v>217</v>
      </c>
      <c r="H857" t="s">
        <v>2347</v>
      </c>
      <c r="I857" t="s">
        <v>41</v>
      </c>
      <c r="J857" t="s">
        <v>42</v>
      </c>
      <c r="K857" t="s">
        <v>202</v>
      </c>
      <c r="L857" t="s">
        <v>113</v>
      </c>
      <c r="M857" t="s">
        <v>38</v>
      </c>
      <c r="N857" t="s">
        <v>55</v>
      </c>
      <c r="O857" t="s">
        <v>56</v>
      </c>
      <c r="P857" t="s">
        <v>76</v>
      </c>
      <c r="Q857">
        <v>174</v>
      </c>
      <c r="R857">
        <v>388.75</v>
      </c>
      <c r="S857">
        <v>67642.5</v>
      </c>
      <c r="T857">
        <v>8.2899999999999991</v>
      </c>
      <c r="U857">
        <v>19</v>
      </c>
      <c r="V857">
        <v>21</v>
      </c>
      <c r="W857">
        <v>1427</v>
      </c>
      <c r="X857" t="s">
        <v>188</v>
      </c>
      <c r="Y857" t="s">
        <v>36</v>
      </c>
      <c r="Z857">
        <v>14405.36</v>
      </c>
    </row>
    <row r="858" spans="1:26" x14ac:dyDescent="0.25">
      <c r="A858">
        <v>100856</v>
      </c>
      <c r="B858" s="3">
        <v>45714</v>
      </c>
      <c r="C858" s="3">
        <v>45717</v>
      </c>
      <c r="D858" s="3">
        <v>45732</v>
      </c>
      <c r="E858" t="s">
        <v>2348</v>
      </c>
      <c r="F858" t="s">
        <v>25</v>
      </c>
      <c r="G858" t="s">
        <v>59</v>
      </c>
      <c r="H858" t="s">
        <v>2349</v>
      </c>
      <c r="I858" t="s">
        <v>61</v>
      </c>
      <c r="J858" t="s">
        <v>62</v>
      </c>
      <c r="K858" t="s">
        <v>1600</v>
      </c>
      <c r="L858" t="s">
        <v>64</v>
      </c>
      <c r="M858" t="s">
        <v>54</v>
      </c>
      <c r="N858" t="s">
        <v>74</v>
      </c>
      <c r="O858" t="s">
        <v>75</v>
      </c>
      <c r="P858" t="s">
        <v>76</v>
      </c>
      <c r="Q858">
        <v>425</v>
      </c>
      <c r="R858">
        <v>26.56</v>
      </c>
      <c r="S858">
        <v>11288</v>
      </c>
      <c r="T858">
        <v>15.76</v>
      </c>
      <c r="U858">
        <v>15</v>
      </c>
      <c r="V858">
        <v>18</v>
      </c>
      <c r="W858">
        <v>3930</v>
      </c>
      <c r="X858" t="s">
        <v>188</v>
      </c>
      <c r="Y858" t="s">
        <v>36</v>
      </c>
      <c r="Z858">
        <v>1209.55</v>
      </c>
    </row>
    <row r="859" spans="1:26" x14ac:dyDescent="0.25">
      <c r="A859">
        <v>100857</v>
      </c>
      <c r="B859" s="3">
        <v>45333</v>
      </c>
      <c r="C859" s="3">
        <v>45337</v>
      </c>
      <c r="D859" s="3">
        <v>45344</v>
      </c>
      <c r="E859" t="s">
        <v>2350</v>
      </c>
      <c r="F859" t="s">
        <v>38</v>
      </c>
      <c r="G859" t="s">
        <v>147</v>
      </c>
      <c r="H859" t="s">
        <v>2351</v>
      </c>
      <c r="I859" t="s">
        <v>238</v>
      </c>
      <c r="J859" t="s">
        <v>62</v>
      </c>
      <c r="K859" t="s">
        <v>2352</v>
      </c>
      <c r="L859" t="s">
        <v>31</v>
      </c>
      <c r="M859" t="s">
        <v>25</v>
      </c>
      <c r="N859" t="s">
        <v>55</v>
      </c>
      <c r="O859" t="s">
        <v>56</v>
      </c>
      <c r="P859" t="s">
        <v>35</v>
      </c>
      <c r="Q859">
        <v>322</v>
      </c>
      <c r="R859">
        <v>22.89</v>
      </c>
      <c r="S859">
        <v>7370.58</v>
      </c>
      <c r="T859">
        <v>21.6</v>
      </c>
      <c r="U859">
        <v>7</v>
      </c>
      <c r="V859">
        <v>11</v>
      </c>
      <c r="W859">
        <v>1171</v>
      </c>
      <c r="X859" t="s">
        <v>188</v>
      </c>
      <c r="Y859" t="s">
        <v>36</v>
      </c>
      <c r="Z859">
        <v>519.29999999999995</v>
      </c>
    </row>
    <row r="860" spans="1:26" x14ac:dyDescent="0.25">
      <c r="A860">
        <v>100858</v>
      </c>
      <c r="B860" s="3">
        <v>45926</v>
      </c>
      <c r="C860" s="3">
        <v>45928</v>
      </c>
      <c r="D860" s="3">
        <v>45952</v>
      </c>
      <c r="E860" t="s">
        <v>2353</v>
      </c>
      <c r="F860" t="s">
        <v>65</v>
      </c>
      <c r="G860" t="s">
        <v>70</v>
      </c>
      <c r="H860" t="s">
        <v>2354</v>
      </c>
      <c r="I860" t="s">
        <v>139</v>
      </c>
      <c r="J860" t="s">
        <v>42</v>
      </c>
      <c r="K860" t="s">
        <v>1063</v>
      </c>
      <c r="L860" t="s">
        <v>122</v>
      </c>
      <c r="M860" t="s">
        <v>54</v>
      </c>
      <c r="N860" t="s">
        <v>66</v>
      </c>
      <c r="O860" t="s">
        <v>67</v>
      </c>
      <c r="P860" t="s">
        <v>76</v>
      </c>
      <c r="Q860">
        <v>53</v>
      </c>
      <c r="R860">
        <v>81.05</v>
      </c>
      <c r="S860">
        <v>4295.6499999999996</v>
      </c>
      <c r="T860">
        <v>8.98</v>
      </c>
      <c r="U860">
        <v>24</v>
      </c>
      <c r="V860">
        <v>26</v>
      </c>
      <c r="W860">
        <v>1642</v>
      </c>
      <c r="X860" t="s">
        <v>188</v>
      </c>
      <c r="Y860" t="s">
        <v>36</v>
      </c>
      <c r="Z860">
        <v>892.65</v>
      </c>
    </row>
    <row r="861" spans="1:26" x14ac:dyDescent="0.25">
      <c r="A861">
        <v>100859</v>
      </c>
      <c r="B861" s="3">
        <v>45558</v>
      </c>
      <c r="C861" s="3">
        <v>45560</v>
      </c>
      <c r="D861" s="3">
        <v>45572</v>
      </c>
      <c r="E861" t="s">
        <v>2355</v>
      </c>
      <c r="F861" t="s">
        <v>38</v>
      </c>
      <c r="G861" t="s">
        <v>49</v>
      </c>
      <c r="H861" t="s">
        <v>2356</v>
      </c>
      <c r="I861" t="s">
        <v>230</v>
      </c>
      <c r="J861" t="s">
        <v>80</v>
      </c>
      <c r="K861" t="s">
        <v>565</v>
      </c>
      <c r="L861" t="s">
        <v>212</v>
      </c>
      <c r="M861" t="s">
        <v>25</v>
      </c>
      <c r="N861" t="s">
        <v>66</v>
      </c>
      <c r="O861" t="s">
        <v>67</v>
      </c>
      <c r="P861" t="s">
        <v>68</v>
      </c>
      <c r="Q861">
        <v>240</v>
      </c>
      <c r="R861">
        <v>321.88</v>
      </c>
      <c r="S861">
        <v>77251.199999999997</v>
      </c>
      <c r="T861">
        <v>44.06</v>
      </c>
      <c r="U861">
        <v>12</v>
      </c>
      <c r="V861">
        <v>14</v>
      </c>
      <c r="W861">
        <v>1960</v>
      </c>
      <c r="X861" t="s">
        <v>3742</v>
      </c>
      <c r="Y861" t="s">
        <v>188</v>
      </c>
      <c r="Z861">
        <v>11106.66</v>
      </c>
    </row>
    <row r="862" spans="1:26" x14ac:dyDescent="0.25">
      <c r="A862">
        <v>100860</v>
      </c>
      <c r="B862" s="3">
        <v>45890</v>
      </c>
      <c r="C862" s="3">
        <v>45893</v>
      </c>
      <c r="D862" s="3">
        <v>45900</v>
      </c>
      <c r="E862" t="s">
        <v>1997</v>
      </c>
      <c r="F862" t="s">
        <v>38</v>
      </c>
      <c r="G862" t="s">
        <v>39</v>
      </c>
      <c r="H862" t="s">
        <v>2357</v>
      </c>
      <c r="I862" t="s">
        <v>89</v>
      </c>
      <c r="J862" t="s">
        <v>62</v>
      </c>
      <c r="K862" t="s">
        <v>1835</v>
      </c>
      <c r="L862" t="s">
        <v>113</v>
      </c>
      <c r="M862" t="s">
        <v>25</v>
      </c>
      <c r="N862" t="s">
        <v>151</v>
      </c>
      <c r="O862" t="s">
        <v>152</v>
      </c>
      <c r="P862" t="s">
        <v>35</v>
      </c>
      <c r="Q862">
        <v>267</v>
      </c>
      <c r="R862">
        <v>45.28</v>
      </c>
      <c r="S862">
        <v>12089.76</v>
      </c>
      <c r="T862">
        <v>20.04</v>
      </c>
      <c r="U862">
        <v>7</v>
      </c>
      <c r="V862">
        <v>10</v>
      </c>
      <c r="W862">
        <v>3141</v>
      </c>
      <c r="X862" t="s">
        <v>188</v>
      </c>
      <c r="Y862" t="s">
        <v>36</v>
      </c>
      <c r="Z862">
        <v>1042.6199999999999</v>
      </c>
    </row>
    <row r="863" spans="1:26" x14ac:dyDescent="0.25">
      <c r="A863">
        <v>100861</v>
      </c>
      <c r="B863" s="3">
        <v>45299</v>
      </c>
      <c r="C863" s="3">
        <v>45304</v>
      </c>
      <c r="D863" s="3">
        <v>45306</v>
      </c>
      <c r="E863" t="s">
        <v>1017</v>
      </c>
      <c r="F863" t="s">
        <v>32</v>
      </c>
      <c r="G863" t="s">
        <v>364</v>
      </c>
      <c r="H863" t="s">
        <v>2358</v>
      </c>
      <c r="I863" t="s">
        <v>134</v>
      </c>
      <c r="J863" t="s">
        <v>52</v>
      </c>
      <c r="K863" t="s">
        <v>319</v>
      </c>
      <c r="L863" t="s">
        <v>91</v>
      </c>
      <c r="M863" t="s">
        <v>54</v>
      </c>
      <c r="N863" t="s">
        <v>66</v>
      </c>
      <c r="O863" t="s">
        <v>67</v>
      </c>
      <c r="P863" t="s">
        <v>35</v>
      </c>
      <c r="Q863">
        <v>360</v>
      </c>
      <c r="R863">
        <v>70.66</v>
      </c>
      <c r="S863">
        <v>25437.599999999999</v>
      </c>
      <c r="T863">
        <v>22.68</v>
      </c>
      <c r="U863">
        <v>2</v>
      </c>
      <c r="V863">
        <v>7</v>
      </c>
      <c r="W863">
        <v>3970</v>
      </c>
      <c r="X863" t="s">
        <v>3741</v>
      </c>
      <c r="Y863" t="s">
        <v>36</v>
      </c>
      <c r="Z863">
        <v>1842.1</v>
      </c>
    </row>
    <row r="864" spans="1:26" x14ac:dyDescent="0.25">
      <c r="A864">
        <v>100862</v>
      </c>
      <c r="B864" s="3">
        <v>45924</v>
      </c>
      <c r="C864" s="3">
        <v>45928</v>
      </c>
      <c r="D864" s="3">
        <v>45941</v>
      </c>
      <c r="E864" t="s">
        <v>2359</v>
      </c>
      <c r="F864" t="s">
        <v>32</v>
      </c>
      <c r="G864" t="s">
        <v>255</v>
      </c>
      <c r="H864" t="s">
        <v>2360</v>
      </c>
      <c r="I864" t="s">
        <v>368</v>
      </c>
      <c r="J864" t="s">
        <v>29</v>
      </c>
      <c r="K864" t="s">
        <v>1408</v>
      </c>
      <c r="L864" t="s">
        <v>113</v>
      </c>
      <c r="M864" t="s">
        <v>54</v>
      </c>
      <c r="N864" t="s">
        <v>45</v>
      </c>
      <c r="O864" t="s">
        <v>46</v>
      </c>
      <c r="P864" t="s">
        <v>76</v>
      </c>
      <c r="Q864">
        <v>173</v>
      </c>
      <c r="R864">
        <v>62.48</v>
      </c>
      <c r="S864">
        <v>10809.04</v>
      </c>
      <c r="T864">
        <v>11.17</v>
      </c>
      <c r="U864">
        <v>13</v>
      </c>
      <c r="V864">
        <v>17</v>
      </c>
      <c r="W864">
        <v>2818</v>
      </c>
      <c r="X864" t="s">
        <v>188</v>
      </c>
      <c r="Y864" t="s">
        <v>36</v>
      </c>
      <c r="Z864">
        <v>3047.26</v>
      </c>
    </row>
    <row r="865" spans="1:26" x14ac:dyDescent="0.25">
      <c r="A865">
        <v>100863</v>
      </c>
      <c r="B865" s="3">
        <v>45949</v>
      </c>
      <c r="C865" s="3">
        <v>45952</v>
      </c>
      <c r="D865" s="3">
        <v>45968</v>
      </c>
      <c r="E865" t="s">
        <v>1820</v>
      </c>
      <c r="F865" t="s">
        <v>38</v>
      </c>
      <c r="G865" t="s">
        <v>217</v>
      </c>
      <c r="H865" t="s">
        <v>2361</v>
      </c>
      <c r="I865" t="s">
        <v>85</v>
      </c>
      <c r="J865" t="s">
        <v>52</v>
      </c>
      <c r="K865" t="s">
        <v>467</v>
      </c>
      <c r="L865" t="s">
        <v>113</v>
      </c>
      <c r="M865" t="s">
        <v>38</v>
      </c>
      <c r="N865" t="s">
        <v>33</v>
      </c>
      <c r="O865" t="s">
        <v>34</v>
      </c>
      <c r="P865" t="s">
        <v>76</v>
      </c>
      <c r="Q865">
        <v>182</v>
      </c>
      <c r="R865">
        <v>61.61</v>
      </c>
      <c r="S865">
        <v>11213.02</v>
      </c>
      <c r="T865">
        <v>8.4</v>
      </c>
      <c r="U865">
        <v>16</v>
      </c>
      <c r="V865">
        <v>19</v>
      </c>
      <c r="W865">
        <v>1243</v>
      </c>
      <c r="X865" t="s">
        <v>188</v>
      </c>
      <c r="Y865" t="s">
        <v>36</v>
      </c>
      <c r="Z865">
        <v>2141.41</v>
      </c>
    </row>
    <row r="866" spans="1:26" x14ac:dyDescent="0.25">
      <c r="A866">
        <v>100864</v>
      </c>
      <c r="B866" s="3">
        <v>45601</v>
      </c>
      <c r="C866" s="3">
        <v>45606</v>
      </c>
      <c r="D866" s="3">
        <v>45610</v>
      </c>
      <c r="E866" t="s">
        <v>1411</v>
      </c>
      <c r="F866" t="s">
        <v>65</v>
      </c>
      <c r="G866" t="s">
        <v>154</v>
      </c>
      <c r="H866" t="s">
        <v>2362</v>
      </c>
      <c r="I866" t="s">
        <v>149</v>
      </c>
      <c r="J866" t="s">
        <v>42</v>
      </c>
      <c r="K866" t="s">
        <v>2363</v>
      </c>
      <c r="L866" t="s">
        <v>31</v>
      </c>
      <c r="M866" t="s">
        <v>32</v>
      </c>
      <c r="N866" t="s">
        <v>33</v>
      </c>
      <c r="O866" t="s">
        <v>34</v>
      </c>
      <c r="P866" t="s">
        <v>68</v>
      </c>
      <c r="Q866">
        <v>292</v>
      </c>
      <c r="R866">
        <v>285.52999999999997</v>
      </c>
      <c r="S866">
        <v>83374.759999999995</v>
      </c>
      <c r="T866">
        <v>47.43</v>
      </c>
      <c r="U866">
        <v>4</v>
      </c>
      <c r="V866">
        <v>9</v>
      </c>
      <c r="W866">
        <v>1298</v>
      </c>
      <c r="X866" t="s">
        <v>3742</v>
      </c>
      <c r="Y866" t="s">
        <v>57</v>
      </c>
      <c r="Z866">
        <v>10684.72</v>
      </c>
    </row>
    <row r="867" spans="1:26" x14ac:dyDescent="0.25">
      <c r="A867">
        <v>100865</v>
      </c>
      <c r="B867" s="3">
        <v>45386</v>
      </c>
      <c r="C867" s="3">
        <v>45391</v>
      </c>
      <c r="D867" s="3">
        <v>45398</v>
      </c>
      <c r="E867" t="s">
        <v>2364</v>
      </c>
      <c r="F867" t="s">
        <v>38</v>
      </c>
      <c r="G867" t="s">
        <v>83</v>
      </c>
      <c r="H867" t="s">
        <v>2365</v>
      </c>
      <c r="I867" t="s">
        <v>144</v>
      </c>
      <c r="J867" t="s">
        <v>52</v>
      </c>
      <c r="K867" t="s">
        <v>2366</v>
      </c>
      <c r="L867" t="s">
        <v>31</v>
      </c>
      <c r="M867" t="s">
        <v>54</v>
      </c>
      <c r="N867" t="s">
        <v>45</v>
      </c>
      <c r="O867" t="s">
        <v>46</v>
      </c>
      <c r="P867" t="s">
        <v>35</v>
      </c>
      <c r="Q867">
        <v>380</v>
      </c>
      <c r="R867">
        <v>16.84</v>
      </c>
      <c r="S867">
        <v>6399.2</v>
      </c>
      <c r="T867">
        <v>23.25</v>
      </c>
      <c r="U867">
        <v>7</v>
      </c>
      <c r="V867">
        <v>12</v>
      </c>
      <c r="W867">
        <v>487</v>
      </c>
      <c r="X867" t="s">
        <v>188</v>
      </c>
      <c r="Y867" t="s">
        <v>36</v>
      </c>
      <c r="Z867">
        <v>1113.43</v>
      </c>
    </row>
    <row r="868" spans="1:26" x14ac:dyDescent="0.25">
      <c r="A868">
        <v>100866</v>
      </c>
      <c r="B868" s="3">
        <v>45365</v>
      </c>
      <c r="C868" s="3">
        <v>45365</v>
      </c>
      <c r="D868" s="3">
        <v>45366</v>
      </c>
      <c r="E868" t="s">
        <v>2367</v>
      </c>
      <c r="F868" t="s">
        <v>25</v>
      </c>
      <c r="G868" t="s">
        <v>244</v>
      </c>
      <c r="H868" t="s">
        <v>2368</v>
      </c>
      <c r="I868" t="s">
        <v>126</v>
      </c>
      <c r="J868" t="s">
        <v>42</v>
      </c>
      <c r="K868" t="s">
        <v>160</v>
      </c>
      <c r="L868" t="s">
        <v>113</v>
      </c>
      <c r="M868" t="s">
        <v>54</v>
      </c>
      <c r="N868" t="s">
        <v>66</v>
      </c>
      <c r="O868" t="s">
        <v>67</v>
      </c>
      <c r="P868" t="s">
        <v>68</v>
      </c>
      <c r="Q868">
        <v>32</v>
      </c>
      <c r="R868">
        <v>300.85000000000002</v>
      </c>
      <c r="S868">
        <v>9627.2000000000007</v>
      </c>
      <c r="T868">
        <v>30.59</v>
      </c>
      <c r="U868">
        <v>1</v>
      </c>
      <c r="V868">
        <v>1</v>
      </c>
      <c r="W868">
        <v>456</v>
      </c>
      <c r="X868" t="s">
        <v>3741</v>
      </c>
      <c r="Y868" t="s">
        <v>36</v>
      </c>
      <c r="Z868">
        <v>1687.14</v>
      </c>
    </row>
    <row r="869" spans="1:26" x14ac:dyDescent="0.25">
      <c r="A869">
        <v>100867</v>
      </c>
      <c r="B869" s="3">
        <v>45314</v>
      </c>
      <c r="C869" s="3">
        <v>45314</v>
      </c>
      <c r="D869" s="3">
        <v>45326</v>
      </c>
      <c r="E869" t="s">
        <v>2369</v>
      </c>
      <c r="F869" t="s">
        <v>25</v>
      </c>
      <c r="G869" t="s">
        <v>172</v>
      </c>
      <c r="H869" t="s">
        <v>2370</v>
      </c>
      <c r="I869" t="s">
        <v>278</v>
      </c>
      <c r="J869" t="s">
        <v>29</v>
      </c>
      <c r="K869" t="s">
        <v>2371</v>
      </c>
      <c r="L869" t="s">
        <v>31</v>
      </c>
      <c r="M869" t="s">
        <v>54</v>
      </c>
      <c r="N869" t="s">
        <v>107</v>
      </c>
      <c r="O869" t="s">
        <v>108</v>
      </c>
      <c r="P869" t="s">
        <v>76</v>
      </c>
      <c r="Q869">
        <v>231</v>
      </c>
      <c r="R869">
        <v>87.49</v>
      </c>
      <c r="S869">
        <v>20210.189999999999</v>
      </c>
      <c r="T869">
        <v>12.23</v>
      </c>
      <c r="U869">
        <v>12</v>
      </c>
      <c r="V869">
        <v>12</v>
      </c>
      <c r="W869">
        <v>3088</v>
      </c>
      <c r="X869" t="s">
        <v>188</v>
      </c>
      <c r="Y869" t="s">
        <v>36</v>
      </c>
      <c r="Z869">
        <v>4712.7299999999996</v>
      </c>
    </row>
    <row r="870" spans="1:26" x14ac:dyDescent="0.25">
      <c r="A870">
        <v>100868</v>
      </c>
      <c r="B870" s="3">
        <v>45734</v>
      </c>
      <c r="C870" s="3">
        <v>45738</v>
      </c>
      <c r="D870" s="3">
        <v>45744</v>
      </c>
      <c r="E870" t="s">
        <v>124</v>
      </c>
      <c r="F870" t="s">
        <v>38</v>
      </c>
      <c r="G870" t="s">
        <v>39</v>
      </c>
      <c r="H870" t="s">
        <v>2372</v>
      </c>
      <c r="I870" t="s">
        <v>41</v>
      </c>
      <c r="J870" t="s">
        <v>42</v>
      </c>
      <c r="K870" t="s">
        <v>1633</v>
      </c>
      <c r="L870" t="s">
        <v>187</v>
      </c>
      <c r="M870" t="s">
        <v>38</v>
      </c>
      <c r="N870" t="s">
        <v>66</v>
      </c>
      <c r="O870" t="s">
        <v>67</v>
      </c>
      <c r="P870" t="s">
        <v>68</v>
      </c>
      <c r="Q870">
        <v>372</v>
      </c>
      <c r="R870">
        <v>88.46</v>
      </c>
      <c r="S870">
        <v>32907.120000000003</v>
      </c>
      <c r="T870">
        <v>38.979999999999997</v>
      </c>
      <c r="U870">
        <v>6</v>
      </c>
      <c r="V870">
        <v>10</v>
      </c>
      <c r="W870">
        <v>574</v>
      </c>
      <c r="X870" t="s">
        <v>188</v>
      </c>
      <c r="Y870" t="s">
        <v>36</v>
      </c>
      <c r="Z870">
        <v>2665.29</v>
      </c>
    </row>
    <row r="871" spans="1:26" x14ac:dyDescent="0.25">
      <c r="A871">
        <v>100869</v>
      </c>
      <c r="B871" s="3">
        <v>45874</v>
      </c>
      <c r="C871" s="3">
        <v>45875</v>
      </c>
      <c r="D871" s="3">
        <v>45900</v>
      </c>
      <c r="E871" t="s">
        <v>2373</v>
      </c>
      <c r="F871" t="s">
        <v>25</v>
      </c>
      <c r="G871" t="s">
        <v>233</v>
      </c>
      <c r="H871" t="s">
        <v>2374</v>
      </c>
      <c r="I871" t="s">
        <v>198</v>
      </c>
      <c r="J871" t="s">
        <v>52</v>
      </c>
      <c r="K871" t="s">
        <v>2375</v>
      </c>
      <c r="L871" t="s">
        <v>44</v>
      </c>
      <c r="M871" t="s">
        <v>32</v>
      </c>
      <c r="N871" t="s">
        <v>92</v>
      </c>
      <c r="O871" t="s">
        <v>93</v>
      </c>
      <c r="P871" t="s">
        <v>76</v>
      </c>
      <c r="Q871">
        <v>423</v>
      </c>
      <c r="R871">
        <v>75.849999999999994</v>
      </c>
      <c r="S871">
        <v>32084.55</v>
      </c>
      <c r="T871">
        <v>15.73</v>
      </c>
      <c r="U871">
        <v>25</v>
      </c>
      <c r="V871">
        <v>26</v>
      </c>
      <c r="W871">
        <v>3942</v>
      </c>
      <c r="X871" t="s">
        <v>3742</v>
      </c>
      <c r="Y871" t="s">
        <v>188</v>
      </c>
      <c r="Z871">
        <v>2363.06</v>
      </c>
    </row>
    <row r="872" spans="1:26" x14ac:dyDescent="0.25">
      <c r="A872">
        <v>100870</v>
      </c>
      <c r="B872" s="3">
        <v>45474</v>
      </c>
      <c r="C872" s="3">
        <v>45478</v>
      </c>
      <c r="D872" s="3">
        <v>45482</v>
      </c>
      <c r="E872" t="s">
        <v>2376</v>
      </c>
      <c r="F872" t="s">
        <v>54</v>
      </c>
      <c r="G872" t="s">
        <v>193</v>
      </c>
      <c r="H872" t="s">
        <v>2377</v>
      </c>
      <c r="I872" t="s">
        <v>28</v>
      </c>
      <c r="J872" t="s">
        <v>29</v>
      </c>
      <c r="K872" t="s">
        <v>2378</v>
      </c>
      <c r="L872" t="s">
        <v>44</v>
      </c>
      <c r="M872" t="s">
        <v>65</v>
      </c>
      <c r="N872" t="s">
        <v>45</v>
      </c>
      <c r="O872" t="s">
        <v>46</v>
      </c>
      <c r="P872" t="s">
        <v>68</v>
      </c>
      <c r="Q872">
        <v>129</v>
      </c>
      <c r="R872">
        <v>104.37</v>
      </c>
      <c r="S872">
        <v>13463.73</v>
      </c>
      <c r="T872">
        <v>36.869999999999997</v>
      </c>
      <c r="U872">
        <v>4</v>
      </c>
      <c r="V872">
        <v>8</v>
      </c>
      <c r="W872">
        <v>2905</v>
      </c>
      <c r="X872" t="s">
        <v>188</v>
      </c>
      <c r="Y872" t="s">
        <v>36</v>
      </c>
      <c r="Z872">
        <v>2595.2600000000002</v>
      </c>
    </row>
    <row r="873" spans="1:26" x14ac:dyDescent="0.25">
      <c r="A873">
        <v>100871</v>
      </c>
      <c r="B873" s="3">
        <v>46019</v>
      </c>
      <c r="C873" s="3">
        <v>46022</v>
      </c>
      <c r="D873" s="3">
        <v>46028</v>
      </c>
      <c r="E873" t="s">
        <v>2379</v>
      </c>
      <c r="F873" t="s">
        <v>32</v>
      </c>
      <c r="G873" t="s">
        <v>255</v>
      </c>
      <c r="H873" t="s">
        <v>2380</v>
      </c>
      <c r="I873" t="s">
        <v>230</v>
      </c>
      <c r="J873" t="s">
        <v>80</v>
      </c>
      <c r="K873" t="s">
        <v>359</v>
      </c>
      <c r="L873" t="s">
        <v>91</v>
      </c>
      <c r="M873" t="s">
        <v>32</v>
      </c>
      <c r="N873" t="s">
        <v>33</v>
      </c>
      <c r="O873" t="s">
        <v>34</v>
      </c>
      <c r="P873" t="s">
        <v>35</v>
      </c>
      <c r="Q873">
        <v>210</v>
      </c>
      <c r="R873">
        <v>298.51</v>
      </c>
      <c r="S873">
        <v>62687.1</v>
      </c>
      <c r="T873">
        <v>13.65</v>
      </c>
      <c r="U873">
        <v>6</v>
      </c>
      <c r="V873">
        <v>9</v>
      </c>
      <c r="W873">
        <v>869</v>
      </c>
      <c r="X873" t="s">
        <v>188</v>
      </c>
      <c r="Y873" t="s">
        <v>36</v>
      </c>
      <c r="Z873">
        <v>11636.76</v>
      </c>
    </row>
    <row r="874" spans="1:26" x14ac:dyDescent="0.25">
      <c r="A874">
        <v>100872</v>
      </c>
      <c r="B874" s="3">
        <v>45468</v>
      </c>
      <c r="C874" s="3">
        <v>45471</v>
      </c>
      <c r="D874" s="3">
        <v>45475</v>
      </c>
      <c r="E874" t="s">
        <v>2381</v>
      </c>
      <c r="F874" t="s">
        <v>38</v>
      </c>
      <c r="G874" t="s">
        <v>39</v>
      </c>
      <c r="H874" t="s">
        <v>2382</v>
      </c>
      <c r="I874" t="s">
        <v>72</v>
      </c>
      <c r="J874" t="s">
        <v>42</v>
      </c>
      <c r="K874" t="s">
        <v>2383</v>
      </c>
      <c r="L874" t="s">
        <v>122</v>
      </c>
      <c r="M874" t="s">
        <v>32</v>
      </c>
      <c r="N874" t="s">
        <v>55</v>
      </c>
      <c r="O874" t="s">
        <v>56</v>
      </c>
      <c r="P874" t="s">
        <v>123</v>
      </c>
      <c r="Q874">
        <v>459</v>
      </c>
      <c r="R874">
        <v>68.260000000000005</v>
      </c>
      <c r="S874">
        <v>31331.34</v>
      </c>
      <c r="T874">
        <v>21.85</v>
      </c>
      <c r="U874">
        <v>4</v>
      </c>
      <c r="V874">
        <v>7</v>
      </c>
      <c r="W874">
        <v>1530</v>
      </c>
      <c r="X874" t="s">
        <v>3741</v>
      </c>
      <c r="Y874" t="s">
        <v>36</v>
      </c>
      <c r="Z874">
        <v>6258.57</v>
      </c>
    </row>
    <row r="875" spans="1:26" x14ac:dyDescent="0.25">
      <c r="A875">
        <v>100873</v>
      </c>
      <c r="B875" s="3">
        <v>45669</v>
      </c>
      <c r="C875" s="3">
        <v>45671</v>
      </c>
      <c r="D875" s="3">
        <v>45682</v>
      </c>
      <c r="E875" t="s">
        <v>2384</v>
      </c>
      <c r="F875" t="s">
        <v>32</v>
      </c>
      <c r="G875" t="s">
        <v>137</v>
      </c>
      <c r="H875" t="s">
        <v>2385</v>
      </c>
      <c r="I875" t="s">
        <v>28</v>
      </c>
      <c r="J875" t="s">
        <v>29</v>
      </c>
      <c r="K875" t="s">
        <v>573</v>
      </c>
      <c r="L875" t="s">
        <v>113</v>
      </c>
      <c r="M875" t="s">
        <v>32</v>
      </c>
      <c r="N875" t="s">
        <v>74</v>
      </c>
      <c r="O875" t="s">
        <v>75</v>
      </c>
      <c r="P875" t="s">
        <v>123</v>
      </c>
      <c r="Q875">
        <v>467</v>
      </c>
      <c r="R875">
        <v>52.67</v>
      </c>
      <c r="S875">
        <v>24596.89</v>
      </c>
      <c r="T875">
        <v>16.329999999999998</v>
      </c>
      <c r="U875">
        <v>11</v>
      </c>
      <c r="V875">
        <v>13</v>
      </c>
      <c r="W875">
        <v>2332</v>
      </c>
      <c r="X875" t="s">
        <v>188</v>
      </c>
      <c r="Y875" t="s">
        <v>36</v>
      </c>
      <c r="Z875">
        <v>3169.08</v>
      </c>
    </row>
    <row r="876" spans="1:26" x14ac:dyDescent="0.25">
      <c r="A876">
        <v>100874</v>
      </c>
      <c r="B876" s="3">
        <v>45386</v>
      </c>
      <c r="C876" s="3">
        <v>45386</v>
      </c>
      <c r="D876" s="3">
        <v>45387</v>
      </c>
      <c r="E876" t="s">
        <v>2386</v>
      </c>
      <c r="F876" t="s">
        <v>32</v>
      </c>
      <c r="G876" t="s">
        <v>95</v>
      </c>
      <c r="H876" t="s">
        <v>2387</v>
      </c>
      <c r="I876" t="s">
        <v>89</v>
      </c>
      <c r="J876" t="s">
        <v>62</v>
      </c>
      <c r="K876" t="s">
        <v>1909</v>
      </c>
      <c r="L876" t="s">
        <v>212</v>
      </c>
      <c r="M876" t="s">
        <v>25</v>
      </c>
      <c r="N876" t="s">
        <v>107</v>
      </c>
      <c r="O876" t="s">
        <v>108</v>
      </c>
      <c r="P876" t="s">
        <v>68</v>
      </c>
      <c r="Q876">
        <v>251</v>
      </c>
      <c r="R876">
        <v>44.99</v>
      </c>
      <c r="S876">
        <v>11292.49</v>
      </c>
      <c r="T876">
        <v>44.78</v>
      </c>
      <c r="U876">
        <v>1</v>
      </c>
      <c r="V876">
        <v>1</v>
      </c>
      <c r="W876">
        <v>3163</v>
      </c>
      <c r="X876" t="s">
        <v>3741</v>
      </c>
      <c r="Y876" t="s">
        <v>36</v>
      </c>
      <c r="Z876">
        <v>1611.51</v>
      </c>
    </row>
    <row r="877" spans="1:26" x14ac:dyDescent="0.25">
      <c r="A877">
        <v>100875</v>
      </c>
      <c r="B877" s="3">
        <v>45446</v>
      </c>
      <c r="C877" s="3">
        <v>45448</v>
      </c>
      <c r="D877" s="3">
        <v>45464</v>
      </c>
      <c r="E877" t="s">
        <v>2388</v>
      </c>
      <c r="F877" t="s">
        <v>25</v>
      </c>
      <c r="G877" t="s">
        <v>59</v>
      </c>
      <c r="H877" t="s">
        <v>2389</v>
      </c>
      <c r="I877" t="s">
        <v>182</v>
      </c>
      <c r="J877" t="s">
        <v>80</v>
      </c>
      <c r="K877" t="s">
        <v>2390</v>
      </c>
      <c r="L877" t="s">
        <v>91</v>
      </c>
      <c r="M877" t="s">
        <v>32</v>
      </c>
      <c r="N877" t="s">
        <v>74</v>
      </c>
      <c r="O877" t="s">
        <v>75</v>
      </c>
      <c r="P877" t="s">
        <v>76</v>
      </c>
      <c r="Q877">
        <v>381</v>
      </c>
      <c r="R877">
        <v>303.83999999999997</v>
      </c>
      <c r="S877">
        <v>115763.04</v>
      </c>
      <c r="T877">
        <v>14.96</v>
      </c>
      <c r="U877">
        <v>16</v>
      </c>
      <c r="V877">
        <v>18</v>
      </c>
      <c r="W877">
        <v>161</v>
      </c>
      <c r="X877" t="s">
        <v>188</v>
      </c>
      <c r="Y877" t="s">
        <v>36</v>
      </c>
      <c r="Z877">
        <v>28482.23</v>
      </c>
    </row>
    <row r="878" spans="1:26" x14ac:dyDescent="0.25">
      <c r="A878">
        <v>100876</v>
      </c>
      <c r="B878" s="3">
        <v>45544</v>
      </c>
      <c r="C878" s="3">
        <v>45548</v>
      </c>
      <c r="D878" s="3">
        <v>45561</v>
      </c>
      <c r="E878" t="s">
        <v>2391</v>
      </c>
      <c r="F878" t="s">
        <v>65</v>
      </c>
      <c r="G878" t="s">
        <v>142</v>
      </c>
      <c r="H878" t="s">
        <v>2392</v>
      </c>
      <c r="I878" t="s">
        <v>116</v>
      </c>
      <c r="J878" t="s">
        <v>62</v>
      </c>
      <c r="K878" t="s">
        <v>2393</v>
      </c>
      <c r="L878" t="s">
        <v>122</v>
      </c>
      <c r="M878" t="s">
        <v>38</v>
      </c>
      <c r="N878" t="s">
        <v>102</v>
      </c>
      <c r="O878" t="s">
        <v>103</v>
      </c>
      <c r="P878" t="s">
        <v>76</v>
      </c>
      <c r="Q878">
        <v>331</v>
      </c>
      <c r="R878">
        <v>45.09</v>
      </c>
      <c r="S878">
        <v>14924.79</v>
      </c>
      <c r="T878">
        <v>14.05</v>
      </c>
      <c r="U878">
        <v>13</v>
      </c>
      <c r="V878">
        <v>17</v>
      </c>
      <c r="W878">
        <v>361</v>
      </c>
      <c r="X878" t="s">
        <v>188</v>
      </c>
      <c r="Y878" t="s">
        <v>36</v>
      </c>
      <c r="Z878">
        <v>1343.47</v>
      </c>
    </row>
    <row r="879" spans="1:26" x14ac:dyDescent="0.25">
      <c r="A879">
        <v>100877</v>
      </c>
      <c r="B879" s="3">
        <v>45917</v>
      </c>
      <c r="C879" s="3">
        <v>45918</v>
      </c>
      <c r="D879" s="3">
        <v>45930</v>
      </c>
      <c r="E879" t="s">
        <v>248</v>
      </c>
      <c r="F879" t="s">
        <v>25</v>
      </c>
      <c r="G879" t="s">
        <v>233</v>
      </c>
      <c r="H879" t="s">
        <v>2394</v>
      </c>
      <c r="I879" t="s">
        <v>51</v>
      </c>
      <c r="J879" t="s">
        <v>52</v>
      </c>
      <c r="K879" t="s">
        <v>714</v>
      </c>
      <c r="L879" t="s">
        <v>31</v>
      </c>
      <c r="M879" t="s">
        <v>38</v>
      </c>
      <c r="N879" t="s">
        <v>92</v>
      </c>
      <c r="O879" t="s">
        <v>93</v>
      </c>
      <c r="P879" t="s">
        <v>76</v>
      </c>
      <c r="Q879">
        <v>11</v>
      </c>
      <c r="R879">
        <v>65.959999999999994</v>
      </c>
      <c r="S879">
        <v>725.56</v>
      </c>
      <c r="T879">
        <v>8.2200000000000006</v>
      </c>
      <c r="U879">
        <v>12</v>
      </c>
      <c r="V879">
        <v>13</v>
      </c>
      <c r="W879">
        <v>1474</v>
      </c>
      <c r="X879" t="s">
        <v>188</v>
      </c>
      <c r="Y879" t="s">
        <v>36</v>
      </c>
      <c r="Z879">
        <v>78.38</v>
      </c>
    </row>
    <row r="880" spans="1:26" x14ac:dyDescent="0.25">
      <c r="A880">
        <v>100878</v>
      </c>
      <c r="B880" s="3">
        <v>45875</v>
      </c>
      <c r="C880" s="3">
        <v>45877</v>
      </c>
      <c r="D880" s="3">
        <v>45891</v>
      </c>
      <c r="E880" t="s">
        <v>2395</v>
      </c>
      <c r="F880" t="s">
        <v>65</v>
      </c>
      <c r="G880" t="s">
        <v>70</v>
      </c>
      <c r="H880" t="s">
        <v>2396</v>
      </c>
      <c r="I880" t="s">
        <v>230</v>
      </c>
      <c r="J880" t="s">
        <v>80</v>
      </c>
      <c r="K880" t="s">
        <v>913</v>
      </c>
      <c r="L880" t="s">
        <v>31</v>
      </c>
      <c r="M880" t="s">
        <v>65</v>
      </c>
      <c r="N880" t="s">
        <v>203</v>
      </c>
      <c r="O880" t="s">
        <v>204</v>
      </c>
      <c r="P880" t="s">
        <v>123</v>
      </c>
      <c r="Q880">
        <v>74</v>
      </c>
      <c r="R880">
        <v>45.25</v>
      </c>
      <c r="S880">
        <v>3348.5</v>
      </c>
      <c r="T880">
        <v>9.25</v>
      </c>
      <c r="U880">
        <v>14</v>
      </c>
      <c r="V880">
        <v>16</v>
      </c>
      <c r="W880">
        <v>1464</v>
      </c>
      <c r="X880" t="s">
        <v>188</v>
      </c>
      <c r="Y880" t="s">
        <v>36</v>
      </c>
      <c r="Z880">
        <v>647.34</v>
      </c>
    </row>
    <row r="881" spans="1:26" x14ac:dyDescent="0.25">
      <c r="A881">
        <v>100879</v>
      </c>
      <c r="B881" s="3">
        <v>45553</v>
      </c>
      <c r="C881" s="3">
        <v>45553</v>
      </c>
      <c r="D881" s="3">
        <v>45577</v>
      </c>
      <c r="E881" t="s">
        <v>2397</v>
      </c>
      <c r="F881" t="s">
        <v>38</v>
      </c>
      <c r="G881" t="s">
        <v>49</v>
      </c>
      <c r="H881" t="s">
        <v>2398</v>
      </c>
      <c r="I881" t="s">
        <v>198</v>
      </c>
      <c r="J881" t="s">
        <v>52</v>
      </c>
      <c r="K881" t="s">
        <v>2399</v>
      </c>
      <c r="L881" t="s">
        <v>91</v>
      </c>
      <c r="M881" t="s">
        <v>25</v>
      </c>
      <c r="N881" t="s">
        <v>151</v>
      </c>
      <c r="O881" t="s">
        <v>152</v>
      </c>
      <c r="P881" t="s">
        <v>76</v>
      </c>
      <c r="Q881">
        <v>22</v>
      </c>
      <c r="R881">
        <v>76.8</v>
      </c>
      <c r="S881">
        <v>1689.6</v>
      </c>
      <c r="T881">
        <v>8.42</v>
      </c>
      <c r="U881">
        <v>24</v>
      </c>
      <c r="V881">
        <v>24</v>
      </c>
      <c r="W881">
        <v>4105</v>
      </c>
      <c r="X881" t="s">
        <v>188</v>
      </c>
      <c r="Y881" t="s">
        <v>36</v>
      </c>
      <c r="Z881">
        <v>118.75</v>
      </c>
    </row>
    <row r="882" spans="1:26" x14ac:dyDescent="0.25">
      <c r="A882">
        <v>100880</v>
      </c>
      <c r="B882" s="3">
        <v>45812</v>
      </c>
      <c r="C882" s="3">
        <v>45813</v>
      </c>
      <c r="D882" s="3">
        <v>45823</v>
      </c>
      <c r="E882" t="s">
        <v>2400</v>
      </c>
      <c r="F882" t="s">
        <v>38</v>
      </c>
      <c r="G882" t="s">
        <v>217</v>
      </c>
      <c r="H882" t="s">
        <v>2401</v>
      </c>
      <c r="I882" t="s">
        <v>79</v>
      </c>
      <c r="J882" t="s">
        <v>80</v>
      </c>
      <c r="K882" t="s">
        <v>2402</v>
      </c>
      <c r="L882" t="s">
        <v>91</v>
      </c>
      <c r="M882" t="s">
        <v>54</v>
      </c>
      <c r="N882" t="s">
        <v>33</v>
      </c>
      <c r="O882" t="s">
        <v>34</v>
      </c>
      <c r="P882" t="s">
        <v>123</v>
      </c>
      <c r="Q882">
        <v>244</v>
      </c>
      <c r="R882">
        <v>124.03</v>
      </c>
      <c r="S882">
        <v>30263.32</v>
      </c>
      <c r="T882">
        <v>16.62</v>
      </c>
      <c r="U882">
        <v>10</v>
      </c>
      <c r="V882">
        <v>11</v>
      </c>
      <c r="W882">
        <v>1598</v>
      </c>
      <c r="X882" t="s">
        <v>188</v>
      </c>
      <c r="Y882" t="s">
        <v>36</v>
      </c>
      <c r="Z882">
        <v>8177.89</v>
      </c>
    </row>
    <row r="883" spans="1:26" x14ac:dyDescent="0.25">
      <c r="A883">
        <v>100881</v>
      </c>
      <c r="B883" s="3">
        <v>45646</v>
      </c>
      <c r="C883" s="3">
        <v>45649</v>
      </c>
      <c r="D883" s="3">
        <v>45657</v>
      </c>
      <c r="E883" t="s">
        <v>2403</v>
      </c>
      <c r="F883" t="s">
        <v>54</v>
      </c>
      <c r="G883" t="s">
        <v>193</v>
      </c>
      <c r="H883" t="s">
        <v>2404</v>
      </c>
      <c r="I883" t="s">
        <v>149</v>
      </c>
      <c r="J883" t="s">
        <v>42</v>
      </c>
      <c r="K883" t="s">
        <v>2405</v>
      </c>
      <c r="L883" t="s">
        <v>187</v>
      </c>
      <c r="M883" t="s">
        <v>54</v>
      </c>
      <c r="N883" t="s">
        <v>45</v>
      </c>
      <c r="O883" t="s">
        <v>46</v>
      </c>
      <c r="P883" t="s">
        <v>123</v>
      </c>
      <c r="Q883">
        <v>103</v>
      </c>
      <c r="R883">
        <v>209.84</v>
      </c>
      <c r="S883">
        <v>21613.52</v>
      </c>
      <c r="T883">
        <v>9.77</v>
      </c>
      <c r="U883">
        <v>8</v>
      </c>
      <c r="V883">
        <v>11</v>
      </c>
      <c r="W883">
        <v>900</v>
      </c>
      <c r="X883" t="s">
        <v>3742</v>
      </c>
      <c r="Y883" t="s">
        <v>57</v>
      </c>
      <c r="Z883">
        <v>4509.88</v>
      </c>
    </row>
    <row r="884" spans="1:26" x14ac:dyDescent="0.25">
      <c r="A884">
        <v>100882</v>
      </c>
      <c r="B884" s="3">
        <v>45919</v>
      </c>
      <c r="C884" s="3">
        <v>45919</v>
      </c>
      <c r="D884" s="3">
        <v>45938</v>
      </c>
      <c r="E884" t="s">
        <v>2406</v>
      </c>
      <c r="F884" t="s">
        <v>65</v>
      </c>
      <c r="G884" t="s">
        <v>154</v>
      </c>
      <c r="H884" t="s">
        <v>2407</v>
      </c>
      <c r="I884" t="s">
        <v>89</v>
      </c>
      <c r="J884" t="s">
        <v>62</v>
      </c>
      <c r="K884" t="s">
        <v>1013</v>
      </c>
      <c r="L884" t="s">
        <v>187</v>
      </c>
      <c r="M884" t="s">
        <v>54</v>
      </c>
      <c r="N884" t="s">
        <v>107</v>
      </c>
      <c r="O884" t="s">
        <v>108</v>
      </c>
      <c r="P884" t="s">
        <v>76</v>
      </c>
      <c r="Q884">
        <v>344</v>
      </c>
      <c r="R884">
        <v>25.51</v>
      </c>
      <c r="S884">
        <v>8775.44</v>
      </c>
      <c r="T884">
        <v>14.29</v>
      </c>
      <c r="U884">
        <v>19</v>
      </c>
      <c r="V884">
        <v>19</v>
      </c>
      <c r="W884">
        <v>2373</v>
      </c>
      <c r="X884" t="s">
        <v>188</v>
      </c>
      <c r="Y884" t="s">
        <v>36</v>
      </c>
      <c r="Z884">
        <v>547.83000000000004</v>
      </c>
    </row>
    <row r="885" spans="1:26" x14ac:dyDescent="0.25">
      <c r="A885">
        <v>100883</v>
      </c>
      <c r="B885" s="3">
        <v>45314</v>
      </c>
      <c r="C885" s="3">
        <v>45317</v>
      </c>
      <c r="D885" s="3">
        <v>45340</v>
      </c>
      <c r="E885" t="s">
        <v>2408</v>
      </c>
      <c r="F885" t="s">
        <v>54</v>
      </c>
      <c r="G885" t="s">
        <v>225</v>
      </c>
      <c r="H885" t="s">
        <v>2409</v>
      </c>
      <c r="I885" t="s">
        <v>198</v>
      </c>
      <c r="J885" t="s">
        <v>52</v>
      </c>
      <c r="K885" t="s">
        <v>948</v>
      </c>
      <c r="L885" t="s">
        <v>113</v>
      </c>
      <c r="M885" t="s">
        <v>54</v>
      </c>
      <c r="N885" t="s">
        <v>66</v>
      </c>
      <c r="O885" t="s">
        <v>67</v>
      </c>
      <c r="P885" t="s">
        <v>76</v>
      </c>
      <c r="Q885">
        <v>143</v>
      </c>
      <c r="R885">
        <v>80.42</v>
      </c>
      <c r="S885">
        <v>11500.06</v>
      </c>
      <c r="T885">
        <v>7.87</v>
      </c>
      <c r="U885">
        <v>23</v>
      </c>
      <c r="V885">
        <v>26</v>
      </c>
      <c r="W885">
        <v>1222</v>
      </c>
      <c r="X885" t="s">
        <v>188</v>
      </c>
      <c r="Y885" t="s">
        <v>36</v>
      </c>
      <c r="Z885">
        <v>2259.65</v>
      </c>
    </row>
    <row r="886" spans="1:26" x14ac:dyDescent="0.25">
      <c r="A886">
        <v>100884</v>
      </c>
      <c r="B886" s="3">
        <v>45319</v>
      </c>
      <c r="C886" s="3">
        <v>45322</v>
      </c>
      <c r="D886" s="3">
        <v>45331</v>
      </c>
      <c r="E886" t="s">
        <v>2410</v>
      </c>
      <c r="F886" t="s">
        <v>32</v>
      </c>
      <c r="G886" t="s">
        <v>180</v>
      </c>
      <c r="H886" t="s">
        <v>2411</v>
      </c>
      <c r="I886" t="s">
        <v>177</v>
      </c>
      <c r="J886" t="s">
        <v>29</v>
      </c>
      <c r="K886" t="s">
        <v>562</v>
      </c>
      <c r="L886" t="s">
        <v>187</v>
      </c>
      <c r="M886" t="s">
        <v>25</v>
      </c>
      <c r="N886" t="s">
        <v>203</v>
      </c>
      <c r="O886" t="s">
        <v>204</v>
      </c>
      <c r="P886" t="s">
        <v>123</v>
      </c>
      <c r="Q886">
        <v>289</v>
      </c>
      <c r="R886">
        <v>40.72</v>
      </c>
      <c r="S886">
        <v>11768.08</v>
      </c>
      <c r="T886">
        <v>17.71</v>
      </c>
      <c r="U886">
        <v>9</v>
      </c>
      <c r="V886">
        <v>12</v>
      </c>
      <c r="W886">
        <v>1459</v>
      </c>
      <c r="X886" t="s">
        <v>188</v>
      </c>
      <c r="Y886" t="s">
        <v>36</v>
      </c>
      <c r="Z886">
        <v>2863.6</v>
      </c>
    </row>
    <row r="887" spans="1:26" x14ac:dyDescent="0.25">
      <c r="A887">
        <v>100885</v>
      </c>
      <c r="B887" s="3">
        <v>45719</v>
      </c>
      <c r="C887" s="3">
        <v>45723</v>
      </c>
      <c r="D887" s="3">
        <v>45725</v>
      </c>
      <c r="E887" t="s">
        <v>2412</v>
      </c>
      <c r="F887" t="s">
        <v>38</v>
      </c>
      <c r="G887" t="s">
        <v>217</v>
      </c>
      <c r="H887" t="s">
        <v>2413</v>
      </c>
      <c r="I887" t="s">
        <v>177</v>
      </c>
      <c r="J887" t="s">
        <v>29</v>
      </c>
      <c r="K887" t="s">
        <v>195</v>
      </c>
      <c r="L887" t="s">
        <v>98</v>
      </c>
      <c r="M887" t="s">
        <v>38</v>
      </c>
      <c r="N887" t="s">
        <v>102</v>
      </c>
      <c r="O887" t="s">
        <v>103</v>
      </c>
      <c r="P887" t="s">
        <v>68</v>
      </c>
      <c r="Q887">
        <v>222</v>
      </c>
      <c r="R887">
        <v>31.21</v>
      </c>
      <c r="S887">
        <v>6928.62</v>
      </c>
      <c r="T887">
        <v>31.78</v>
      </c>
      <c r="U887">
        <v>2</v>
      </c>
      <c r="V887">
        <v>6</v>
      </c>
      <c r="W887">
        <v>2637</v>
      </c>
      <c r="X887" t="s">
        <v>3741</v>
      </c>
      <c r="Y887" t="s">
        <v>36</v>
      </c>
      <c r="Z887">
        <v>1252.93</v>
      </c>
    </row>
    <row r="888" spans="1:26" x14ac:dyDescent="0.25">
      <c r="A888">
        <v>100886</v>
      </c>
      <c r="B888" s="3">
        <v>45536</v>
      </c>
      <c r="C888" s="3">
        <v>45536</v>
      </c>
      <c r="D888" s="3">
        <v>45552</v>
      </c>
      <c r="E888" t="s">
        <v>2414</v>
      </c>
      <c r="F888" t="s">
        <v>25</v>
      </c>
      <c r="G888" t="s">
        <v>221</v>
      </c>
      <c r="H888" t="s">
        <v>2415</v>
      </c>
      <c r="I888" t="s">
        <v>246</v>
      </c>
      <c r="J888" t="s">
        <v>29</v>
      </c>
      <c r="K888" t="s">
        <v>2416</v>
      </c>
      <c r="L888" t="s">
        <v>118</v>
      </c>
      <c r="M888" t="s">
        <v>65</v>
      </c>
      <c r="N888" t="s">
        <v>151</v>
      </c>
      <c r="O888" t="s">
        <v>152</v>
      </c>
      <c r="P888" t="s">
        <v>76</v>
      </c>
      <c r="Q888">
        <v>87</v>
      </c>
      <c r="R888">
        <v>56.47</v>
      </c>
      <c r="S888">
        <v>4912.8900000000003</v>
      </c>
      <c r="T888">
        <v>9.6</v>
      </c>
      <c r="U888">
        <v>16</v>
      </c>
      <c r="V888">
        <v>16</v>
      </c>
      <c r="W888">
        <v>1531</v>
      </c>
      <c r="X888" t="s">
        <v>188</v>
      </c>
      <c r="Y888" t="s">
        <v>36</v>
      </c>
      <c r="Z888">
        <v>888.54</v>
      </c>
    </row>
    <row r="889" spans="1:26" x14ac:dyDescent="0.25">
      <c r="A889">
        <v>100887</v>
      </c>
      <c r="B889" s="3">
        <v>45754</v>
      </c>
      <c r="C889" s="3">
        <v>45757</v>
      </c>
      <c r="D889" s="3">
        <v>45763</v>
      </c>
      <c r="E889" t="s">
        <v>2417</v>
      </c>
      <c r="F889" t="s">
        <v>54</v>
      </c>
      <c r="G889" t="s">
        <v>165</v>
      </c>
      <c r="H889" t="s">
        <v>2418</v>
      </c>
      <c r="I889" t="s">
        <v>79</v>
      </c>
      <c r="J889" t="s">
        <v>80</v>
      </c>
      <c r="K889" t="s">
        <v>2131</v>
      </c>
      <c r="L889" t="s">
        <v>187</v>
      </c>
      <c r="M889" t="s">
        <v>65</v>
      </c>
      <c r="N889" t="s">
        <v>74</v>
      </c>
      <c r="O889" t="s">
        <v>75</v>
      </c>
      <c r="P889" t="s">
        <v>35</v>
      </c>
      <c r="Q889">
        <v>417</v>
      </c>
      <c r="R889">
        <v>143.41999999999999</v>
      </c>
      <c r="S889">
        <v>59806.14</v>
      </c>
      <c r="T889">
        <v>24.3</v>
      </c>
      <c r="U889">
        <v>6</v>
      </c>
      <c r="V889">
        <v>9</v>
      </c>
      <c r="W889">
        <v>900</v>
      </c>
      <c r="X889" t="s">
        <v>188</v>
      </c>
      <c r="Y889" t="s">
        <v>36</v>
      </c>
      <c r="Z889">
        <v>9545.23</v>
      </c>
    </row>
    <row r="890" spans="1:26" x14ac:dyDescent="0.25">
      <c r="A890">
        <v>100888</v>
      </c>
      <c r="B890" s="3">
        <v>45887</v>
      </c>
      <c r="C890" s="3">
        <v>45892</v>
      </c>
      <c r="D890" s="3">
        <v>45915</v>
      </c>
      <c r="E890" t="s">
        <v>2419</v>
      </c>
      <c r="F890" t="s">
        <v>38</v>
      </c>
      <c r="G890" t="s">
        <v>217</v>
      </c>
      <c r="H890" t="s">
        <v>2420</v>
      </c>
      <c r="I890" t="s">
        <v>85</v>
      </c>
      <c r="J890" t="s">
        <v>52</v>
      </c>
      <c r="K890" t="s">
        <v>1752</v>
      </c>
      <c r="L890" t="s">
        <v>122</v>
      </c>
      <c r="M890" t="s">
        <v>65</v>
      </c>
      <c r="N890" t="s">
        <v>45</v>
      </c>
      <c r="O890" t="s">
        <v>46</v>
      </c>
      <c r="P890" t="s">
        <v>76</v>
      </c>
      <c r="Q890">
        <v>66</v>
      </c>
      <c r="R890">
        <v>65.790000000000006</v>
      </c>
      <c r="S890">
        <v>4342.1400000000003</v>
      </c>
      <c r="T890">
        <v>9.2200000000000006</v>
      </c>
      <c r="U890">
        <v>23</v>
      </c>
      <c r="V890">
        <v>28</v>
      </c>
      <c r="W890">
        <v>4311</v>
      </c>
      <c r="X890" t="s">
        <v>188</v>
      </c>
      <c r="Y890" t="s">
        <v>36</v>
      </c>
      <c r="Z890">
        <v>588.82000000000005</v>
      </c>
    </row>
    <row r="891" spans="1:26" x14ac:dyDescent="0.25">
      <c r="A891">
        <v>100889</v>
      </c>
      <c r="B891" s="3">
        <v>45359</v>
      </c>
      <c r="C891" s="3">
        <v>45359</v>
      </c>
      <c r="D891" s="3">
        <v>45367</v>
      </c>
      <c r="E891" t="s">
        <v>2421</v>
      </c>
      <c r="F891" t="s">
        <v>54</v>
      </c>
      <c r="G891" t="s">
        <v>225</v>
      </c>
      <c r="H891" t="s">
        <v>2422</v>
      </c>
      <c r="I891" t="s">
        <v>191</v>
      </c>
      <c r="J891" t="s">
        <v>62</v>
      </c>
      <c r="K891" t="s">
        <v>2107</v>
      </c>
      <c r="L891" t="s">
        <v>64</v>
      </c>
      <c r="M891" t="s">
        <v>65</v>
      </c>
      <c r="N891" t="s">
        <v>107</v>
      </c>
      <c r="O891" t="s">
        <v>108</v>
      </c>
      <c r="P891" t="s">
        <v>35</v>
      </c>
      <c r="Q891">
        <v>34</v>
      </c>
      <c r="R891">
        <v>8.26</v>
      </c>
      <c r="S891">
        <v>280.83999999999997</v>
      </c>
      <c r="T891">
        <v>13.44</v>
      </c>
      <c r="U891">
        <v>8</v>
      </c>
      <c r="V891">
        <v>8</v>
      </c>
      <c r="W891">
        <v>1425</v>
      </c>
      <c r="X891" t="s">
        <v>188</v>
      </c>
      <c r="Y891" t="s">
        <v>36</v>
      </c>
      <c r="Z891">
        <v>6.32</v>
      </c>
    </row>
    <row r="892" spans="1:26" x14ac:dyDescent="0.25">
      <c r="A892">
        <v>100890</v>
      </c>
      <c r="B892" s="3">
        <v>45411</v>
      </c>
      <c r="C892" s="3">
        <v>45413</v>
      </c>
      <c r="D892" s="3">
        <v>45423</v>
      </c>
      <c r="E892" t="s">
        <v>2423</v>
      </c>
      <c r="F892" t="s">
        <v>65</v>
      </c>
      <c r="G892" t="s">
        <v>70</v>
      </c>
      <c r="H892" t="s">
        <v>2424</v>
      </c>
      <c r="I892" t="s">
        <v>139</v>
      </c>
      <c r="J892" t="s">
        <v>42</v>
      </c>
      <c r="K892" t="s">
        <v>2425</v>
      </c>
      <c r="L892" t="s">
        <v>64</v>
      </c>
      <c r="M892" t="s">
        <v>54</v>
      </c>
      <c r="N892" t="s">
        <v>92</v>
      </c>
      <c r="O892" t="s">
        <v>93</v>
      </c>
      <c r="P892" t="s">
        <v>123</v>
      </c>
      <c r="Q892">
        <v>47</v>
      </c>
      <c r="R892">
        <v>234.75</v>
      </c>
      <c r="S892">
        <v>11033.25</v>
      </c>
      <c r="T892">
        <v>11.83</v>
      </c>
      <c r="U892">
        <v>10</v>
      </c>
      <c r="V892">
        <v>12</v>
      </c>
      <c r="W892">
        <v>1613</v>
      </c>
      <c r="X892" t="s">
        <v>188</v>
      </c>
      <c r="Y892" t="s">
        <v>36</v>
      </c>
      <c r="Z892">
        <v>1807.38</v>
      </c>
    </row>
    <row r="893" spans="1:26" x14ac:dyDescent="0.25">
      <c r="A893">
        <v>100891</v>
      </c>
      <c r="B893" s="3">
        <v>45900</v>
      </c>
      <c r="C893" s="3">
        <v>45905</v>
      </c>
      <c r="D893" s="3">
        <v>45915</v>
      </c>
      <c r="E893" t="s">
        <v>2426</v>
      </c>
      <c r="F893" t="s">
        <v>54</v>
      </c>
      <c r="G893" t="s">
        <v>225</v>
      </c>
      <c r="H893" t="s">
        <v>1958</v>
      </c>
      <c r="I893" t="s">
        <v>134</v>
      </c>
      <c r="J893" t="s">
        <v>52</v>
      </c>
      <c r="K893" t="s">
        <v>2427</v>
      </c>
      <c r="L893" t="s">
        <v>113</v>
      </c>
      <c r="M893" t="s">
        <v>38</v>
      </c>
      <c r="N893" t="s">
        <v>74</v>
      </c>
      <c r="O893" t="s">
        <v>75</v>
      </c>
      <c r="P893" t="s">
        <v>35</v>
      </c>
      <c r="Q893">
        <v>56</v>
      </c>
      <c r="R893">
        <v>59.91</v>
      </c>
      <c r="S893">
        <v>3354.96</v>
      </c>
      <c r="T893">
        <v>14.06</v>
      </c>
      <c r="U893">
        <v>10</v>
      </c>
      <c r="V893">
        <v>15</v>
      </c>
      <c r="W893">
        <v>1380</v>
      </c>
      <c r="X893" t="s">
        <v>188</v>
      </c>
      <c r="Y893" t="s">
        <v>36</v>
      </c>
      <c r="Z893">
        <v>242.43</v>
      </c>
    </row>
    <row r="894" spans="1:26" x14ac:dyDescent="0.25">
      <c r="A894">
        <v>100892</v>
      </c>
      <c r="B894" s="3">
        <v>45813</v>
      </c>
      <c r="C894" s="3">
        <v>45818</v>
      </c>
      <c r="D894" s="3">
        <v>45828</v>
      </c>
      <c r="E894" t="s">
        <v>2428</v>
      </c>
      <c r="F894" t="s">
        <v>32</v>
      </c>
      <c r="G894" t="s">
        <v>137</v>
      </c>
      <c r="H894" t="s">
        <v>2429</v>
      </c>
      <c r="I894" t="s">
        <v>41</v>
      </c>
      <c r="J894" t="s">
        <v>42</v>
      </c>
      <c r="K894" t="s">
        <v>183</v>
      </c>
      <c r="L894" t="s">
        <v>91</v>
      </c>
      <c r="M894" t="s">
        <v>32</v>
      </c>
      <c r="N894" t="s">
        <v>107</v>
      </c>
      <c r="O894" t="s">
        <v>108</v>
      </c>
      <c r="P894" t="s">
        <v>35</v>
      </c>
      <c r="Q894">
        <v>350</v>
      </c>
      <c r="R894">
        <v>440.49</v>
      </c>
      <c r="S894">
        <v>154171.5</v>
      </c>
      <c r="T894">
        <v>16.59</v>
      </c>
      <c r="U894">
        <v>10</v>
      </c>
      <c r="V894">
        <v>15</v>
      </c>
      <c r="W894">
        <v>749</v>
      </c>
      <c r="X894" t="s">
        <v>188</v>
      </c>
      <c r="Y894" t="s">
        <v>36</v>
      </c>
      <c r="Z894">
        <v>23047.41</v>
      </c>
    </row>
    <row r="895" spans="1:26" x14ac:dyDescent="0.25">
      <c r="A895">
        <v>100893</v>
      </c>
      <c r="B895" s="3">
        <v>45440</v>
      </c>
      <c r="C895" s="3">
        <v>45443</v>
      </c>
      <c r="D895" s="3">
        <v>45448</v>
      </c>
      <c r="E895" t="s">
        <v>2430</v>
      </c>
      <c r="F895" t="s">
        <v>25</v>
      </c>
      <c r="G895" t="s">
        <v>244</v>
      </c>
      <c r="H895" t="s">
        <v>2431</v>
      </c>
      <c r="I895" t="s">
        <v>246</v>
      </c>
      <c r="J895" t="s">
        <v>29</v>
      </c>
      <c r="K895" t="s">
        <v>1408</v>
      </c>
      <c r="L895" t="s">
        <v>122</v>
      </c>
      <c r="M895" t="s">
        <v>54</v>
      </c>
      <c r="N895" t="s">
        <v>66</v>
      </c>
      <c r="O895" t="s">
        <v>67</v>
      </c>
      <c r="P895" t="s">
        <v>35</v>
      </c>
      <c r="Q895">
        <v>233</v>
      </c>
      <c r="R895">
        <v>41.55</v>
      </c>
      <c r="S895">
        <v>9681.15</v>
      </c>
      <c r="T895">
        <v>19.079999999999998</v>
      </c>
      <c r="U895">
        <v>5</v>
      </c>
      <c r="V895">
        <v>8</v>
      </c>
      <c r="W895">
        <v>1723</v>
      </c>
      <c r="X895" t="s">
        <v>188</v>
      </c>
      <c r="Y895" t="s">
        <v>36</v>
      </c>
      <c r="Z895">
        <v>1327.89</v>
      </c>
    </row>
    <row r="896" spans="1:26" x14ac:dyDescent="0.25">
      <c r="A896">
        <v>100894</v>
      </c>
      <c r="B896" s="3">
        <v>45642</v>
      </c>
      <c r="C896" s="3">
        <v>45643</v>
      </c>
      <c r="D896" s="3">
        <v>45659</v>
      </c>
      <c r="E896" t="s">
        <v>2432</v>
      </c>
      <c r="F896" t="s">
        <v>38</v>
      </c>
      <c r="G896" t="s">
        <v>217</v>
      </c>
      <c r="H896" t="s">
        <v>2433</v>
      </c>
      <c r="I896" t="s">
        <v>177</v>
      </c>
      <c r="J896" t="s">
        <v>29</v>
      </c>
      <c r="K896" t="s">
        <v>2434</v>
      </c>
      <c r="L896" t="s">
        <v>118</v>
      </c>
      <c r="M896" t="s">
        <v>32</v>
      </c>
      <c r="N896" t="s">
        <v>92</v>
      </c>
      <c r="O896" t="s">
        <v>93</v>
      </c>
      <c r="P896" t="s">
        <v>76</v>
      </c>
      <c r="Q896">
        <v>312</v>
      </c>
      <c r="R896">
        <v>105.15</v>
      </c>
      <c r="S896">
        <v>32806.800000000003</v>
      </c>
      <c r="T896">
        <v>13.71</v>
      </c>
      <c r="U896">
        <v>16</v>
      </c>
      <c r="V896">
        <v>17</v>
      </c>
      <c r="W896">
        <v>1148</v>
      </c>
      <c r="X896" t="s">
        <v>188</v>
      </c>
      <c r="Y896" t="s">
        <v>36</v>
      </c>
      <c r="Z896">
        <v>5161.01</v>
      </c>
    </row>
    <row r="897" spans="1:26" x14ac:dyDescent="0.25">
      <c r="A897">
        <v>100895</v>
      </c>
      <c r="B897" s="3">
        <v>45327</v>
      </c>
      <c r="C897" s="3">
        <v>45331</v>
      </c>
      <c r="D897" s="3">
        <v>45333</v>
      </c>
      <c r="E897" t="s">
        <v>2435</v>
      </c>
      <c r="F897" t="s">
        <v>54</v>
      </c>
      <c r="G897" t="s">
        <v>129</v>
      </c>
      <c r="H897" t="s">
        <v>2436</v>
      </c>
      <c r="I897" t="s">
        <v>139</v>
      </c>
      <c r="J897" t="s">
        <v>42</v>
      </c>
      <c r="K897" t="s">
        <v>2437</v>
      </c>
      <c r="L897" t="s">
        <v>31</v>
      </c>
      <c r="M897" t="s">
        <v>25</v>
      </c>
      <c r="N897" t="s">
        <v>151</v>
      </c>
      <c r="O897" t="s">
        <v>152</v>
      </c>
      <c r="P897" t="s">
        <v>68</v>
      </c>
      <c r="Q897">
        <v>399</v>
      </c>
      <c r="R897">
        <v>133.09</v>
      </c>
      <c r="S897">
        <v>53102.91</v>
      </c>
      <c r="T897">
        <v>54.37</v>
      </c>
      <c r="U897">
        <v>2</v>
      </c>
      <c r="V897">
        <v>6</v>
      </c>
      <c r="W897">
        <v>599</v>
      </c>
      <c r="X897" t="s">
        <v>3741</v>
      </c>
      <c r="Y897" t="s">
        <v>36</v>
      </c>
      <c r="Z897">
        <v>9737.99</v>
      </c>
    </row>
    <row r="898" spans="1:26" x14ac:dyDescent="0.25">
      <c r="A898">
        <v>100896</v>
      </c>
      <c r="B898" s="3">
        <v>45329</v>
      </c>
      <c r="C898" s="3">
        <v>45333</v>
      </c>
      <c r="D898" s="3">
        <v>45346</v>
      </c>
      <c r="E898" t="s">
        <v>2438</v>
      </c>
      <c r="F898" t="s">
        <v>38</v>
      </c>
      <c r="G898" t="s">
        <v>83</v>
      </c>
      <c r="H898" t="s">
        <v>2439</v>
      </c>
      <c r="I898" t="s">
        <v>79</v>
      </c>
      <c r="J898" t="s">
        <v>80</v>
      </c>
      <c r="K898" t="s">
        <v>1826</v>
      </c>
      <c r="L898" t="s">
        <v>64</v>
      </c>
      <c r="M898" t="s">
        <v>65</v>
      </c>
      <c r="N898" t="s">
        <v>92</v>
      </c>
      <c r="O898" t="s">
        <v>93</v>
      </c>
      <c r="P898" t="s">
        <v>76</v>
      </c>
      <c r="Q898">
        <v>182</v>
      </c>
      <c r="R898">
        <v>349.8</v>
      </c>
      <c r="S898">
        <v>63663.6</v>
      </c>
      <c r="T898">
        <v>11.34</v>
      </c>
      <c r="U898">
        <v>13</v>
      </c>
      <c r="V898">
        <v>17</v>
      </c>
      <c r="W898">
        <v>828</v>
      </c>
      <c r="X898" t="s">
        <v>188</v>
      </c>
      <c r="Y898" t="s">
        <v>36</v>
      </c>
      <c r="Z898">
        <v>15099.45</v>
      </c>
    </row>
    <row r="899" spans="1:26" x14ac:dyDescent="0.25">
      <c r="A899">
        <v>100897</v>
      </c>
      <c r="B899" s="3">
        <v>45829</v>
      </c>
      <c r="C899" s="3">
        <v>45831</v>
      </c>
      <c r="D899" s="3">
        <v>45838</v>
      </c>
      <c r="E899" t="s">
        <v>2440</v>
      </c>
      <c r="F899" t="s">
        <v>54</v>
      </c>
      <c r="G899" t="s">
        <v>165</v>
      </c>
      <c r="H899" t="s">
        <v>2441</v>
      </c>
      <c r="I899" t="s">
        <v>85</v>
      </c>
      <c r="J899" t="s">
        <v>52</v>
      </c>
      <c r="K899" t="s">
        <v>1474</v>
      </c>
      <c r="L899" t="s">
        <v>98</v>
      </c>
      <c r="M899" t="s">
        <v>32</v>
      </c>
      <c r="N899" t="s">
        <v>107</v>
      </c>
      <c r="O899" t="s">
        <v>108</v>
      </c>
      <c r="P899" t="s">
        <v>123</v>
      </c>
      <c r="Q899">
        <v>105</v>
      </c>
      <c r="R899">
        <v>36.18</v>
      </c>
      <c r="S899">
        <v>3798.9</v>
      </c>
      <c r="T899">
        <v>13.24</v>
      </c>
      <c r="U899">
        <v>7</v>
      </c>
      <c r="V899">
        <v>9</v>
      </c>
      <c r="W899">
        <v>2085</v>
      </c>
      <c r="X899" t="s">
        <v>188</v>
      </c>
      <c r="Y899" t="s">
        <v>36</v>
      </c>
      <c r="Z899">
        <v>587.05999999999995</v>
      </c>
    </row>
    <row r="900" spans="1:26" x14ac:dyDescent="0.25">
      <c r="A900">
        <v>100898</v>
      </c>
      <c r="B900" s="3">
        <v>45828</v>
      </c>
      <c r="C900" s="3">
        <v>45833</v>
      </c>
      <c r="D900" s="3">
        <v>45844</v>
      </c>
      <c r="E900" t="s">
        <v>996</v>
      </c>
      <c r="F900" t="s">
        <v>54</v>
      </c>
      <c r="G900" t="s">
        <v>165</v>
      </c>
      <c r="H900" t="s">
        <v>2442</v>
      </c>
      <c r="I900" t="s">
        <v>246</v>
      </c>
      <c r="J900" t="s">
        <v>29</v>
      </c>
      <c r="K900" t="s">
        <v>1374</v>
      </c>
      <c r="L900" t="s">
        <v>122</v>
      </c>
      <c r="M900" t="s">
        <v>65</v>
      </c>
      <c r="N900" t="s">
        <v>107</v>
      </c>
      <c r="O900" t="s">
        <v>108</v>
      </c>
      <c r="P900" t="s">
        <v>76</v>
      </c>
      <c r="Q900">
        <v>231</v>
      </c>
      <c r="R900">
        <v>41.87</v>
      </c>
      <c r="S900">
        <v>9671.9699999999993</v>
      </c>
      <c r="T900">
        <v>12.23</v>
      </c>
      <c r="U900">
        <v>11</v>
      </c>
      <c r="V900">
        <v>16</v>
      </c>
      <c r="W900">
        <v>1667</v>
      </c>
      <c r="X900" t="s">
        <v>188</v>
      </c>
      <c r="Y900" t="s">
        <v>36</v>
      </c>
      <c r="Z900">
        <v>994.11</v>
      </c>
    </row>
    <row r="901" spans="1:26" x14ac:dyDescent="0.25">
      <c r="A901">
        <v>100899</v>
      </c>
      <c r="B901" s="3">
        <v>45433</v>
      </c>
      <c r="C901" s="3">
        <v>45437</v>
      </c>
      <c r="D901" s="3">
        <v>45456</v>
      </c>
      <c r="E901" t="s">
        <v>2443</v>
      </c>
      <c r="F901" t="s">
        <v>32</v>
      </c>
      <c r="G901" t="s">
        <v>110</v>
      </c>
      <c r="H901" t="s">
        <v>2444</v>
      </c>
      <c r="I901" t="s">
        <v>116</v>
      </c>
      <c r="J901" t="s">
        <v>62</v>
      </c>
      <c r="K901" t="s">
        <v>1121</v>
      </c>
      <c r="L901" t="s">
        <v>98</v>
      </c>
      <c r="M901" t="s">
        <v>32</v>
      </c>
      <c r="N901" t="s">
        <v>66</v>
      </c>
      <c r="O901" t="s">
        <v>67</v>
      </c>
      <c r="P901" t="s">
        <v>123</v>
      </c>
      <c r="Q901">
        <v>241</v>
      </c>
      <c r="R901">
        <v>21.22</v>
      </c>
      <c r="S901">
        <v>5114.0200000000004</v>
      </c>
      <c r="T901">
        <v>12.26</v>
      </c>
      <c r="U901">
        <v>19</v>
      </c>
      <c r="V901">
        <v>23</v>
      </c>
      <c r="W901">
        <v>830</v>
      </c>
      <c r="X901" t="s">
        <v>3742</v>
      </c>
      <c r="Y901" t="s">
        <v>188</v>
      </c>
      <c r="Z901">
        <v>623.79</v>
      </c>
    </row>
    <row r="902" spans="1:26" x14ac:dyDescent="0.25">
      <c r="A902">
        <v>100900</v>
      </c>
      <c r="B902" s="3">
        <v>45987</v>
      </c>
      <c r="C902" s="3">
        <v>45987</v>
      </c>
      <c r="D902" s="3">
        <v>45999</v>
      </c>
      <c r="E902" t="s">
        <v>393</v>
      </c>
      <c r="F902" t="s">
        <v>32</v>
      </c>
      <c r="G902" t="s">
        <v>273</v>
      </c>
      <c r="H902" t="s">
        <v>2445</v>
      </c>
      <c r="I902" t="s">
        <v>41</v>
      </c>
      <c r="J902" t="s">
        <v>42</v>
      </c>
      <c r="K902" t="s">
        <v>319</v>
      </c>
      <c r="L902" t="s">
        <v>64</v>
      </c>
      <c r="M902" t="s">
        <v>38</v>
      </c>
      <c r="N902" t="s">
        <v>66</v>
      </c>
      <c r="O902" t="s">
        <v>67</v>
      </c>
      <c r="P902" t="s">
        <v>76</v>
      </c>
      <c r="Q902">
        <v>90</v>
      </c>
      <c r="R902">
        <v>187.43</v>
      </c>
      <c r="S902">
        <v>16868.7</v>
      </c>
      <c r="T902">
        <v>9.66</v>
      </c>
      <c r="U902">
        <v>12</v>
      </c>
      <c r="V902">
        <v>12</v>
      </c>
      <c r="W902">
        <v>836</v>
      </c>
      <c r="X902" t="s">
        <v>188</v>
      </c>
      <c r="Y902" t="s">
        <v>36</v>
      </c>
      <c r="Z902">
        <v>1933.81</v>
      </c>
    </row>
    <row r="903" spans="1:26" x14ac:dyDescent="0.25">
      <c r="A903">
        <v>100901</v>
      </c>
      <c r="B903" s="3">
        <v>45960</v>
      </c>
      <c r="C903" s="3">
        <v>45962</v>
      </c>
      <c r="D903" s="3">
        <v>45974</v>
      </c>
      <c r="E903" t="s">
        <v>614</v>
      </c>
      <c r="F903" t="s">
        <v>65</v>
      </c>
      <c r="G903" t="s">
        <v>154</v>
      </c>
      <c r="H903" t="s">
        <v>2446</v>
      </c>
      <c r="I903" t="s">
        <v>191</v>
      </c>
      <c r="J903" t="s">
        <v>62</v>
      </c>
      <c r="K903" t="s">
        <v>2447</v>
      </c>
      <c r="L903" t="s">
        <v>118</v>
      </c>
      <c r="M903" t="s">
        <v>25</v>
      </c>
      <c r="N903" t="s">
        <v>74</v>
      </c>
      <c r="O903" t="s">
        <v>75</v>
      </c>
      <c r="P903" t="s">
        <v>123</v>
      </c>
      <c r="Q903">
        <v>213</v>
      </c>
      <c r="R903">
        <v>33.24</v>
      </c>
      <c r="S903">
        <v>7080.12</v>
      </c>
      <c r="T903">
        <v>15.87</v>
      </c>
      <c r="U903">
        <v>12</v>
      </c>
      <c r="V903">
        <v>14</v>
      </c>
      <c r="W903">
        <v>3013</v>
      </c>
      <c r="X903" t="s">
        <v>3742</v>
      </c>
      <c r="Y903" t="s">
        <v>188</v>
      </c>
      <c r="Z903">
        <v>361.68</v>
      </c>
    </row>
    <row r="904" spans="1:26" x14ac:dyDescent="0.25">
      <c r="A904">
        <v>100902</v>
      </c>
      <c r="B904" s="3">
        <v>45947</v>
      </c>
      <c r="C904" s="3">
        <v>45951</v>
      </c>
      <c r="D904" s="3">
        <v>45954</v>
      </c>
      <c r="E904" t="s">
        <v>2448</v>
      </c>
      <c r="F904" t="s">
        <v>32</v>
      </c>
      <c r="G904" t="s">
        <v>95</v>
      </c>
      <c r="H904" t="s">
        <v>2449</v>
      </c>
      <c r="I904" t="s">
        <v>79</v>
      </c>
      <c r="J904" t="s">
        <v>80</v>
      </c>
      <c r="K904" t="s">
        <v>501</v>
      </c>
      <c r="L904" t="s">
        <v>122</v>
      </c>
      <c r="M904" t="s">
        <v>38</v>
      </c>
      <c r="N904" t="s">
        <v>107</v>
      </c>
      <c r="O904" t="s">
        <v>108</v>
      </c>
      <c r="P904" t="s">
        <v>68</v>
      </c>
      <c r="Q904">
        <v>159</v>
      </c>
      <c r="R904">
        <v>132.38999999999999</v>
      </c>
      <c r="S904">
        <v>21050.01</v>
      </c>
      <c r="T904">
        <v>38.82</v>
      </c>
      <c r="U904">
        <v>3</v>
      </c>
      <c r="V904">
        <v>7</v>
      </c>
      <c r="W904">
        <v>1132</v>
      </c>
      <c r="X904" t="s">
        <v>3741</v>
      </c>
      <c r="Y904" t="s">
        <v>36</v>
      </c>
      <c r="Z904">
        <v>2709.23</v>
      </c>
    </row>
    <row r="905" spans="1:26" x14ac:dyDescent="0.25">
      <c r="A905">
        <v>100903</v>
      </c>
      <c r="B905" s="3">
        <v>45658</v>
      </c>
      <c r="C905" s="3">
        <v>45661</v>
      </c>
      <c r="D905" s="3">
        <v>45671</v>
      </c>
      <c r="E905" t="s">
        <v>2450</v>
      </c>
      <c r="F905" t="s">
        <v>25</v>
      </c>
      <c r="G905" t="s">
        <v>233</v>
      </c>
      <c r="H905" t="s">
        <v>2451</v>
      </c>
      <c r="I905" t="s">
        <v>230</v>
      </c>
      <c r="J905" t="s">
        <v>80</v>
      </c>
      <c r="K905" t="s">
        <v>2452</v>
      </c>
      <c r="L905" t="s">
        <v>113</v>
      </c>
      <c r="M905" t="s">
        <v>65</v>
      </c>
      <c r="N905" t="s">
        <v>66</v>
      </c>
      <c r="O905" t="s">
        <v>67</v>
      </c>
      <c r="P905" t="s">
        <v>35</v>
      </c>
      <c r="Q905">
        <v>72</v>
      </c>
      <c r="R905">
        <v>124.79</v>
      </c>
      <c r="S905">
        <v>8984.8799999999992</v>
      </c>
      <c r="T905">
        <v>14.52</v>
      </c>
      <c r="U905">
        <v>10</v>
      </c>
      <c r="V905">
        <v>13</v>
      </c>
      <c r="W905">
        <v>1611</v>
      </c>
      <c r="X905" t="s">
        <v>188</v>
      </c>
      <c r="Y905" t="s">
        <v>36</v>
      </c>
      <c r="Z905">
        <v>2185.35</v>
      </c>
    </row>
    <row r="906" spans="1:26" x14ac:dyDescent="0.25">
      <c r="A906">
        <v>100904</v>
      </c>
      <c r="B906" s="3">
        <v>45872</v>
      </c>
      <c r="C906" s="3">
        <v>45872</v>
      </c>
      <c r="D906" s="3">
        <v>45879</v>
      </c>
      <c r="E906" t="s">
        <v>2453</v>
      </c>
      <c r="F906" t="s">
        <v>38</v>
      </c>
      <c r="G906" t="s">
        <v>147</v>
      </c>
      <c r="H906" t="s">
        <v>2454</v>
      </c>
      <c r="I906" t="s">
        <v>278</v>
      </c>
      <c r="J906" t="s">
        <v>29</v>
      </c>
      <c r="K906" t="s">
        <v>2455</v>
      </c>
      <c r="L906" t="s">
        <v>113</v>
      </c>
      <c r="M906" t="s">
        <v>65</v>
      </c>
      <c r="N906" t="s">
        <v>55</v>
      </c>
      <c r="O906" t="s">
        <v>56</v>
      </c>
      <c r="P906" t="s">
        <v>35</v>
      </c>
      <c r="Q906">
        <v>408</v>
      </c>
      <c r="R906">
        <v>84.68</v>
      </c>
      <c r="S906">
        <v>34549.440000000002</v>
      </c>
      <c r="T906">
        <v>24.04</v>
      </c>
      <c r="U906">
        <v>7</v>
      </c>
      <c r="V906">
        <v>7</v>
      </c>
      <c r="W906">
        <v>2747</v>
      </c>
      <c r="X906" t="s">
        <v>3741</v>
      </c>
      <c r="Y906" t="s">
        <v>36</v>
      </c>
      <c r="Z906">
        <v>9142.91</v>
      </c>
    </row>
    <row r="907" spans="1:26" x14ac:dyDescent="0.25">
      <c r="A907">
        <v>100905</v>
      </c>
      <c r="B907" s="3">
        <v>45481</v>
      </c>
      <c r="C907" s="3">
        <v>45484</v>
      </c>
      <c r="D907" s="3">
        <v>45504</v>
      </c>
      <c r="E907" t="s">
        <v>2456</v>
      </c>
      <c r="F907" t="s">
        <v>38</v>
      </c>
      <c r="G907" t="s">
        <v>39</v>
      </c>
      <c r="H907" t="s">
        <v>2457</v>
      </c>
      <c r="I907" t="s">
        <v>246</v>
      </c>
      <c r="J907" t="s">
        <v>29</v>
      </c>
      <c r="K907" t="s">
        <v>1076</v>
      </c>
      <c r="L907" t="s">
        <v>113</v>
      </c>
      <c r="M907" t="s">
        <v>25</v>
      </c>
      <c r="N907" t="s">
        <v>66</v>
      </c>
      <c r="O907" t="s">
        <v>67</v>
      </c>
      <c r="P907" t="s">
        <v>76</v>
      </c>
      <c r="Q907">
        <v>294</v>
      </c>
      <c r="R907">
        <v>75.650000000000006</v>
      </c>
      <c r="S907">
        <v>22241.1</v>
      </c>
      <c r="T907">
        <v>13.38</v>
      </c>
      <c r="U907">
        <v>20</v>
      </c>
      <c r="V907">
        <v>23</v>
      </c>
      <c r="W907">
        <v>1617</v>
      </c>
      <c r="X907" t="s">
        <v>3742</v>
      </c>
      <c r="Y907" t="s">
        <v>57</v>
      </c>
      <c r="Z907">
        <v>6479.12</v>
      </c>
    </row>
    <row r="908" spans="1:26" x14ac:dyDescent="0.25">
      <c r="A908">
        <v>100906</v>
      </c>
      <c r="B908" s="3">
        <v>45607</v>
      </c>
      <c r="C908" s="3">
        <v>45612</v>
      </c>
      <c r="D908" s="3">
        <v>45617</v>
      </c>
      <c r="E908" t="s">
        <v>1393</v>
      </c>
      <c r="F908" t="s">
        <v>65</v>
      </c>
      <c r="G908" t="s">
        <v>70</v>
      </c>
      <c r="H908" t="s">
        <v>2458</v>
      </c>
      <c r="I908" t="s">
        <v>79</v>
      </c>
      <c r="J908" t="s">
        <v>80</v>
      </c>
      <c r="K908" t="s">
        <v>2459</v>
      </c>
      <c r="L908" t="s">
        <v>31</v>
      </c>
      <c r="M908" t="s">
        <v>54</v>
      </c>
      <c r="N908" t="s">
        <v>74</v>
      </c>
      <c r="O908" t="s">
        <v>75</v>
      </c>
      <c r="P908" t="s">
        <v>35</v>
      </c>
      <c r="Q908">
        <v>268</v>
      </c>
      <c r="R908">
        <v>244.22</v>
      </c>
      <c r="S908">
        <v>65450.96</v>
      </c>
      <c r="T908">
        <v>20.07</v>
      </c>
      <c r="U908">
        <v>5</v>
      </c>
      <c r="V908">
        <v>10</v>
      </c>
      <c r="W908">
        <v>966</v>
      </c>
      <c r="X908" t="s">
        <v>188</v>
      </c>
      <c r="Y908" t="s">
        <v>36</v>
      </c>
      <c r="Z908">
        <v>9502.08</v>
      </c>
    </row>
    <row r="909" spans="1:26" x14ac:dyDescent="0.25">
      <c r="A909">
        <v>100907</v>
      </c>
      <c r="B909" s="3">
        <v>45663</v>
      </c>
      <c r="C909" s="3">
        <v>45665</v>
      </c>
      <c r="D909" s="3">
        <v>45673</v>
      </c>
      <c r="E909" t="s">
        <v>2460</v>
      </c>
      <c r="F909" t="s">
        <v>65</v>
      </c>
      <c r="G909" t="s">
        <v>70</v>
      </c>
      <c r="H909" t="s">
        <v>2461</v>
      </c>
      <c r="I909" t="s">
        <v>85</v>
      </c>
      <c r="J909" t="s">
        <v>52</v>
      </c>
      <c r="K909" t="s">
        <v>1938</v>
      </c>
      <c r="L909" t="s">
        <v>212</v>
      </c>
      <c r="M909" t="s">
        <v>38</v>
      </c>
      <c r="N909" t="s">
        <v>45</v>
      </c>
      <c r="O909" t="s">
        <v>46</v>
      </c>
      <c r="P909" t="s">
        <v>35</v>
      </c>
      <c r="Q909">
        <v>36</v>
      </c>
      <c r="R909">
        <v>66.22</v>
      </c>
      <c r="S909">
        <v>2383.92</v>
      </c>
      <c r="T909">
        <v>13.49</v>
      </c>
      <c r="U909">
        <v>8</v>
      </c>
      <c r="V909">
        <v>10</v>
      </c>
      <c r="W909">
        <v>1000</v>
      </c>
      <c r="X909" t="s">
        <v>188</v>
      </c>
      <c r="Y909" t="s">
        <v>36</v>
      </c>
      <c r="Z909">
        <v>189.91</v>
      </c>
    </row>
    <row r="910" spans="1:26" x14ac:dyDescent="0.25">
      <c r="A910">
        <v>100908</v>
      </c>
      <c r="B910" s="3">
        <v>45477</v>
      </c>
      <c r="C910" s="3">
        <v>45482</v>
      </c>
      <c r="D910" s="3">
        <v>45487</v>
      </c>
      <c r="E910" t="s">
        <v>2462</v>
      </c>
      <c r="F910" t="s">
        <v>32</v>
      </c>
      <c r="G910" t="s">
        <v>364</v>
      </c>
      <c r="H910" t="s">
        <v>2463</v>
      </c>
      <c r="I910" t="s">
        <v>149</v>
      </c>
      <c r="J910" t="s">
        <v>42</v>
      </c>
      <c r="K910" t="s">
        <v>1880</v>
      </c>
      <c r="L910" t="s">
        <v>113</v>
      </c>
      <c r="M910" t="s">
        <v>25</v>
      </c>
      <c r="N910" t="s">
        <v>102</v>
      </c>
      <c r="O910" t="s">
        <v>103</v>
      </c>
      <c r="P910" t="s">
        <v>68</v>
      </c>
      <c r="Q910">
        <v>41</v>
      </c>
      <c r="R910">
        <v>305.7</v>
      </c>
      <c r="S910">
        <v>12533.7</v>
      </c>
      <c r="T910">
        <v>31.17</v>
      </c>
      <c r="U910">
        <v>5</v>
      </c>
      <c r="V910">
        <v>10</v>
      </c>
      <c r="W910">
        <v>1215</v>
      </c>
      <c r="X910" t="s">
        <v>188</v>
      </c>
      <c r="Y910" t="s">
        <v>36</v>
      </c>
      <c r="Z910">
        <v>1366.12</v>
      </c>
    </row>
    <row r="911" spans="1:26" x14ac:dyDescent="0.25">
      <c r="A911">
        <v>100909</v>
      </c>
      <c r="B911" s="3">
        <v>45846</v>
      </c>
      <c r="C911" s="3">
        <v>45849</v>
      </c>
      <c r="D911" s="3">
        <v>45858</v>
      </c>
      <c r="E911" t="s">
        <v>2464</v>
      </c>
      <c r="F911" t="s">
        <v>32</v>
      </c>
      <c r="G911" t="s">
        <v>137</v>
      </c>
      <c r="H911" t="s">
        <v>2465</v>
      </c>
      <c r="I911" t="s">
        <v>368</v>
      </c>
      <c r="J911" t="s">
        <v>29</v>
      </c>
      <c r="K911" t="s">
        <v>893</v>
      </c>
      <c r="L911" t="s">
        <v>212</v>
      </c>
      <c r="M911" t="s">
        <v>38</v>
      </c>
      <c r="N911" t="s">
        <v>151</v>
      </c>
      <c r="O911" t="s">
        <v>152</v>
      </c>
      <c r="P911" t="s">
        <v>123</v>
      </c>
      <c r="Q911">
        <v>54</v>
      </c>
      <c r="R911">
        <v>62.49</v>
      </c>
      <c r="S911">
        <v>3374.46</v>
      </c>
      <c r="T911">
        <v>12</v>
      </c>
      <c r="U911">
        <v>9</v>
      </c>
      <c r="V911">
        <v>12</v>
      </c>
      <c r="W911">
        <v>961</v>
      </c>
      <c r="X911" t="s">
        <v>188</v>
      </c>
      <c r="Y911" t="s">
        <v>36</v>
      </c>
      <c r="Z911">
        <v>867.17</v>
      </c>
    </row>
    <row r="912" spans="1:26" x14ac:dyDescent="0.25">
      <c r="A912">
        <v>100910</v>
      </c>
      <c r="B912" s="3">
        <v>45553</v>
      </c>
      <c r="C912" s="3">
        <v>45556</v>
      </c>
      <c r="D912" s="3">
        <v>45559</v>
      </c>
      <c r="E912" t="s">
        <v>2466</v>
      </c>
      <c r="F912" t="s">
        <v>54</v>
      </c>
      <c r="G912" t="s">
        <v>193</v>
      </c>
      <c r="H912" t="s">
        <v>2467</v>
      </c>
      <c r="I912" t="s">
        <v>207</v>
      </c>
      <c r="J912" t="s">
        <v>80</v>
      </c>
      <c r="K912" t="s">
        <v>977</v>
      </c>
      <c r="L912" t="s">
        <v>91</v>
      </c>
      <c r="M912" t="s">
        <v>65</v>
      </c>
      <c r="N912" t="s">
        <v>151</v>
      </c>
      <c r="O912" t="s">
        <v>152</v>
      </c>
      <c r="P912" t="s">
        <v>68</v>
      </c>
      <c r="Q912">
        <v>452</v>
      </c>
      <c r="R912">
        <v>143.76</v>
      </c>
      <c r="S912">
        <v>64979.519999999997</v>
      </c>
      <c r="T912">
        <v>57.8</v>
      </c>
      <c r="U912">
        <v>3</v>
      </c>
      <c r="V912">
        <v>6</v>
      </c>
      <c r="W912">
        <v>335</v>
      </c>
      <c r="X912" t="s">
        <v>3742</v>
      </c>
      <c r="Y912" t="s">
        <v>57</v>
      </c>
      <c r="Z912">
        <v>12666.95</v>
      </c>
    </row>
    <row r="913" spans="1:26" x14ac:dyDescent="0.25">
      <c r="A913">
        <v>100911</v>
      </c>
      <c r="B913" s="3">
        <v>45789</v>
      </c>
      <c r="C913" s="3">
        <v>45789</v>
      </c>
      <c r="D913" s="3">
        <v>45790</v>
      </c>
      <c r="E913" t="s">
        <v>2468</v>
      </c>
      <c r="F913" t="s">
        <v>65</v>
      </c>
      <c r="G913" t="s">
        <v>154</v>
      </c>
      <c r="H913" t="s">
        <v>2469</v>
      </c>
      <c r="I913" t="s">
        <v>177</v>
      </c>
      <c r="J913" t="s">
        <v>29</v>
      </c>
      <c r="K913" t="s">
        <v>401</v>
      </c>
      <c r="L913" t="s">
        <v>118</v>
      </c>
      <c r="M913" t="s">
        <v>25</v>
      </c>
      <c r="N913" t="s">
        <v>45</v>
      </c>
      <c r="O913" t="s">
        <v>46</v>
      </c>
      <c r="P913" t="s">
        <v>68</v>
      </c>
      <c r="Q913">
        <v>52</v>
      </c>
      <c r="R913">
        <v>81.36</v>
      </c>
      <c r="S913">
        <v>4230.72</v>
      </c>
      <c r="T913">
        <v>31.88</v>
      </c>
      <c r="U913">
        <v>1</v>
      </c>
      <c r="V913">
        <v>1</v>
      </c>
      <c r="W913">
        <v>1995</v>
      </c>
      <c r="X913" t="s">
        <v>3741</v>
      </c>
      <c r="Y913" t="s">
        <v>36</v>
      </c>
      <c r="Z913">
        <v>1126.29</v>
      </c>
    </row>
    <row r="914" spans="1:26" x14ac:dyDescent="0.25">
      <c r="A914">
        <v>100912</v>
      </c>
      <c r="B914" s="3">
        <v>45866</v>
      </c>
      <c r="C914" s="3">
        <v>45868</v>
      </c>
      <c r="D914" s="3">
        <v>45882</v>
      </c>
      <c r="E914" t="s">
        <v>2470</v>
      </c>
      <c r="F914" t="s">
        <v>54</v>
      </c>
      <c r="G914" t="s">
        <v>129</v>
      </c>
      <c r="H914" t="s">
        <v>2471</v>
      </c>
      <c r="I914" t="s">
        <v>28</v>
      </c>
      <c r="J914" t="s">
        <v>29</v>
      </c>
      <c r="K914" t="s">
        <v>1365</v>
      </c>
      <c r="L914" t="s">
        <v>91</v>
      </c>
      <c r="M914" t="s">
        <v>54</v>
      </c>
      <c r="N914" t="s">
        <v>66</v>
      </c>
      <c r="O914" t="s">
        <v>67</v>
      </c>
      <c r="P914" t="s">
        <v>123</v>
      </c>
      <c r="Q914">
        <v>194</v>
      </c>
      <c r="R914">
        <v>112.2</v>
      </c>
      <c r="S914">
        <v>21766.799999999999</v>
      </c>
      <c r="T914">
        <v>11.41</v>
      </c>
      <c r="U914">
        <v>14</v>
      </c>
      <c r="V914">
        <v>16</v>
      </c>
      <c r="W914">
        <v>1721</v>
      </c>
      <c r="X914" t="s">
        <v>188</v>
      </c>
      <c r="Y914" t="s">
        <v>36</v>
      </c>
      <c r="Z914">
        <v>1978.41</v>
      </c>
    </row>
    <row r="915" spans="1:26" x14ac:dyDescent="0.25">
      <c r="A915">
        <v>100913</v>
      </c>
      <c r="B915" s="3">
        <v>45763</v>
      </c>
      <c r="C915" s="3">
        <v>45766</v>
      </c>
      <c r="D915" s="3">
        <v>45774</v>
      </c>
      <c r="E915" t="s">
        <v>1849</v>
      </c>
      <c r="F915" t="s">
        <v>32</v>
      </c>
      <c r="G915" t="s">
        <v>273</v>
      </c>
      <c r="H915" t="s">
        <v>2472</v>
      </c>
      <c r="I915" t="s">
        <v>177</v>
      </c>
      <c r="J915" t="s">
        <v>29</v>
      </c>
      <c r="K915" t="s">
        <v>1138</v>
      </c>
      <c r="L915" t="s">
        <v>118</v>
      </c>
      <c r="M915" t="s">
        <v>65</v>
      </c>
      <c r="N915" t="s">
        <v>33</v>
      </c>
      <c r="O915" t="s">
        <v>34</v>
      </c>
      <c r="P915" t="s">
        <v>35</v>
      </c>
      <c r="Q915">
        <v>21</v>
      </c>
      <c r="R915">
        <v>67.72</v>
      </c>
      <c r="S915">
        <v>1422.12</v>
      </c>
      <c r="T915">
        <v>13.07</v>
      </c>
      <c r="U915">
        <v>8</v>
      </c>
      <c r="V915">
        <v>11</v>
      </c>
      <c r="W915">
        <v>1347</v>
      </c>
      <c r="X915" t="s">
        <v>188</v>
      </c>
      <c r="Y915" t="s">
        <v>36</v>
      </c>
      <c r="Z915">
        <v>215.71</v>
      </c>
    </row>
    <row r="916" spans="1:26" x14ac:dyDescent="0.25">
      <c r="A916">
        <v>100914</v>
      </c>
      <c r="B916" s="3">
        <v>45535</v>
      </c>
      <c r="C916" s="3">
        <v>45538</v>
      </c>
      <c r="D916" s="3">
        <v>45550</v>
      </c>
      <c r="E916" t="s">
        <v>2473</v>
      </c>
      <c r="F916" t="s">
        <v>25</v>
      </c>
      <c r="G916" t="s">
        <v>172</v>
      </c>
      <c r="H916" t="s">
        <v>2474</v>
      </c>
      <c r="I916" t="s">
        <v>207</v>
      </c>
      <c r="J916" t="s">
        <v>80</v>
      </c>
      <c r="K916" t="s">
        <v>2475</v>
      </c>
      <c r="L916" t="s">
        <v>91</v>
      </c>
      <c r="M916" t="s">
        <v>32</v>
      </c>
      <c r="N916" t="s">
        <v>102</v>
      </c>
      <c r="O916" t="s">
        <v>103</v>
      </c>
      <c r="P916" t="s">
        <v>123</v>
      </c>
      <c r="Q916">
        <v>429</v>
      </c>
      <c r="R916">
        <v>122.32</v>
      </c>
      <c r="S916">
        <v>52475.28</v>
      </c>
      <c r="T916">
        <v>21.12</v>
      </c>
      <c r="U916">
        <v>12</v>
      </c>
      <c r="V916">
        <v>15</v>
      </c>
      <c r="W916">
        <v>867</v>
      </c>
      <c r="X916" t="s">
        <v>188</v>
      </c>
      <c r="Y916" t="s">
        <v>36</v>
      </c>
      <c r="Z916">
        <v>14211.16</v>
      </c>
    </row>
    <row r="917" spans="1:26" x14ac:dyDescent="0.25">
      <c r="A917">
        <v>100915</v>
      </c>
      <c r="B917" s="3">
        <v>45844</v>
      </c>
      <c r="C917" s="3">
        <v>45847</v>
      </c>
      <c r="D917" s="3">
        <v>45853</v>
      </c>
      <c r="E917" t="s">
        <v>2476</v>
      </c>
      <c r="F917" t="s">
        <v>38</v>
      </c>
      <c r="G917" t="s">
        <v>49</v>
      </c>
      <c r="H917" t="s">
        <v>2477</v>
      </c>
      <c r="I917" t="s">
        <v>191</v>
      </c>
      <c r="J917" t="s">
        <v>62</v>
      </c>
      <c r="K917" t="s">
        <v>1747</v>
      </c>
      <c r="L917" t="s">
        <v>91</v>
      </c>
      <c r="M917" t="s">
        <v>65</v>
      </c>
      <c r="N917" t="s">
        <v>102</v>
      </c>
      <c r="O917" t="s">
        <v>103</v>
      </c>
      <c r="P917" t="s">
        <v>123</v>
      </c>
      <c r="Q917">
        <v>132</v>
      </c>
      <c r="R917">
        <v>19.34</v>
      </c>
      <c r="S917">
        <v>2552.88</v>
      </c>
      <c r="T917">
        <v>13.9</v>
      </c>
      <c r="U917">
        <v>6</v>
      </c>
      <c r="V917">
        <v>9</v>
      </c>
      <c r="W917">
        <v>2596</v>
      </c>
      <c r="X917" t="s">
        <v>188</v>
      </c>
      <c r="Y917" t="s">
        <v>36</v>
      </c>
      <c r="Z917">
        <v>423.9</v>
      </c>
    </row>
    <row r="918" spans="1:26" x14ac:dyDescent="0.25">
      <c r="A918">
        <v>100916</v>
      </c>
      <c r="B918" s="3">
        <v>45525</v>
      </c>
      <c r="C918" s="3">
        <v>45526</v>
      </c>
      <c r="D918" s="3">
        <v>45539</v>
      </c>
      <c r="E918" t="s">
        <v>2478</v>
      </c>
      <c r="F918" t="s">
        <v>25</v>
      </c>
      <c r="G918" t="s">
        <v>59</v>
      </c>
      <c r="H918" t="s">
        <v>2479</v>
      </c>
      <c r="I918" t="s">
        <v>368</v>
      </c>
      <c r="J918" t="s">
        <v>29</v>
      </c>
      <c r="K918" t="s">
        <v>2480</v>
      </c>
      <c r="L918" t="s">
        <v>98</v>
      </c>
      <c r="M918" t="s">
        <v>54</v>
      </c>
      <c r="N918" t="s">
        <v>102</v>
      </c>
      <c r="O918" t="s">
        <v>103</v>
      </c>
      <c r="P918" t="s">
        <v>123</v>
      </c>
      <c r="Q918">
        <v>215</v>
      </c>
      <c r="R918">
        <v>58.88</v>
      </c>
      <c r="S918">
        <v>12659.2</v>
      </c>
      <c r="T918">
        <v>15.92</v>
      </c>
      <c r="U918">
        <v>13</v>
      </c>
      <c r="V918">
        <v>14</v>
      </c>
      <c r="W918">
        <v>866</v>
      </c>
      <c r="X918" t="s">
        <v>188</v>
      </c>
      <c r="Y918" t="s">
        <v>36</v>
      </c>
      <c r="Z918">
        <v>990.34</v>
      </c>
    </row>
    <row r="919" spans="1:26" x14ac:dyDescent="0.25">
      <c r="A919">
        <v>100917</v>
      </c>
      <c r="B919" s="3">
        <v>45531</v>
      </c>
      <c r="C919" s="3">
        <v>45531</v>
      </c>
      <c r="D919" s="3">
        <v>45545</v>
      </c>
      <c r="E919" t="s">
        <v>2481</v>
      </c>
      <c r="F919" t="s">
        <v>32</v>
      </c>
      <c r="G919" t="s">
        <v>364</v>
      </c>
      <c r="H919" t="s">
        <v>2482</v>
      </c>
      <c r="I919" t="s">
        <v>126</v>
      </c>
      <c r="J919" t="s">
        <v>42</v>
      </c>
      <c r="K919" t="s">
        <v>847</v>
      </c>
      <c r="L919" t="s">
        <v>98</v>
      </c>
      <c r="M919" t="s">
        <v>65</v>
      </c>
      <c r="N919" t="s">
        <v>92</v>
      </c>
      <c r="O919" t="s">
        <v>93</v>
      </c>
      <c r="P919" t="s">
        <v>123</v>
      </c>
      <c r="Q919">
        <v>497</v>
      </c>
      <c r="R919">
        <v>361</v>
      </c>
      <c r="S919">
        <v>179417</v>
      </c>
      <c r="T919">
        <v>22.77</v>
      </c>
      <c r="U919">
        <v>14</v>
      </c>
      <c r="V919">
        <v>14</v>
      </c>
      <c r="W919">
        <v>900</v>
      </c>
      <c r="X919" t="s">
        <v>188</v>
      </c>
      <c r="Y919" t="s">
        <v>36</v>
      </c>
      <c r="Z919">
        <v>38210.949999999997</v>
      </c>
    </row>
    <row r="920" spans="1:26" x14ac:dyDescent="0.25">
      <c r="A920">
        <v>100918</v>
      </c>
      <c r="B920" s="3">
        <v>45350</v>
      </c>
      <c r="C920" s="3">
        <v>45354</v>
      </c>
      <c r="D920" s="3">
        <v>45362</v>
      </c>
      <c r="E920" t="s">
        <v>1997</v>
      </c>
      <c r="F920" t="s">
        <v>65</v>
      </c>
      <c r="G920" t="s">
        <v>154</v>
      </c>
      <c r="H920" t="s">
        <v>2483</v>
      </c>
      <c r="I920" t="s">
        <v>61</v>
      </c>
      <c r="J920" t="s">
        <v>62</v>
      </c>
      <c r="K920" t="s">
        <v>2484</v>
      </c>
      <c r="L920" t="s">
        <v>31</v>
      </c>
      <c r="M920" t="s">
        <v>25</v>
      </c>
      <c r="N920" t="s">
        <v>33</v>
      </c>
      <c r="O920" t="s">
        <v>34</v>
      </c>
      <c r="P920" t="s">
        <v>35</v>
      </c>
      <c r="Q920">
        <v>107</v>
      </c>
      <c r="R920">
        <v>25.52</v>
      </c>
      <c r="S920">
        <v>2730.64</v>
      </c>
      <c r="T920">
        <v>15.51</v>
      </c>
      <c r="U920">
        <v>8</v>
      </c>
      <c r="V920">
        <v>12</v>
      </c>
      <c r="W920">
        <v>1752</v>
      </c>
      <c r="X920" t="s">
        <v>188</v>
      </c>
      <c r="Y920" t="s">
        <v>36</v>
      </c>
      <c r="Z920">
        <v>334.66</v>
      </c>
    </row>
    <row r="921" spans="1:26" x14ac:dyDescent="0.25">
      <c r="A921">
        <v>100919</v>
      </c>
      <c r="B921" s="3">
        <v>45817</v>
      </c>
      <c r="C921" s="3">
        <v>45821</v>
      </c>
      <c r="D921" s="3">
        <v>45831</v>
      </c>
      <c r="E921" t="s">
        <v>674</v>
      </c>
      <c r="F921" t="s">
        <v>54</v>
      </c>
      <c r="G921" t="s">
        <v>158</v>
      </c>
      <c r="H921" t="s">
        <v>2485</v>
      </c>
      <c r="I921" t="s">
        <v>134</v>
      </c>
      <c r="J921" t="s">
        <v>52</v>
      </c>
      <c r="K921" t="s">
        <v>2486</v>
      </c>
      <c r="L921" t="s">
        <v>212</v>
      </c>
      <c r="M921" t="s">
        <v>54</v>
      </c>
      <c r="N921" t="s">
        <v>55</v>
      </c>
      <c r="O921" t="s">
        <v>56</v>
      </c>
      <c r="P921" t="s">
        <v>68</v>
      </c>
      <c r="Q921">
        <v>226</v>
      </c>
      <c r="R921">
        <v>18.91</v>
      </c>
      <c r="S921">
        <v>4273.66</v>
      </c>
      <c r="T921">
        <v>31.97</v>
      </c>
      <c r="U921">
        <v>10</v>
      </c>
      <c r="V921">
        <v>14</v>
      </c>
      <c r="W921">
        <v>4331</v>
      </c>
      <c r="X921" t="s">
        <v>188</v>
      </c>
      <c r="Y921" t="s">
        <v>36</v>
      </c>
      <c r="Z921">
        <v>812.79</v>
      </c>
    </row>
    <row r="922" spans="1:26" x14ac:dyDescent="0.25">
      <c r="A922">
        <v>100920</v>
      </c>
      <c r="B922" s="3">
        <v>45360</v>
      </c>
      <c r="C922" s="3">
        <v>45362</v>
      </c>
      <c r="D922" s="3">
        <v>45372</v>
      </c>
      <c r="E922" t="s">
        <v>2487</v>
      </c>
      <c r="F922" t="s">
        <v>65</v>
      </c>
      <c r="G922" t="s">
        <v>142</v>
      </c>
      <c r="H922" t="s">
        <v>2488</v>
      </c>
      <c r="I922" t="s">
        <v>416</v>
      </c>
      <c r="J922" t="s">
        <v>80</v>
      </c>
      <c r="K922" t="s">
        <v>1501</v>
      </c>
      <c r="L922" t="s">
        <v>64</v>
      </c>
      <c r="M922" t="s">
        <v>38</v>
      </c>
      <c r="N922" t="s">
        <v>55</v>
      </c>
      <c r="O922" t="s">
        <v>56</v>
      </c>
      <c r="P922" t="s">
        <v>123</v>
      </c>
      <c r="Q922">
        <v>440</v>
      </c>
      <c r="R922">
        <v>138.19</v>
      </c>
      <c r="S922">
        <v>60803.6</v>
      </c>
      <c r="T922">
        <v>21.38</v>
      </c>
      <c r="U922">
        <v>10</v>
      </c>
      <c r="V922">
        <v>12</v>
      </c>
      <c r="W922">
        <v>279</v>
      </c>
      <c r="X922" t="s">
        <v>188</v>
      </c>
      <c r="Y922" t="s">
        <v>36</v>
      </c>
      <c r="Z922">
        <v>9634.98</v>
      </c>
    </row>
    <row r="923" spans="1:26" x14ac:dyDescent="0.25">
      <c r="A923">
        <v>100921</v>
      </c>
      <c r="B923" s="3">
        <v>45373</v>
      </c>
      <c r="C923" s="3">
        <v>45378</v>
      </c>
      <c r="D923" s="3">
        <v>45385</v>
      </c>
      <c r="E923" t="s">
        <v>2489</v>
      </c>
      <c r="F923" t="s">
        <v>65</v>
      </c>
      <c r="G923" t="s">
        <v>70</v>
      </c>
      <c r="H923" t="s">
        <v>2490</v>
      </c>
      <c r="I923" t="s">
        <v>198</v>
      </c>
      <c r="J923" t="s">
        <v>52</v>
      </c>
      <c r="K923" t="s">
        <v>1509</v>
      </c>
      <c r="L923" t="s">
        <v>122</v>
      </c>
      <c r="M923" t="s">
        <v>65</v>
      </c>
      <c r="N923" t="s">
        <v>92</v>
      </c>
      <c r="O923" t="s">
        <v>93</v>
      </c>
      <c r="P923" t="s">
        <v>35</v>
      </c>
      <c r="Q923">
        <v>299</v>
      </c>
      <c r="R923">
        <v>21.57</v>
      </c>
      <c r="S923">
        <v>6449.43</v>
      </c>
      <c r="T923">
        <v>15.52</v>
      </c>
      <c r="U923">
        <v>7</v>
      </c>
      <c r="V923">
        <v>12</v>
      </c>
      <c r="W923">
        <v>1122</v>
      </c>
      <c r="X923" t="s">
        <v>188</v>
      </c>
      <c r="Y923" t="s">
        <v>36</v>
      </c>
      <c r="Z923">
        <v>967.5</v>
      </c>
    </row>
    <row r="924" spans="1:26" x14ac:dyDescent="0.25">
      <c r="A924">
        <v>100922</v>
      </c>
      <c r="B924" s="3">
        <v>45680</v>
      </c>
      <c r="C924" s="3">
        <v>45681</v>
      </c>
      <c r="D924" s="3">
        <v>45702</v>
      </c>
      <c r="E924" t="s">
        <v>2491</v>
      </c>
      <c r="F924" t="s">
        <v>65</v>
      </c>
      <c r="G924" t="s">
        <v>70</v>
      </c>
      <c r="H924" t="s">
        <v>2492</v>
      </c>
      <c r="I924" t="s">
        <v>139</v>
      </c>
      <c r="J924" t="s">
        <v>42</v>
      </c>
      <c r="K924" t="s">
        <v>1234</v>
      </c>
      <c r="L924" t="s">
        <v>64</v>
      </c>
      <c r="M924" t="s">
        <v>54</v>
      </c>
      <c r="N924" t="s">
        <v>74</v>
      </c>
      <c r="O924" t="s">
        <v>75</v>
      </c>
      <c r="P924" t="s">
        <v>76</v>
      </c>
      <c r="Q924">
        <v>393</v>
      </c>
      <c r="R924">
        <v>365.46</v>
      </c>
      <c r="S924">
        <v>143625.78</v>
      </c>
      <c r="T924">
        <v>15.18</v>
      </c>
      <c r="U924">
        <v>21</v>
      </c>
      <c r="V924">
        <v>22</v>
      </c>
      <c r="W924">
        <v>613</v>
      </c>
      <c r="X924" t="s">
        <v>188</v>
      </c>
      <c r="Y924" t="s">
        <v>36</v>
      </c>
      <c r="Z924">
        <v>14800.7</v>
      </c>
    </row>
    <row r="925" spans="1:26" x14ac:dyDescent="0.25">
      <c r="A925">
        <v>100923</v>
      </c>
      <c r="B925" s="3">
        <v>45603</v>
      </c>
      <c r="C925" s="3">
        <v>45607</v>
      </c>
      <c r="D925" s="3">
        <v>45616</v>
      </c>
      <c r="E925" t="s">
        <v>2493</v>
      </c>
      <c r="F925" t="s">
        <v>65</v>
      </c>
      <c r="G925" t="s">
        <v>154</v>
      </c>
      <c r="H925" t="s">
        <v>2494</v>
      </c>
      <c r="I925" t="s">
        <v>198</v>
      </c>
      <c r="J925" t="s">
        <v>52</v>
      </c>
      <c r="K925" t="s">
        <v>1283</v>
      </c>
      <c r="L925" t="s">
        <v>118</v>
      </c>
      <c r="M925" t="s">
        <v>32</v>
      </c>
      <c r="N925" t="s">
        <v>66</v>
      </c>
      <c r="O925" t="s">
        <v>67</v>
      </c>
      <c r="P925" t="s">
        <v>35</v>
      </c>
      <c r="Q925">
        <v>178</v>
      </c>
      <c r="R925">
        <v>50.27</v>
      </c>
      <c r="S925">
        <v>8948.06</v>
      </c>
      <c r="T925">
        <v>17.52</v>
      </c>
      <c r="U925">
        <v>9</v>
      </c>
      <c r="V925">
        <v>13</v>
      </c>
      <c r="W925">
        <v>3229</v>
      </c>
      <c r="X925" t="s">
        <v>188</v>
      </c>
      <c r="Y925" t="s">
        <v>36</v>
      </c>
      <c r="Z925">
        <v>1451.74</v>
      </c>
    </row>
    <row r="926" spans="1:26" x14ac:dyDescent="0.25">
      <c r="A926">
        <v>100924</v>
      </c>
      <c r="B926" s="3">
        <v>45728</v>
      </c>
      <c r="C926" s="3">
        <v>45732</v>
      </c>
      <c r="D926" s="3">
        <v>45736</v>
      </c>
      <c r="E926" t="s">
        <v>2495</v>
      </c>
      <c r="F926" t="s">
        <v>38</v>
      </c>
      <c r="G926" t="s">
        <v>49</v>
      </c>
      <c r="H926" t="s">
        <v>2496</v>
      </c>
      <c r="I926" t="s">
        <v>134</v>
      </c>
      <c r="J926" t="s">
        <v>52</v>
      </c>
      <c r="K926" t="s">
        <v>1305</v>
      </c>
      <c r="L926" t="s">
        <v>64</v>
      </c>
      <c r="M926" t="s">
        <v>65</v>
      </c>
      <c r="N926" t="s">
        <v>107</v>
      </c>
      <c r="O926" t="s">
        <v>108</v>
      </c>
      <c r="P926" t="s">
        <v>35</v>
      </c>
      <c r="Q926">
        <v>438</v>
      </c>
      <c r="R926">
        <v>28.68</v>
      </c>
      <c r="S926">
        <v>12561.84</v>
      </c>
      <c r="T926">
        <v>24.89</v>
      </c>
      <c r="U926">
        <v>4</v>
      </c>
      <c r="V926">
        <v>8</v>
      </c>
      <c r="W926">
        <v>1603</v>
      </c>
      <c r="X926" t="s">
        <v>188</v>
      </c>
      <c r="Y926" t="s">
        <v>36</v>
      </c>
      <c r="Z926">
        <v>1431.8</v>
      </c>
    </row>
    <row r="927" spans="1:26" x14ac:dyDescent="0.25">
      <c r="A927">
        <v>100925</v>
      </c>
      <c r="B927" s="3">
        <v>45862</v>
      </c>
      <c r="C927" s="3">
        <v>45862</v>
      </c>
      <c r="D927" s="3">
        <v>45867</v>
      </c>
      <c r="E927" t="s">
        <v>1226</v>
      </c>
      <c r="F927" t="s">
        <v>25</v>
      </c>
      <c r="G927" t="s">
        <v>221</v>
      </c>
      <c r="H927" t="s">
        <v>2497</v>
      </c>
      <c r="I927" t="s">
        <v>134</v>
      </c>
      <c r="J927" t="s">
        <v>52</v>
      </c>
      <c r="K927" t="s">
        <v>2498</v>
      </c>
      <c r="L927" t="s">
        <v>122</v>
      </c>
      <c r="M927" t="s">
        <v>25</v>
      </c>
      <c r="N927" t="s">
        <v>66</v>
      </c>
      <c r="O927" t="s">
        <v>67</v>
      </c>
      <c r="P927" t="s">
        <v>68</v>
      </c>
      <c r="Q927">
        <v>271</v>
      </c>
      <c r="R927">
        <v>62.77</v>
      </c>
      <c r="S927">
        <v>17010.669999999998</v>
      </c>
      <c r="T927">
        <v>34.130000000000003</v>
      </c>
      <c r="U927">
        <v>5</v>
      </c>
      <c r="V927">
        <v>5</v>
      </c>
      <c r="W927">
        <v>3460</v>
      </c>
      <c r="X927" t="s">
        <v>3741</v>
      </c>
      <c r="Y927" t="s">
        <v>36</v>
      </c>
      <c r="Z927">
        <v>1604.35</v>
      </c>
    </row>
    <row r="928" spans="1:26" x14ac:dyDescent="0.25">
      <c r="A928">
        <v>100926</v>
      </c>
      <c r="B928" s="3">
        <v>45355</v>
      </c>
      <c r="C928" s="3">
        <v>45359</v>
      </c>
      <c r="D928" s="3">
        <v>45362</v>
      </c>
      <c r="E928" t="s">
        <v>2499</v>
      </c>
      <c r="F928" t="s">
        <v>65</v>
      </c>
      <c r="G928" t="s">
        <v>154</v>
      </c>
      <c r="H928" t="s">
        <v>2500</v>
      </c>
      <c r="I928" t="s">
        <v>207</v>
      </c>
      <c r="J928" t="s">
        <v>80</v>
      </c>
      <c r="K928" t="s">
        <v>2501</v>
      </c>
      <c r="L928" t="s">
        <v>122</v>
      </c>
      <c r="M928" t="s">
        <v>25</v>
      </c>
      <c r="N928" t="s">
        <v>45</v>
      </c>
      <c r="O928" t="s">
        <v>46</v>
      </c>
      <c r="P928" t="s">
        <v>68</v>
      </c>
      <c r="Q928">
        <v>93</v>
      </c>
      <c r="R928">
        <v>318.22000000000003</v>
      </c>
      <c r="S928">
        <v>29594.46</v>
      </c>
      <c r="T928">
        <v>34.54</v>
      </c>
      <c r="U928">
        <v>3</v>
      </c>
      <c r="V928">
        <v>7</v>
      </c>
      <c r="W928">
        <v>1531</v>
      </c>
      <c r="X928" t="s">
        <v>3741</v>
      </c>
      <c r="Y928" t="s">
        <v>36</v>
      </c>
      <c r="Z928">
        <v>5121.7</v>
      </c>
    </row>
    <row r="929" spans="1:26" x14ac:dyDescent="0.25">
      <c r="A929">
        <v>100927</v>
      </c>
      <c r="B929" s="3">
        <v>45494</v>
      </c>
      <c r="C929" s="3">
        <v>45494</v>
      </c>
      <c r="D929" s="3">
        <v>45508</v>
      </c>
      <c r="E929" t="s">
        <v>2502</v>
      </c>
      <c r="F929" t="s">
        <v>38</v>
      </c>
      <c r="G929" t="s">
        <v>49</v>
      </c>
      <c r="H929" t="s">
        <v>2503</v>
      </c>
      <c r="I929" t="s">
        <v>116</v>
      </c>
      <c r="J929" t="s">
        <v>62</v>
      </c>
      <c r="K929" t="s">
        <v>1208</v>
      </c>
      <c r="L929" t="s">
        <v>212</v>
      </c>
      <c r="M929" t="s">
        <v>38</v>
      </c>
      <c r="N929" t="s">
        <v>102</v>
      </c>
      <c r="O929" t="s">
        <v>103</v>
      </c>
      <c r="P929" t="s">
        <v>76</v>
      </c>
      <c r="Q929">
        <v>325</v>
      </c>
      <c r="R929">
        <v>39.36</v>
      </c>
      <c r="S929">
        <v>12792</v>
      </c>
      <c r="T929">
        <v>10.33</v>
      </c>
      <c r="U929">
        <v>14</v>
      </c>
      <c r="V929">
        <v>14</v>
      </c>
      <c r="W929">
        <v>3996</v>
      </c>
      <c r="X929" t="s">
        <v>188</v>
      </c>
      <c r="Y929" t="s">
        <v>36</v>
      </c>
      <c r="Z929">
        <v>1503.46</v>
      </c>
    </row>
    <row r="930" spans="1:26" x14ac:dyDescent="0.25">
      <c r="A930">
        <v>100928</v>
      </c>
      <c r="B930" s="3">
        <v>45786</v>
      </c>
      <c r="C930" s="3">
        <v>45787</v>
      </c>
      <c r="D930" s="3">
        <v>45791</v>
      </c>
      <c r="E930" t="s">
        <v>2504</v>
      </c>
      <c r="F930" t="s">
        <v>54</v>
      </c>
      <c r="G930" t="s">
        <v>129</v>
      </c>
      <c r="H930" t="s">
        <v>2505</v>
      </c>
      <c r="I930" t="s">
        <v>41</v>
      </c>
      <c r="J930" t="s">
        <v>42</v>
      </c>
      <c r="K930" t="s">
        <v>2506</v>
      </c>
      <c r="L930" t="s">
        <v>122</v>
      </c>
      <c r="M930" t="s">
        <v>25</v>
      </c>
      <c r="N930" t="s">
        <v>92</v>
      </c>
      <c r="O930" t="s">
        <v>93</v>
      </c>
      <c r="P930" t="s">
        <v>35</v>
      </c>
      <c r="Q930">
        <v>317</v>
      </c>
      <c r="R930">
        <v>311.3</v>
      </c>
      <c r="S930">
        <v>98682.1</v>
      </c>
      <c r="T930">
        <v>21.46</v>
      </c>
      <c r="U930">
        <v>4</v>
      </c>
      <c r="V930">
        <v>5</v>
      </c>
      <c r="W930">
        <v>555</v>
      </c>
      <c r="X930" t="s">
        <v>3741</v>
      </c>
      <c r="Y930" t="s">
        <v>36</v>
      </c>
      <c r="Z930">
        <v>11390.66</v>
      </c>
    </row>
    <row r="931" spans="1:26" x14ac:dyDescent="0.25">
      <c r="A931">
        <v>100929</v>
      </c>
      <c r="B931" s="3">
        <v>45899</v>
      </c>
      <c r="C931" s="3">
        <v>45901</v>
      </c>
      <c r="D931" s="3">
        <v>45906</v>
      </c>
      <c r="E931" t="s">
        <v>2507</v>
      </c>
      <c r="F931" t="s">
        <v>65</v>
      </c>
      <c r="G931" t="s">
        <v>142</v>
      </c>
      <c r="H931" t="s">
        <v>2508</v>
      </c>
      <c r="I931" t="s">
        <v>28</v>
      </c>
      <c r="J931" t="s">
        <v>29</v>
      </c>
      <c r="K931" t="s">
        <v>1377</v>
      </c>
      <c r="L931" t="s">
        <v>113</v>
      </c>
      <c r="M931" t="s">
        <v>38</v>
      </c>
      <c r="N931" t="s">
        <v>102</v>
      </c>
      <c r="O931" t="s">
        <v>103</v>
      </c>
      <c r="P931" t="s">
        <v>68</v>
      </c>
      <c r="Q931">
        <v>316</v>
      </c>
      <c r="R931">
        <v>115.01</v>
      </c>
      <c r="S931">
        <v>36343.160000000003</v>
      </c>
      <c r="T931">
        <v>48.99</v>
      </c>
      <c r="U931">
        <v>5</v>
      </c>
      <c r="V931">
        <v>7</v>
      </c>
      <c r="W931">
        <v>271</v>
      </c>
      <c r="X931" t="s">
        <v>3741</v>
      </c>
      <c r="Y931" t="s">
        <v>36</v>
      </c>
      <c r="Z931">
        <v>7272</v>
      </c>
    </row>
    <row r="932" spans="1:26" x14ac:dyDescent="0.25">
      <c r="A932">
        <v>100930</v>
      </c>
      <c r="B932" s="3">
        <v>45592</v>
      </c>
      <c r="C932" s="3">
        <v>45592</v>
      </c>
      <c r="D932" s="3">
        <v>45597</v>
      </c>
      <c r="E932" t="s">
        <v>2509</v>
      </c>
      <c r="F932" t="s">
        <v>32</v>
      </c>
      <c r="G932" t="s">
        <v>255</v>
      </c>
      <c r="H932" t="s">
        <v>2510</v>
      </c>
      <c r="I932" t="s">
        <v>246</v>
      </c>
      <c r="J932" t="s">
        <v>29</v>
      </c>
      <c r="K932" t="s">
        <v>2511</v>
      </c>
      <c r="L932" t="s">
        <v>44</v>
      </c>
      <c r="M932" t="s">
        <v>32</v>
      </c>
      <c r="N932" t="s">
        <v>66</v>
      </c>
      <c r="O932" t="s">
        <v>67</v>
      </c>
      <c r="P932" t="s">
        <v>68</v>
      </c>
      <c r="Q932">
        <v>407</v>
      </c>
      <c r="R932">
        <v>14.81</v>
      </c>
      <c r="S932">
        <v>6027.67</v>
      </c>
      <c r="T932">
        <v>40.659999999999997</v>
      </c>
      <c r="U932">
        <v>5</v>
      </c>
      <c r="V932">
        <v>5</v>
      </c>
      <c r="W932">
        <v>3484</v>
      </c>
      <c r="X932" t="s">
        <v>3741</v>
      </c>
      <c r="Y932" t="s">
        <v>36</v>
      </c>
      <c r="Z932">
        <v>1135.03</v>
      </c>
    </row>
    <row r="933" spans="1:26" x14ac:dyDescent="0.25">
      <c r="A933">
        <v>100931</v>
      </c>
      <c r="B933" s="3">
        <v>45420</v>
      </c>
      <c r="C933" s="3">
        <v>45421</v>
      </c>
      <c r="D933" s="3">
        <v>45431</v>
      </c>
      <c r="E933" t="s">
        <v>2512</v>
      </c>
      <c r="F933" t="s">
        <v>32</v>
      </c>
      <c r="G933" t="s">
        <v>95</v>
      </c>
      <c r="H933" t="s">
        <v>2513</v>
      </c>
      <c r="I933" t="s">
        <v>191</v>
      </c>
      <c r="J933" t="s">
        <v>62</v>
      </c>
      <c r="K933" t="s">
        <v>1543</v>
      </c>
      <c r="L933" t="s">
        <v>122</v>
      </c>
      <c r="M933" t="s">
        <v>25</v>
      </c>
      <c r="N933" t="s">
        <v>203</v>
      </c>
      <c r="O933" t="s">
        <v>204</v>
      </c>
      <c r="P933" t="s">
        <v>76</v>
      </c>
      <c r="Q933">
        <v>144</v>
      </c>
      <c r="R933">
        <v>45.01</v>
      </c>
      <c r="S933">
        <v>6481.44</v>
      </c>
      <c r="T933">
        <v>10.64</v>
      </c>
      <c r="U933">
        <v>10</v>
      </c>
      <c r="V933">
        <v>11</v>
      </c>
      <c r="W933">
        <v>4781</v>
      </c>
      <c r="X933" t="s">
        <v>188</v>
      </c>
      <c r="Y933" t="s">
        <v>36</v>
      </c>
      <c r="Z933">
        <v>729.03</v>
      </c>
    </row>
    <row r="934" spans="1:26" x14ac:dyDescent="0.25">
      <c r="A934">
        <v>100932</v>
      </c>
      <c r="B934" s="3">
        <v>45750</v>
      </c>
      <c r="C934" s="3">
        <v>45754</v>
      </c>
      <c r="D934" s="3">
        <v>45760</v>
      </c>
      <c r="E934" t="s">
        <v>2514</v>
      </c>
      <c r="F934" t="s">
        <v>25</v>
      </c>
      <c r="G934" t="s">
        <v>172</v>
      </c>
      <c r="H934" t="s">
        <v>2515</v>
      </c>
      <c r="I934" t="s">
        <v>182</v>
      </c>
      <c r="J934" t="s">
        <v>80</v>
      </c>
      <c r="K934" t="s">
        <v>2516</v>
      </c>
      <c r="L934" t="s">
        <v>187</v>
      </c>
      <c r="M934" t="s">
        <v>32</v>
      </c>
      <c r="N934" t="s">
        <v>33</v>
      </c>
      <c r="O934" t="s">
        <v>34</v>
      </c>
      <c r="P934" t="s">
        <v>35</v>
      </c>
      <c r="Q934">
        <v>284</v>
      </c>
      <c r="R934">
        <v>227.89</v>
      </c>
      <c r="S934">
        <v>64720.76</v>
      </c>
      <c r="T934">
        <v>20.53</v>
      </c>
      <c r="U934">
        <v>6</v>
      </c>
      <c r="V934">
        <v>10</v>
      </c>
      <c r="W934">
        <v>723</v>
      </c>
      <c r="X934" t="s">
        <v>188</v>
      </c>
      <c r="Y934" t="s">
        <v>36</v>
      </c>
      <c r="Z934">
        <v>14714.24</v>
      </c>
    </row>
    <row r="935" spans="1:26" x14ac:dyDescent="0.25">
      <c r="A935">
        <v>100933</v>
      </c>
      <c r="B935" s="3">
        <v>45802</v>
      </c>
      <c r="C935" s="3">
        <v>45802</v>
      </c>
      <c r="D935" s="3">
        <v>45811</v>
      </c>
      <c r="E935" t="s">
        <v>2517</v>
      </c>
      <c r="F935" t="s">
        <v>38</v>
      </c>
      <c r="G935" t="s">
        <v>147</v>
      </c>
      <c r="H935" t="s">
        <v>2518</v>
      </c>
      <c r="I935" t="s">
        <v>72</v>
      </c>
      <c r="J935" t="s">
        <v>42</v>
      </c>
      <c r="K935" t="s">
        <v>1377</v>
      </c>
      <c r="L935" t="s">
        <v>44</v>
      </c>
      <c r="M935" t="s">
        <v>65</v>
      </c>
      <c r="N935" t="s">
        <v>151</v>
      </c>
      <c r="O935" t="s">
        <v>152</v>
      </c>
      <c r="P935" t="s">
        <v>35</v>
      </c>
      <c r="Q935">
        <v>217</v>
      </c>
      <c r="R935">
        <v>449.74</v>
      </c>
      <c r="S935">
        <v>97593.58</v>
      </c>
      <c r="T935">
        <v>18.63</v>
      </c>
      <c r="U935">
        <v>9</v>
      </c>
      <c r="V935">
        <v>9</v>
      </c>
      <c r="W935">
        <v>1208</v>
      </c>
      <c r="X935" t="s">
        <v>188</v>
      </c>
      <c r="Y935" t="s">
        <v>36</v>
      </c>
      <c r="Z935">
        <v>11943.94</v>
      </c>
    </row>
    <row r="936" spans="1:26" x14ac:dyDescent="0.25">
      <c r="A936">
        <v>100934</v>
      </c>
      <c r="B936" s="3">
        <v>45335</v>
      </c>
      <c r="C936" s="3">
        <v>45337</v>
      </c>
      <c r="D936" s="3">
        <v>45344</v>
      </c>
      <c r="E936" t="s">
        <v>2519</v>
      </c>
      <c r="F936" t="s">
        <v>65</v>
      </c>
      <c r="G936" t="s">
        <v>142</v>
      </c>
      <c r="H936" t="s">
        <v>2520</v>
      </c>
      <c r="I936" t="s">
        <v>41</v>
      </c>
      <c r="J936" t="s">
        <v>42</v>
      </c>
      <c r="K936" t="s">
        <v>2521</v>
      </c>
      <c r="L936" t="s">
        <v>44</v>
      </c>
      <c r="M936" t="s">
        <v>38</v>
      </c>
      <c r="N936" t="s">
        <v>45</v>
      </c>
      <c r="O936" t="s">
        <v>46</v>
      </c>
      <c r="P936" t="s">
        <v>35</v>
      </c>
      <c r="Q936">
        <v>492</v>
      </c>
      <c r="R936">
        <v>211.04</v>
      </c>
      <c r="S936">
        <v>103831.67999999999</v>
      </c>
      <c r="T936">
        <v>26.42</v>
      </c>
      <c r="U936">
        <v>7</v>
      </c>
      <c r="V936">
        <v>9</v>
      </c>
      <c r="W936">
        <v>1221</v>
      </c>
      <c r="X936" t="s">
        <v>188</v>
      </c>
      <c r="Y936" t="s">
        <v>36</v>
      </c>
      <c r="Z936">
        <v>9086.65</v>
      </c>
    </row>
    <row r="937" spans="1:26" x14ac:dyDescent="0.25">
      <c r="A937">
        <v>100935</v>
      </c>
      <c r="B937" s="3">
        <v>45357</v>
      </c>
      <c r="C937" s="3">
        <v>45361</v>
      </c>
      <c r="D937" s="3">
        <v>45384</v>
      </c>
      <c r="E937" t="s">
        <v>2522</v>
      </c>
      <c r="F937" t="s">
        <v>32</v>
      </c>
      <c r="G937" t="s">
        <v>255</v>
      </c>
      <c r="H937" t="s">
        <v>2523</v>
      </c>
      <c r="I937" t="s">
        <v>246</v>
      </c>
      <c r="J937" t="s">
        <v>29</v>
      </c>
      <c r="K937" t="s">
        <v>401</v>
      </c>
      <c r="L937" t="s">
        <v>44</v>
      </c>
      <c r="M937" t="s">
        <v>32</v>
      </c>
      <c r="N937" t="s">
        <v>107</v>
      </c>
      <c r="O937" t="s">
        <v>108</v>
      </c>
      <c r="P937" t="s">
        <v>76</v>
      </c>
      <c r="Q937">
        <v>167</v>
      </c>
      <c r="R937">
        <v>102.71</v>
      </c>
      <c r="S937">
        <v>17152.57</v>
      </c>
      <c r="T937">
        <v>8.19</v>
      </c>
      <c r="U937">
        <v>23</v>
      </c>
      <c r="V937">
        <v>27</v>
      </c>
      <c r="W937">
        <v>3053</v>
      </c>
      <c r="X937" t="s">
        <v>188</v>
      </c>
      <c r="Y937" t="s">
        <v>36</v>
      </c>
      <c r="Z937">
        <v>1934.06</v>
      </c>
    </row>
    <row r="938" spans="1:26" x14ac:dyDescent="0.25">
      <c r="A938">
        <v>100936</v>
      </c>
      <c r="B938" s="3">
        <v>45362</v>
      </c>
      <c r="C938" s="3">
        <v>45362</v>
      </c>
      <c r="D938" s="3">
        <v>45365</v>
      </c>
      <c r="E938" t="s">
        <v>2524</v>
      </c>
      <c r="F938" t="s">
        <v>65</v>
      </c>
      <c r="G938" t="s">
        <v>70</v>
      </c>
      <c r="H938" t="s">
        <v>2525</v>
      </c>
      <c r="I938" t="s">
        <v>144</v>
      </c>
      <c r="J938" t="s">
        <v>52</v>
      </c>
      <c r="K938" t="s">
        <v>1076</v>
      </c>
      <c r="L938" t="s">
        <v>31</v>
      </c>
      <c r="M938" t="s">
        <v>38</v>
      </c>
      <c r="N938" t="s">
        <v>55</v>
      </c>
      <c r="O938" t="s">
        <v>56</v>
      </c>
      <c r="P938" t="s">
        <v>68</v>
      </c>
      <c r="Q938">
        <v>125</v>
      </c>
      <c r="R938">
        <v>48.57</v>
      </c>
      <c r="S938">
        <v>6071.25</v>
      </c>
      <c r="T938">
        <v>36.61</v>
      </c>
      <c r="U938">
        <v>3</v>
      </c>
      <c r="V938">
        <v>3</v>
      </c>
      <c r="W938">
        <v>3276</v>
      </c>
      <c r="X938" t="s">
        <v>3741</v>
      </c>
      <c r="Y938" t="s">
        <v>36</v>
      </c>
      <c r="Z938">
        <v>1121.94</v>
      </c>
    </row>
    <row r="939" spans="1:26" x14ac:dyDescent="0.25">
      <c r="A939">
        <v>100937</v>
      </c>
      <c r="B939" s="3">
        <v>45730</v>
      </c>
      <c r="C939" s="3">
        <v>45732</v>
      </c>
      <c r="D939" s="3">
        <v>45741</v>
      </c>
      <c r="E939" t="s">
        <v>1499</v>
      </c>
      <c r="F939" t="s">
        <v>25</v>
      </c>
      <c r="G939" t="s">
        <v>59</v>
      </c>
      <c r="H939" t="s">
        <v>2526</v>
      </c>
      <c r="I939" t="s">
        <v>198</v>
      </c>
      <c r="J939" t="s">
        <v>52</v>
      </c>
      <c r="K939" t="s">
        <v>2527</v>
      </c>
      <c r="L939" t="s">
        <v>118</v>
      </c>
      <c r="M939" t="s">
        <v>32</v>
      </c>
      <c r="N939" t="s">
        <v>45</v>
      </c>
      <c r="O939" t="s">
        <v>46</v>
      </c>
      <c r="P939" t="s">
        <v>35</v>
      </c>
      <c r="Q939">
        <v>347</v>
      </c>
      <c r="R939">
        <v>12.94</v>
      </c>
      <c r="S939">
        <v>4490.18</v>
      </c>
      <c r="T939">
        <v>22.31</v>
      </c>
      <c r="U939">
        <v>9</v>
      </c>
      <c r="V939">
        <v>11</v>
      </c>
      <c r="W939">
        <v>1987</v>
      </c>
      <c r="X939" t="s">
        <v>188</v>
      </c>
      <c r="Y939" t="s">
        <v>36</v>
      </c>
      <c r="Z939">
        <v>710.41</v>
      </c>
    </row>
    <row r="940" spans="1:26" x14ac:dyDescent="0.25">
      <c r="A940">
        <v>100938</v>
      </c>
      <c r="B940" s="3">
        <v>45373</v>
      </c>
      <c r="C940" s="3">
        <v>45376</v>
      </c>
      <c r="D940" s="3">
        <v>45381</v>
      </c>
      <c r="E940" t="s">
        <v>2528</v>
      </c>
      <c r="F940" t="s">
        <v>32</v>
      </c>
      <c r="G940" t="s">
        <v>180</v>
      </c>
      <c r="H940" t="s">
        <v>2529</v>
      </c>
      <c r="I940" t="s">
        <v>198</v>
      </c>
      <c r="J940" t="s">
        <v>52</v>
      </c>
      <c r="K940" t="s">
        <v>1705</v>
      </c>
      <c r="L940" t="s">
        <v>44</v>
      </c>
      <c r="M940" t="s">
        <v>32</v>
      </c>
      <c r="N940" t="s">
        <v>102</v>
      </c>
      <c r="O940" t="s">
        <v>103</v>
      </c>
      <c r="P940" t="s">
        <v>68</v>
      </c>
      <c r="Q940">
        <v>115</v>
      </c>
      <c r="R940">
        <v>74.010000000000005</v>
      </c>
      <c r="S940">
        <v>8511.15</v>
      </c>
      <c r="T940">
        <v>26.64</v>
      </c>
      <c r="U940">
        <v>5</v>
      </c>
      <c r="V940">
        <v>8</v>
      </c>
      <c r="W940">
        <v>2474</v>
      </c>
      <c r="X940" t="s">
        <v>188</v>
      </c>
      <c r="Y940" t="s">
        <v>36</v>
      </c>
      <c r="Z940">
        <v>980.21</v>
      </c>
    </row>
    <row r="941" spans="1:26" x14ac:dyDescent="0.25">
      <c r="A941">
        <v>100939</v>
      </c>
      <c r="B941" s="3">
        <v>45606</v>
      </c>
      <c r="C941" s="3">
        <v>45610</v>
      </c>
      <c r="D941" s="3">
        <v>45627</v>
      </c>
      <c r="E941" t="s">
        <v>2530</v>
      </c>
      <c r="F941" t="s">
        <v>65</v>
      </c>
      <c r="G941" t="s">
        <v>142</v>
      </c>
      <c r="H941" t="s">
        <v>2531</v>
      </c>
      <c r="I941" t="s">
        <v>85</v>
      </c>
      <c r="J941" t="s">
        <v>52</v>
      </c>
      <c r="K941" t="s">
        <v>410</v>
      </c>
      <c r="L941" t="s">
        <v>113</v>
      </c>
      <c r="M941" t="s">
        <v>25</v>
      </c>
      <c r="N941" t="s">
        <v>66</v>
      </c>
      <c r="O941" t="s">
        <v>67</v>
      </c>
      <c r="P941" t="s">
        <v>123</v>
      </c>
      <c r="Q941">
        <v>307</v>
      </c>
      <c r="R941">
        <v>27.91</v>
      </c>
      <c r="S941">
        <v>8568.3700000000008</v>
      </c>
      <c r="T941">
        <v>18.149999999999999</v>
      </c>
      <c r="U941">
        <v>17</v>
      </c>
      <c r="V941">
        <v>21</v>
      </c>
      <c r="W941">
        <v>1744</v>
      </c>
      <c r="X941" t="s">
        <v>3742</v>
      </c>
      <c r="Y941" t="s">
        <v>188</v>
      </c>
      <c r="Z941">
        <v>938.09</v>
      </c>
    </row>
    <row r="942" spans="1:26" x14ac:dyDescent="0.25">
      <c r="A942">
        <v>100940</v>
      </c>
      <c r="B942" s="3">
        <v>45998</v>
      </c>
      <c r="C942" s="3">
        <v>46000</v>
      </c>
      <c r="D942" s="3">
        <v>46002</v>
      </c>
      <c r="E942" t="s">
        <v>1952</v>
      </c>
      <c r="F942" t="s">
        <v>54</v>
      </c>
      <c r="G942" t="s">
        <v>129</v>
      </c>
      <c r="H942" t="s">
        <v>2532</v>
      </c>
      <c r="I942" t="s">
        <v>116</v>
      </c>
      <c r="J942" t="s">
        <v>62</v>
      </c>
      <c r="K942" t="s">
        <v>353</v>
      </c>
      <c r="L942" t="s">
        <v>31</v>
      </c>
      <c r="M942" t="s">
        <v>54</v>
      </c>
      <c r="N942" t="s">
        <v>33</v>
      </c>
      <c r="O942" t="s">
        <v>34</v>
      </c>
      <c r="P942" t="s">
        <v>68</v>
      </c>
      <c r="Q942">
        <v>340</v>
      </c>
      <c r="R942">
        <v>20.75</v>
      </c>
      <c r="S942">
        <v>7055</v>
      </c>
      <c r="T942">
        <v>37.44</v>
      </c>
      <c r="U942">
        <v>2</v>
      </c>
      <c r="V942">
        <v>4</v>
      </c>
      <c r="W942">
        <v>3305</v>
      </c>
      <c r="X942" t="s">
        <v>3741</v>
      </c>
      <c r="Y942" t="s">
        <v>36</v>
      </c>
      <c r="Z942">
        <v>520.21</v>
      </c>
    </row>
    <row r="943" spans="1:26" x14ac:dyDescent="0.25">
      <c r="A943">
        <v>100941</v>
      </c>
      <c r="B943" s="3">
        <v>45622</v>
      </c>
      <c r="C943" s="3">
        <v>45624</v>
      </c>
      <c r="D943" s="3">
        <v>45628</v>
      </c>
      <c r="E943" t="s">
        <v>2533</v>
      </c>
      <c r="F943" t="s">
        <v>25</v>
      </c>
      <c r="G943" t="s">
        <v>233</v>
      </c>
      <c r="H943" t="s">
        <v>2534</v>
      </c>
      <c r="I943" t="s">
        <v>149</v>
      </c>
      <c r="J943" t="s">
        <v>42</v>
      </c>
      <c r="K943" t="s">
        <v>1909</v>
      </c>
      <c r="L943" t="s">
        <v>122</v>
      </c>
      <c r="M943" t="s">
        <v>54</v>
      </c>
      <c r="N943" t="s">
        <v>74</v>
      </c>
      <c r="O943" t="s">
        <v>75</v>
      </c>
      <c r="P943" t="s">
        <v>68</v>
      </c>
      <c r="Q943">
        <v>203</v>
      </c>
      <c r="R943">
        <v>182.87</v>
      </c>
      <c r="S943">
        <v>37122.61</v>
      </c>
      <c r="T943">
        <v>41.67</v>
      </c>
      <c r="U943">
        <v>4</v>
      </c>
      <c r="V943">
        <v>6</v>
      </c>
      <c r="W943">
        <v>1316</v>
      </c>
      <c r="X943" t="s">
        <v>3741</v>
      </c>
      <c r="Y943" t="s">
        <v>36</v>
      </c>
      <c r="Z943">
        <v>7741.54</v>
      </c>
    </row>
    <row r="944" spans="1:26" x14ac:dyDescent="0.25">
      <c r="A944">
        <v>100942</v>
      </c>
      <c r="B944" s="3">
        <v>45579</v>
      </c>
      <c r="C944" s="3">
        <v>45580</v>
      </c>
      <c r="D944" s="3">
        <v>45582</v>
      </c>
      <c r="E944" t="s">
        <v>2535</v>
      </c>
      <c r="F944" t="s">
        <v>38</v>
      </c>
      <c r="G944" t="s">
        <v>217</v>
      </c>
      <c r="H944" t="s">
        <v>2536</v>
      </c>
      <c r="I944" t="s">
        <v>139</v>
      </c>
      <c r="J944" t="s">
        <v>42</v>
      </c>
      <c r="K944" t="s">
        <v>2537</v>
      </c>
      <c r="L944" t="s">
        <v>113</v>
      </c>
      <c r="M944" t="s">
        <v>25</v>
      </c>
      <c r="N944" t="s">
        <v>203</v>
      </c>
      <c r="O944" t="s">
        <v>204</v>
      </c>
      <c r="P944" t="s">
        <v>68</v>
      </c>
      <c r="Q944">
        <v>479</v>
      </c>
      <c r="R944">
        <v>212.38</v>
      </c>
      <c r="S944">
        <v>101730.02</v>
      </c>
      <c r="T944">
        <v>59.55</v>
      </c>
      <c r="U944">
        <v>2</v>
      </c>
      <c r="V944">
        <v>3</v>
      </c>
      <c r="W944">
        <v>583</v>
      </c>
      <c r="X944" t="s">
        <v>3741</v>
      </c>
      <c r="Y944" t="s">
        <v>36</v>
      </c>
      <c r="Z944">
        <v>10339.91</v>
      </c>
    </row>
    <row r="945" spans="1:26" x14ac:dyDescent="0.25">
      <c r="A945">
        <v>100943</v>
      </c>
      <c r="B945" s="3">
        <v>45413</v>
      </c>
      <c r="C945" s="3">
        <v>45414</v>
      </c>
      <c r="D945" s="3">
        <v>45417</v>
      </c>
      <c r="E945" t="s">
        <v>2538</v>
      </c>
      <c r="F945" t="s">
        <v>54</v>
      </c>
      <c r="G945" t="s">
        <v>225</v>
      </c>
      <c r="H945" t="s">
        <v>2539</v>
      </c>
      <c r="I945" t="s">
        <v>177</v>
      </c>
      <c r="J945" t="s">
        <v>29</v>
      </c>
      <c r="K945" t="s">
        <v>2540</v>
      </c>
      <c r="L945" t="s">
        <v>31</v>
      </c>
      <c r="M945" t="s">
        <v>38</v>
      </c>
      <c r="N945" t="s">
        <v>203</v>
      </c>
      <c r="O945" t="s">
        <v>204</v>
      </c>
      <c r="P945" t="s">
        <v>68</v>
      </c>
      <c r="Q945">
        <v>146</v>
      </c>
      <c r="R945">
        <v>71.72</v>
      </c>
      <c r="S945">
        <v>10471.120000000001</v>
      </c>
      <c r="T945">
        <v>37.97</v>
      </c>
      <c r="U945">
        <v>3</v>
      </c>
      <c r="V945">
        <v>4</v>
      </c>
      <c r="W945">
        <v>993</v>
      </c>
      <c r="X945" t="s">
        <v>3741</v>
      </c>
      <c r="Y945" t="s">
        <v>36</v>
      </c>
      <c r="Z945">
        <v>306.69</v>
      </c>
    </row>
    <row r="946" spans="1:26" x14ac:dyDescent="0.25">
      <c r="A946">
        <v>100944</v>
      </c>
      <c r="B946" s="3">
        <v>45700</v>
      </c>
      <c r="C946" s="3">
        <v>45704</v>
      </c>
      <c r="D946" s="3">
        <v>45711</v>
      </c>
      <c r="E946" t="s">
        <v>2541</v>
      </c>
      <c r="F946" t="s">
        <v>54</v>
      </c>
      <c r="G946" t="s">
        <v>193</v>
      </c>
      <c r="H946" t="s">
        <v>2542</v>
      </c>
      <c r="I946" t="s">
        <v>72</v>
      </c>
      <c r="J946" t="s">
        <v>42</v>
      </c>
      <c r="K946" t="s">
        <v>268</v>
      </c>
      <c r="L946" t="s">
        <v>64</v>
      </c>
      <c r="M946" t="s">
        <v>32</v>
      </c>
      <c r="N946" t="s">
        <v>151</v>
      </c>
      <c r="O946" t="s">
        <v>152</v>
      </c>
      <c r="P946" t="s">
        <v>68</v>
      </c>
      <c r="Q946">
        <v>114</v>
      </c>
      <c r="R946">
        <v>385.92</v>
      </c>
      <c r="S946">
        <v>43994.879999999997</v>
      </c>
      <c r="T946">
        <v>35.9</v>
      </c>
      <c r="U946">
        <v>7</v>
      </c>
      <c r="V946">
        <v>11</v>
      </c>
      <c r="W946">
        <v>1056</v>
      </c>
      <c r="X946" t="s">
        <v>188</v>
      </c>
      <c r="Y946" t="s">
        <v>36</v>
      </c>
      <c r="Z946">
        <v>8970.0400000000009</v>
      </c>
    </row>
    <row r="947" spans="1:26" x14ac:dyDescent="0.25">
      <c r="A947">
        <v>100945</v>
      </c>
      <c r="B947" s="3">
        <v>45604</v>
      </c>
      <c r="C947" s="3">
        <v>45607</v>
      </c>
      <c r="D947" s="3">
        <v>45611</v>
      </c>
      <c r="E947" t="s">
        <v>2543</v>
      </c>
      <c r="F947" t="s">
        <v>25</v>
      </c>
      <c r="G947" t="s">
        <v>233</v>
      </c>
      <c r="H947" t="s">
        <v>2544</v>
      </c>
      <c r="I947" t="s">
        <v>79</v>
      </c>
      <c r="J947" t="s">
        <v>80</v>
      </c>
      <c r="K947" t="s">
        <v>2545</v>
      </c>
      <c r="L947" t="s">
        <v>44</v>
      </c>
      <c r="M947" t="s">
        <v>25</v>
      </c>
      <c r="N947" t="s">
        <v>66</v>
      </c>
      <c r="O947" t="s">
        <v>67</v>
      </c>
      <c r="P947" t="s">
        <v>123</v>
      </c>
      <c r="Q947">
        <v>340</v>
      </c>
      <c r="R947">
        <v>334.08</v>
      </c>
      <c r="S947">
        <v>113587.2</v>
      </c>
      <c r="T947">
        <v>14.04</v>
      </c>
      <c r="U947">
        <v>4</v>
      </c>
      <c r="V947">
        <v>7</v>
      </c>
      <c r="W947">
        <v>1692</v>
      </c>
      <c r="X947" t="s">
        <v>3741</v>
      </c>
      <c r="Y947" t="s">
        <v>36</v>
      </c>
      <c r="Z947">
        <v>31674.71</v>
      </c>
    </row>
    <row r="948" spans="1:26" x14ac:dyDescent="0.25">
      <c r="A948">
        <v>100946</v>
      </c>
      <c r="B948" s="3">
        <v>45989</v>
      </c>
      <c r="C948" s="3">
        <v>45993</v>
      </c>
      <c r="D948" s="3">
        <v>46002</v>
      </c>
      <c r="E948" t="s">
        <v>2546</v>
      </c>
      <c r="F948" t="s">
        <v>54</v>
      </c>
      <c r="G948" t="s">
        <v>225</v>
      </c>
      <c r="H948" t="s">
        <v>2547</v>
      </c>
      <c r="I948" t="s">
        <v>126</v>
      </c>
      <c r="J948" t="s">
        <v>42</v>
      </c>
      <c r="K948" t="s">
        <v>2548</v>
      </c>
      <c r="L948" t="s">
        <v>44</v>
      </c>
      <c r="M948" t="s">
        <v>65</v>
      </c>
      <c r="N948" t="s">
        <v>45</v>
      </c>
      <c r="O948" t="s">
        <v>46</v>
      </c>
      <c r="P948" t="s">
        <v>123</v>
      </c>
      <c r="Q948">
        <v>256</v>
      </c>
      <c r="R948">
        <v>263.51</v>
      </c>
      <c r="S948">
        <v>67458.559999999998</v>
      </c>
      <c r="T948">
        <v>16.91</v>
      </c>
      <c r="U948">
        <v>9</v>
      </c>
      <c r="V948">
        <v>13</v>
      </c>
      <c r="W948">
        <v>590</v>
      </c>
      <c r="X948" t="s">
        <v>188</v>
      </c>
      <c r="Y948" t="s">
        <v>36</v>
      </c>
      <c r="Z948">
        <v>14380.25</v>
      </c>
    </row>
    <row r="949" spans="1:26" x14ac:dyDescent="0.25">
      <c r="A949">
        <v>100947</v>
      </c>
      <c r="B949" s="3">
        <v>45935</v>
      </c>
      <c r="C949" s="3">
        <v>45938</v>
      </c>
      <c r="D949" s="3">
        <v>45939</v>
      </c>
      <c r="E949" t="s">
        <v>2549</v>
      </c>
      <c r="F949" t="s">
        <v>32</v>
      </c>
      <c r="G949" t="s">
        <v>110</v>
      </c>
      <c r="H949" t="s">
        <v>2550</v>
      </c>
      <c r="I949" t="s">
        <v>416</v>
      </c>
      <c r="J949" t="s">
        <v>80</v>
      </c>
      <c r="K949" t="s">
        <v>1116</v>
      </c>
      <c r="L949" t="s">
        <v>31</v>
      </c>
      <c r="M949" t="s">
        <v>54</v>
      </c>
      <c r="N949" t="s">
        <v>92</v>
      </c>
      <c r="O949" t="s">
        <v>93</v>
      </c>
      <c r="P949" t="s">
        <v>68</v>
      </c>
      <c r="Q949">
        <v>88</v>
      </c>
      <c r="R949">
        <v>185.44</v>
      </c>
      <c r="S949">
        <v>16318.72</v>
      </c>
      <c r="T949">
        <v>34.21</v>
      </c>
      <c r="U949">
        <v>1</v>
      </c>
      <c r="V949">
        <v>4</v>
      </c>
      <c r="W949">
        <v>247</v>
      </c>
      <c r="X949" t="s">
        <v>3741</v>
      </c>
      <c r="Y949" t="s">
        <v>36</v>
      </c>
      <c r="Z949">
        <v>3201.57</v>
      </c>
    </row>
    <row r="950" spans="1:26" x14ac:dyDescent="0.25">
      <c r="A950">
        <v>100948</v>
      </c>
      <c r="B950" s="3">
        <v>46014</v>
      </c>
      <c r="C950" s="3">
        <v>46018</v>
      </c>
      <c r="D950" s="3">
        <v>46020</v>
      </c>
      <c r="E950" t="s">
        <v>2551</v>
      </c>
      <c r="F950" t="s">
        <v>38</v>
      </c>
      <c r="G950" t="s">
        <v>147</v>
      </c>
      <c r="H950" t="s">
        <v>2552</v>
      </c>
      <c r="I950" t="s">
        <v>177</v>
      </c>
      <c r="J950" t="s">
        <v>29</v>
      </c>
      <c r="K950" t="s">
        <v>247</v>
      </c>
      <c r="L950" t="s">
        <v>64</v>
      </c>
      <c r="M950" t="s">
        <v>54</v>
      </c>
      <c r="N950" t="s">
        <v>55</v>
      </c>
      <c r="O950" t="s">
        <v>56</v>
      </c>
      <c r="P950" t="s">
        <v>68</v>
      </c>
      <c r="Q950">
        <v>181</v>
      </c>
      <c r="R950">
        <v>111.66</v>
      </c>
      <c r="S950">
        <v>20210.46</v>
      </c>
      <c r="T950">
        <v>40.24</v>
      </c>
      <c r="U950">
        <v>2</v>
      </c>
      <c r="V950">
        <v>6</v>
      </c>
      <c r="W950">
        <v>2160</v>
      </c>
      <c r="X950" t="s">
        <v>3741</v>
      </c>
      <c r="Y950" t="s">
        <v>36</v>
      </c>
      <c r="Z950">
        <v>5566.82</v>
      </c>
    </row>
    <row r="951" spans="1:26" x14ac:dyDescent="0.25">
      <c r="A951">
        <v>100949</v>
      </c>
      <c r="B951" s="3">
        <v>45480</v>
      </c>
      <c r="C951" s="3">
        <v>45480</v>
      </c>
      <c r="D951" s="3">
        <v>45485</v>
      </c>
      <c r="E951" t="s">
        <v>2553</v>
      </c>
      <c r="F951" t="s">
        <v>54</v>
      </c>
      <c r="G951" t="s">
        <v>225</v>
      </c>
      <c r="H951" t="s">
        <v>2554</v>
      </c>
      <c r="I951" t="s">
        <v>28</v>
      </c>
      <c r="J951" t="s">
        <v>29</v>
      </c>
      <c r="K951" t="s">
        <v>2555</v>
      </c>
      <c r="L951" t="s">
        <v>113</v>
      </c>
      <c r="M951" t="s">
        <v>25</v>
      </c>
      <c r="N951" t="s">
        <v>33</v>
      </c>
      <c r="O951" t="s">
        <v>34</v>
      </c>
      <c r="P951" t="s">
        <v>123</v>
      </c>
      <c r="Q951">
        <v>344</v>
      </c>
      <c r="R951">
        <v>28.52</v>
      </c>
      <c r="S951">
        <v>9810.8799999999992</v>
      </c>
      <c r="T951">
        <v>19.05</v>
      </c>
      <c r="U951">
        <v>5</v>
      </c>
      <c r="V951">
        <v>5</v>
      </c>
      <c r="W951">
        <v>3062</v>
      </c>
      <c r="X951" t="s">
        <v>3742</v>
      </c>
      <c r="Y951" t="s">
        <v>47</v>
      </c>
      <c r="Z951">
        <v>-202.55</v>
      </c>
    </row>
    <row r="952" spans="1:26" x14ac:dyDescent="0.25">
      <c r="A952">
        <v>100950</v>
      </c>
      <c r="B952" s="3">
        <v>45673</v>
      </c>
      <c r="C952" s="3">
        <v>45676</v>
      </c>
      <c r="D952" s="3">
        <v>45677</v>
      </c>
      <c r="E952" t="s">
        <v>2556</v>
      </c>
      <c r="F952" t="s">
        <v>54</v>
      </c>
      <c r="G952" t="s">
        <v>129</v>
      </c>
      <c r="H952" t="s">
        <v>1021</v>
      </c>
      <c r="I952" t="s">
        <v>191</v>
      </c>
      <c r="J952" t="s">
        <v>62</v>
      </c>
      <c r="K952" t="s">
        <v>2557</v>
      </c>
      <c r="L952" t="s">
        <v>187</v>
      </c>
      <c r="M952" t="s">
        <v>25</v>
      </c>
      <c r="N952" t="s">
        <v>151</v>
      </c>
      <c r="O952" t="s">
        <v>152</v>
      </c>
      <c r="P952" t="s">
        <v>68</v>
      </c>
      <c r="Q952">
        <v>474</v>
      </c>
      <c r="R952">
        <v>17.239999999999998</v>
      </c>
      <c r="S952">
        <v>8171.76</v>
      </c>
      <c r="T952">
        <v>59.23</v>
      </c>
      <c r="U952">
        <v>1</v>
      </c>
      <c r="V952">
        <v>4</v>
      </c>
      <c r="W952">
        <v>4520</v>
      </c>
      <c r="X952" t="s">
        <v>3741</v>
      </c>
      <c r="Y952" t="s">
        <v>36</v>
      </c>
      <c r="Z952">
        <v>384.84</v>
      </c>
    </row>
    <row r="953" spans="1:26" x14ac:dyDescent="0.25">
      <c r="A953">
        <v>100951</v>
      </c>
      <c r="B953" s="3">
        <v>45444</v>
      </c>
      <c r="C953" s="3">
        <v>45448</v>
      </c>
      <c r="D953" s="3">
        <v>45454</v>
      </c>
      <c r="E953" t="s">
        <v>2558</v>
      </c>
      <c r="F953" t="s">
        <v>54</v>
      </c>
      <c r="G953" t="s">
        <v>158</v>
      </c>
      <c r="H953" t="s">
        <v>2559</v>
      </c>
      <c r="I953" t="s">
        <v>61</v>
      </c>
      <c r="J953" t="s">
        <v>62</v>
      </c>
      <c r="K953" t="s">
        <v>1265</v>
      </c>
      <c r="L953" t="s">
        <v>212</v>
      </c>
      <c r="M953" t="s">
        <v>65</v>
      </c>
      <c r="N953" t="s">
        <v>66</v>
      </c>
      <c r="O953" t="s">
        <v>67</v>
      </c>
      <c r="P953" t="s">
        <v>35</v>
      </c>
      <c r="Q953">
        <v>437</v>
      </c>
      <c r="R953">
        <v>21.57</v>
      </c>
      <c r="S953">
        <v>9426.09</v>
      </c>
      <c r="T953">
        <v>24.86</v>
      </c>
      <c r="U953">
        <v>6</v>
      </c>
      <c r="V953">
        <v>10</v>
      </c>
      <c r="W953">
        <v>3589</v>
      </c>
      <c r="X953" t="s">
        <v>188</v>
      </c>
      <c r="Y953" t="s">
        <v>36</v>
      </c>
      <c r="Z953">
        <v>462.7</v>
      </c>
    </row>
    <row r="954" spans="1:26" x14ac:dyDescent="0.25">
      <c r="A954">
        <v>100952</v>
      </c>
      <c r="B954" s="3">
        <v>46002</v>
      </c>
      <c r="C954" s="3">
        <v>46007</v>
      </c>
      <c r="D954" s="3">
        <v>46012</v>
      </c>
      <c r="E954" t="s">
        <v>2560</v>
      </c>
      <c r="F954" t="s">
        <v>38</v>
      </c>
      <c r="G954" t="s">
        <v>147</v>
      </c>
      <c r="H954" t="s">
        <v>2561</v>
      </c>
      <c r="I954" t="s">
        <v>41</v>
      </c>
      <c r="J954" t="s">
        <v>42</v>
      </c>
      <c r="K954" t="s">
        <v>1259</v>
      </c>
      <c r="L954" t="s">
        <v>118</v>
      </c>
      <c r="M954" t="s">
        <v>54</v>
      </c>
      <c r="N954" t="s">
        <v>92</v>
      </c>
      <c r="O954" t="s">
        <v>93</v>
      </c>
      <c r="P954" t="s">
        <v>68</v>
      </c>
      <c r="Q954">
        <v>183</v>
      </c>
      <c r="R954">
        <v>257.48</v>
      </c>
      <c r="S954">
        <v>47118.84</v>
      </c>
      <c r="T954">
        <v>40.369999999999997</v>
      </c>
      <c r="U954">
        <v>5</v>
      </c>
      <c r="V954">
        <v>10</v>
      </c>
      <c r="W954">
        <v>1109</v>
      </c>
      <c r="X954" t="s">
        <v>188</v>
      </c>
      <c r="Y954" t="s">
        <v>36</v>
      </c>
      <c r="Z954">
        <v>4423.38</v>
      </c>
    </row>
    <row r="955" spans="1:26" x14ac:dyDescent="0.25">
      <c r="A955">
        <v>100953</v>
      </c>
      <c r="B955" s="3">
        <v>45532</v>
      </c>
      <c r="C955" s="3">
        <v>45536</v>
      </c>
      <c r="D955" s="3">
        <v>45552</v>
      </c>
      <c r="E955" t="s">
        <v>2562</v>
      </c>
      <c r="F955" t="s">
        <v>65</v>
      </c>
      <c r="G955" t="s">
        <v>142</v>
      </c>
      <c r="H955" t="s">
        <v>2563</v>
      </c>
      <c r="I955" t="s">
        <v>182</v>
      </c>
      <c r="J955" t="s">
        <v>80</v>
      </c>
      <c r="K955" t="s">
        <v>1453</v>
      </c>
      <c r="L955" t="s">
        <v>118</v>
      </c>
      <c r="M955" t="s">
        <v>65</v>
      </c>
      <c r="N955" t="s">
        <v>102</v>
      </c>
      <c r="O955" t="s">
        <v>103</v>
      </c>
      <c r="P955" t="s">
        <v>76</v>
      </c>
      <c r="Q955">
        <v>152</v>
      </c>
      <c r="R955">
        <v>185.87</v>
      </c>
      <c r="S955">
        <v>28252.240000000002</v>
      </c>
      <c r="T955">
        <v>7.99</v>
      </c>
      <c r="U955">
        <v>16</v>
      </c>
      <c r="V955">
        <v>20</v>
      </c>
      <c r="W955">
        <v>57</v>
      </c>
      <c r="X955" t="s">
        <v>3742</v>
      </c>
      <c r="Y955" t="s">
        <v>47</v>
      </c>
      <c r="Z955">
        <v>-27.27</v>
      </c>
    </row>
    <row r="956" spans="1:26" x14ac:dyDescent="0.25">
      <c r="A956">
        <v>100954</v>
      </c>
      <c r="B956" s="3">
        <v>45699</v>
      </c>
      <c r="C956" s="3">
        <v>45704</v>
      </c>
      <c r="D956" s="3">
        <v>45705</v>
      </c>
      <c r="E956" t="s">
        <v>2564</v>
      </c>
      <c r="F956" t="s">
        <v>38</v>
      </c>
      <c r="G956" t="s">
        <v>147</v>
      </c>
      <c r="H956" t="s">
        <v>2565</v>
      </c>
      <c r="I956" t="s">
        <v>41</v>
      </c>
      <c r="J956" t="s">
        <v>42</v>
      </c>
      <c r="K956" t="s">
        <v>1659</v>
      </c>
      <c r="L956" t="s">
        <v>91</v>
      </c>
      <c r="M956" t="s">
        <v>25</v>
      </c>
      <c r="N956" t="s">
        <v>203</v>
      </c>
      <c r="O956" t="s">
        <v>204</v>
      </c>
      <c r="P956" t="s">
        <v>68</v>
      </c>
      <c r="Q956">
        <v>421</v>
      </c>
      <c r="R956">
        <v>173.99</v>
      </c>
      <c r="S956">
        <v>73249.789999999994</v>
      </c>
      <c r="T956">
        <v>55.79</v>
      </c>
      <c r="U956">
        <v>1</v>
      </c>
      <c r="V956">
        <v>6</v>
      </c>
      <c r="W956">
        <v>1426</v>
      </c>
      <c r="X956" t="s">
        <v>3741</v>
      </c>
      <c r="Y956" t="s">
        <v>36</v>
      </c>
      <c r="Z956">
        <v>10591.33</v>
      </c>
    </row>
    <row r="957" spans="1:26" x14ac:dyDescent="0.25">
      <c r="A957">
        <v>100955</v>
      </c>
      <c r="B957" s="3">
        <v>45431</v>
      </c>
      <c r="C957" s="3">
        <v>45431</v>
      </c>
      <c r="D957" s="3">
        <v>45442</v>
      </c>
      <c r="E957" t="s">
        <v>417</v>
      </c>
      <c r="F957" t="s">
        <v>65</v>
      </c>
      <c r="G957" t="s">
        <v>154</v>
      </c>
      <c r="H957" t="s">
        <v>2566</v>
      </c>
      <c r="I957" t="s">
        <v>182</v>
      </c>
      <c r="J957" t="s">
        <v>80</v>
      </c>
      <c r="K957" t="s">
        <v>2567</v>
      </c>
      <c r="L957" t="s">
        <v>187</v>
      </c>
      <c r="M957" t="s">
        <v>25</v>
      </c>
      <c r="N957" t="s">
        <v>66</v>
      </c>
      <c r="O957" t="s">
        <v>67</v>
      </c>
      <c r="P957" t="s">
        <v>123</v>
      </c>
      <c r="Q957">
        <v>494</v>
      </c>
      <c r="R957">
        <v>75.599999999999994</v>
      </c>
      <c r="S957">
        <v>37346.400000000001</v>
      </c>
      <c r="T957">
        <v>22.7</v>
      </c>
      <c r="U957">
        <v>11</v>
      </c>
      <c r="V957">
        <v>11</v>
      </c>
      <c r="W957">
        <v>1789</v>
      </c>
      <c r="X957" t="s">
        <v>188</v>
      </c>
      <c r="Y957" t="s">
        <v>36</v>
      </c>
      <c r="Z957">
        <v>4567.37</v>
      </c>
    </row>
    <row r="958" spans="1:26" x14ac:dyDescent="0.25">
      <c r="A958">
        <v>100956</v>
      </c>
      <c r="B958" s="3">
        <v>45364</v>
      </c>
      <c r="C958" s="3">
        <v>45364</v>
      </c>
      <c r="D958" s="3">
        <v>45368</v>
      </c>
      <c r="E958" t="s">
        <v>2568</v>
      </c>
      <c r="F958" t="s">
        <v>32</v>
      </c>
      <c r="G958" t="s">
        <v>137</v>
      </c>
      <c r="H958" t="s">
        <v>2569</v>
      </c>
      <c r="I958" t="s">
        <v>230</v>
      </c>
      <c r="J958" t="s">
        <v>80</v>
      </c>
      <c r="K958" t="s">
        <v>822</v>
      </c>
      <c r="L958" t="s">
        <v>98</v>
      </c>
      <c r="M958" t="s">
        <v>54</v>
      </c>
      <c r="N958" t="s">
        <v>92</v>
      </c>
      <c r="O958" t="s">
        <v>93</v>
      </c>
      <c r="P958" t="s">
        <v>68</v>
      </c>
      <c r="Q958">
        <v>65</v>
      </c>
      <c r="R958">
        <v>270.14999999999998</v>
      </c>
      <c r="S958">
        <v>17559.75</v>
      </c>
      <c r="T958">
        <v>32.72</v>
      </c>
      <c r="U958">
        <v>4</v>
      </c>
      <c r="V958">
        <v>4</v>
      </c>
      <c r="W958">
        <v>475</v>
      </c>
      <c r="X958" t="s">
        <v>3741</v>
      </c>
      <c r="Y958" t="s">
        <v>36</v>
      </c>
      <c r="Z958">
        <v>2530.2399999999998</v>
      </c>
    </row>
    <row r="959" spans="1:26" x14ac:dyDescent="0.25">
      <c r="A959">
        <v>100957</v>
      </c>
      <c r="B959" s="3">
        <v>45770</v>
      </c>
      <c r="C959" s="3">
        <v>45771</v>
      </c>
      <c r="D959" s="3">
        <v>45780</v>
      </c>
      <c r="E959" t="s">
        <v>2570</v>
      </c>
      <c r="F959" t="s">
        <v>38</v>
      </c>
      <c r="G959" t="s">
        <v>39</v>
      </c>
      <c r="H959" t="s">
        <v>2571</v>
      </c>
      <c r="I959" t="s">
        <v>144</v>
      </c>
      <c r="J959" t="s">
        <v>52</v>
      </c>
      <c r="K959" t="s">
        <v>2572</v>
      </c>
      <c r="L959" t="s">
        <v>212</v>
      </c>
      <c r="M959" t="s">
        <v>54</v>
      </c>
      <c r="N959" t="s">
        <v>92</v>
      </c>
      <c r="O959" t="s">
        <v>93</v>
      </c>
      <c r="P959" t="s">
        <v>35</v>
      </c>
      <c r="Q959">
        <v>137</v>
      </c>
      <c r="R959">
        <v>14.91</v>
      </c>
      <c r="S959">
        <v>2042.67</v>
      </c>
      <c r="T959">
        <v>16.36</v>
      </c>
      <c r="U959">
        <v>9</v>
      </c>
      <c r="V959">
        <v>10</v>
      </c>
      <c r="W959">
        <v>1278</v>
      </c>
      <c r="X959" t="s">
        <v>188</v>
      </c>
      <c r="Y959" t="s">
        <v>36</v>
      </c>
      <c r="Z959">
        <v>218.71</v>
      </c>
    </row>
    <row r="960" spans="1:26" x14ac:dyDescent="0.25">
      <c r="A960">
        <v>100958</v>
      </c>
      <c r="B960" s="3">
        <v>45682</v>
      </c>
      <c r="C960" s="3">
        <v>45682</v>
      </c>
      <c r="D960" s="3">
        <v>45696</v>
      </c>
      <c r="E960" t="s">
        <v>2573</v>
      </c>
      <c r="F960" t="s">
        <v>38</v>
      </c>
      <c r="G960" t="s">
        <v>217</v>
      </c>
      <c r="H960" t="s">
        <v>2574</v>
      </c>
      <c r="I960" t="s">
        <v>207</v>
      </c>
      <c r="J960" t="s">
        <v>80</v>
      </c>
      <c r="K960" t="s">
        <v>2575</v>
      </c>
      <c r="L960" t="s">
        <v>113</v>
      </c>
      <c r="M960" t="s">
        <v>38</v>
      </c>
      <c r="N960" t="s">
        <v>203</v>
      </c>
      <c r="O960" t="s">
        <v>204</v>
      </c>
      <c r="P960" t="s">
        <v>76</v>
      </c>
      <c r="Q960">
        <v>284</v>
      </c>
      <c r="R960">
        <v>297.93</v>
      </c>
      <c r="S960">
        <v>84612.12</v>
      </c>
      <c r="T960">
        <v>9.77</v>
      </c>
      <c r="U960">
        <v>14</v>
      </c>
      <c r="V960">
        <v>14</v>
      </c>
      <c r="W960">
        <v>502</v>
      </c>
      <c r="X960" t="s">
        <v>188</v>
      </c>
      <c r="Y960" t="s">
        <v>36</v>
      </c>
      <c r="Z960">
        <v>19115.580000000002</v>
      </c>
    </row>
    <row r="961" spans="1:26" x14ac:dyDescent="0.25">
      <c r="A961">
        <v>100959</v>
      </c>
      <c r="B961" s="3">
        <v>45467</v>
      </c>
      <c r="C961" s="3">
        <v>45472</v>
      </c>
      <c r="D961" s="3">
        <v>45479</v>
      </c>
      <c r="E961" t="s">
        <v>2576</v>
      </c>
      <c r="F961" t="s">
        <v>65</v>
      </c>
      <c r="G961" t="s">
        <v>154</v>
      </c>
      <c r="H961" t="s">
        <v>2577</v>
      </c>
      <c r="I961" t="s">
        <v>41</v>
      </c>
      <c r="J961" t="s">
        <v>42</v>
      </c>
      <c r="K961" t="s">
        <v>186</v>
      </c>
      <c r="L961" t="s">
        <v>212</v>
      </c>
      <c r="M961" t="s">
        <v>25</v>
      </c>
      <c r="N961" t="s">
        <v>66</v>
      </c>
      <c r="O961" t="s">
        <v>67</v>
      </c>
      <c r="P961" t="s">
        <v>68</v>
      </c>
      <c r="Q961">
        <v>151</v>
      </c>
      <c r="R961">
        <v>84.06</v>
      </c>
      <c r="S961">
        <v>12693.06</v>
      </c>
      <c r="T961">
        <v>38.299999999999997</v>
      </c>
      <c r="U961">
        <v>7</v>
      </c>
      <c r="V961">
        <v>12</v>
      </c>
      <c r="W961">
        <v>1798</v>
      </c>
      <c r="X961" t="s">
        <v>188</v>
      </c>
      <c r="Y961" t="s">
        <v>36</v>
      </c>
      <c r="Z961">
        <v>1717.9</v>
      </c>
    </row>
    <row r="962" spans="1:26" x14ac:dyDescent="0.25">
      <c r="A962">
        <v>100960</v>
      </c>
      <c r="B962" s="3">
        <v>45474</v>
      </c>
      <c r="C962" s="3">
        <v>45477</v>
      </c>
      <c r="D962" s="3">
        <v>45479</v>
      </c>
      <c r="E962" t="s">
        <v>2578</v>
      </c>
      <c r="F962" t="s">
        <v>65</v>
      </c>
      <c r="G962" t="s">
        <v>142</v>
      </c>
      <c r="H962" t="s">
        <v>2579</v>
      </c>
      <c r="I962" t="s">
        <v>198</v>
      </c>
      <c r="J962" t="s">
        <v>52</v>
      </c>
      <c r="K962" t="s">
        <v>2580</v>
      </c>
      <c r="L962" t="s">
        <v>64</v>
      </c>
      <c r="M962" t="s">
        <v>54</v>
      </c>
      <c r="N962" t="s">
        <v>33</v>
      </c>
      <c r="O962" t="s">
        <v>34</v>
      </c>
      <c r="P962" t="s">
        <v>68</v>
      </c>
      <c r="Q962">
        <v>276</v>
      </c>
      <c r="R962">
        <v>88.11</v>
      </c>
      <c r="S962">
        <v>24318.36</v>
      </c>
      <c r="T962">
        <v>46.4</v>
      </c>
      <c r="U962">
        <v>2</v>
      </c>
      <c r="V962">
        <v>5</v>
      </c>
      <c r="W962">
        <v>438</v>
      </c>
      <c r="X962" t="s">
        <v>3741</v>
      </c>
      <c r="Y962" t="s">
        <v>36</v>
      </c>
      <c r="Z962">
        <v>2286.39</v>
      </c>
    </row>
    <row r="963" spans="1:26" x14ac:dyDescent="0.25">
      <c r="A963">
        <v>100961</v>
      </c>
      <c r="B963" s="3">
        <v>45537</v>
      </c>
      <c r="C963" s="3">
        <v>45538</v>
      </c>
      <c r="D963" s="3">
        <v>45549</v>
      </c>
      <c r="E963" t="s">
        <v>2581</v>
      </c>
      <c r="F963" t="s">
        <v>65</v>
      </c>
      <c r="G963" t="s">
        <v>154</v>
      </c>
      <c r="H963" t="s">
        <v>2582</v>
      </c>
      <c r="I963" t="s">
        <v>207</v>
      </c>
      <c r="J963" t="s">
        <v>80</v>
      </c>
      <c r="K963" t="s">
        <v>1013</v>
      </c>
      <c r="L963" t="s">
        <v>187</v>
      </c>
      <c r="M963" t="s">
        <v>32</v>
      </c>
      <c r="N963" t="s">
        <v>45</v>
      </c>
      <c r="O963" t="s">
        <v>46</v>
      </c>
      <c r="P963" t="s">
        <v>123</v>
      </c>
      <c r="Q963">
        <v>95</v>
      </c>
      <c r="R963">
        <v>252.57</v>
      </c>
      <c r="S963">
        <v>23994.15</v>
      </c>
      <c r="T963">
        <v>13</v>
      </c>
      <c r="U963">
        <v>11</v>
      </c>
      <c r="V963">
        <v>12</v>
      </c>
      <c r="W963">
        <v>1707</v>
      </c>
      <c r="X963" t="s">
        <v>188</v>
      </c>
      <c r="Y963" t="s">
        <v>36</v>
      </c>
      <c r="Z963">
        <v>3660.01</v>
      </c>
    </row>
    <row r="964" spans="1:26" x14ac:dyDescent="0.25">
      <c r="A964">
        <v>100962</v>
      </c>
      <c r="B964" s="3">
        <v>45676</v>
      </c>
      <c r="C964" s="3">
        <v>45679</v>
      </c>
      <c r="D964" s="3">
        <v>45694</v>
      </c>
      <c r="E964" t="s">
        <v>2583</v>
      </c>
      <c r="F964" t="s">
        <v>65</v>
      </c>
      <c r="G964" t="s">
        <v>142</v>
      </c>
      <c r="H964" t="s">
        <v>2584</v>
      </c>
      <c r="I964" t="s">
        <v>41</v>
      </c>
      <c r="J964" t="s">
        <v>42</v>
      </c>
      <c r="K964" t="s">
        <v>316</v>
      </c>
      <c r="L964" t="s">
        <v>98</v>
      </c>
      <c r="M964" t="s">
        <v>25</v>
      </c>
      <c r="N964" t="s">
        <v>74</v>
      </c>
      <c r="O964" t="s">
        <v>75</v>
      </c>
      <c r="P964" t="s">
        <v>76</v>
      </c>
      <c r="Q964">
        <v>187</v>
      </c>
      <c r="R964">
        <v>177.72</v>
      </c>
      <c r="S964">
        <v>33233.64</v>
      </c>
      <c r="T964">
        <v>11.43</v>
      </c>
      <c r="U964">
        <v>15</v>
      </c>
      <c r="V964">
        <v>18</v>
      </c>
      <c r="W964">
        <v>835</v>
      </c>
      <c r="X964" t="s">
        <v>188</v>
      </c>
      <c r="Y964" t="s">
        <v>36</v>
      </c>
      <c r="Z964">
        <v>5468.93</v>
      </c>
    </row>
    <row r="965" spans="1:26" x14ac:dyDescent="0.25">
      <c r="A965">
        <v>100963</v>
      </c>
      <c r="B965" s="3">
        <v>45721</v>
      </c>
      <c r="C965" s="3">
        <v>45725</v>
      </c>
      <c r="D965" s="3">
        <v>45749</v>
      </c>
      <c r="E965" t="s">
        <v>2585</v>
      </c>
      <c r="F965" t="s">
        <v>25</v>
      </c>
      <c r="G965" t="s">
        <v>221</v>
      </c>
      <c r="H965" t="s">
        <v>305</v>
      </c>
      <c r="I965" t="s">
        <v>246</v>
      </c>
      <c r="J965" t="s">
        <v>29</v>
      </c>
      <c r="K965" t="s">
        <v>2586</v>
      </c>
      <c r="L965" t="s">
        <v>113</v>
      </c>
      <c r="M965" t="s">
        <v>54</v>
      </c>
      <c r="N965" t="s">
        <v>55</v>
      </c>
      <c r="O965" t="s">
        <v>56</v>
      </c>
      <c r="P965" t="s">
        <v>76</v>
      </c>
      <c r="Q965">
        <v>421</v>
      </c>
      <c r="R965">
        <v>52.22</v>
      </c>
      <c r="S965">
        <v>21984.62</v>
      </c>
      <c r="T965">
        <v>15.69</v>
      </c>
      <c r="U965">
        <v>24</v>
      </c>
      <c r="V965">
        <v>28</v>
      </c>
      <c r="W965">
        <v>3146</v>
      </c>
      <c r="X965" t="s">
        <v>3742</v>
      </c>
      <c r="Y965" t="s">
        <v>57</v>
      </c>
      <c r="Z965">
        <v>3392.17</v>
      </c>
    </row>
    <row r="966" spans="1:26" x14ac:dyDescent="0.25">
      <c r="A966">
        <v>100964</v>
      </c>
      <c r="B966" s="3">
        <v>45656</v>
      </c>
      <c r="C966" s="3">
        <v>45658</v>
      </c>
      <c r="D966" s="3">
        <v>45662</v>
      </c>
      <c r="E966" t="s">
        <v>2587</v>
      </c>
      <c r="F966" t="s">
        <v>65</v>
      </c>
      <c r="G966" t="s">
        <v>70</v>
      </c>
      <c r="H966" t="s">
        <v>2588</v>
      </c>
      <c r="I966" t="s">
        <v>79</v>
      </c>
      <c r="J966" t="s">
        <v>80</v>
      </c>
      <c r="K966" t="s">
        <v>683</v>
      </c>
      <c r="L966" t="s">
        <v>187</v>
      </c>
      <c r="M966" t="s">
        <v>65</v>
      </c>
      <c r="N966" t="s">
        <v>203</v>
      </c>
      <c r="O966" t="s">
        <v>204</v>
      </c>
      <c r="P966" t="s">
        <v>123</v>
      </c>
      <c r="Q966">
        <v>232</v>
      </c>
      <c r="R966">
        <v>128.63999999999999</v>
      </c>
      <c r="S966">
        <v>29844.48</v>
      </c>
      <c r="T966">
        <v>12.1</v>
      </c>
      <c r="U966">
        <v>4</v>
      </c>
      <c r="V966">
        <v>6</v>
      </c>
      <c r="W966">
        <v>1262</v>
      </c>
      <c r="X966" t="s">
        <v>3741</v>
      </c>
      <c r="Y966" t="s">
        <v>36</v>
      </c>
      <c r="Z966">
        <v>7939.31</v>
      </c>
    </row>
    <row r="967" spans="1:26" x14ac:dyDescent="0.25">
      <c r="A967">
        <v>100965</v>
      </c>
      <c r="B967" s="3">
        <v>45733</v>
      </c>
      <c r="C967" s="3">
        <v>45737</v>
      </c>
      <c r="D967" s="3">
        <v>45748</v>
      </c>
      <c r="E967" t="s">
        <v>2589</v>
      </c>
      <c r="F967" t="s">
        <v>65</v>
      </c>
      <c r="G967" t="s">
        <v>142</v>
      </c>
      <c r="H967" t="s">
        <v>2590</v>
      </c>
      <c r="I967" t="s">
        <v>72</v>
      </c>
      <c r="J967" t="s">
        <v>42</v>
      </c>
      <c r="K967" t="s">
        <v>861</v>
      </c>
      <c r="L967" t="s">
        <v>44</v>
      </c>
      <c r="M967" t="s">
        <v>32</v>
      </c>
      <c r="N967" t="s">
        <v>74</v>
      </c>
      <c r="O967" t="s">
        <v>75</v>
      </c>
      <c r="P967" t="s">
        <v>123</v>
      </c>
      <c r="Q967">
        <v>100</v>
      </c>
      <c r="R967">
        <v>297.77999999999997</v>
      </c>
      <c r="S967">
        <v>29778</v>
      </c>
      <c r="T967">
        <v>13.12</v>
      </c>
      <c r="U967">
        <v>11</v>
      </c>
      <c r="V967">
        <v>15</v>
      </c>
      <c r="W967">
        <v>792</v>
      </c>
      <c r="X967" t="s">
        <v>188</v>
      </c>
      <c r="Y967" t="s">
        <v>36</v>
      </c>
      <c r="Z967">
        <v>2498.75</v>
      </c>
    </row>
    <row r="968" spans="1:26" x14ac:dyDescent="0.25">
      <c r="A968">
        <v>100966</v>
      </c>
      <c r="B968" s="3">
        <v>45558</v>
      </c>
      <c r="C968" s="3">
        <v>45563</v>
      </c>
      <c r="D968" s="3">
        <v>45568</v>
      </c>
      <c r="E968" t="s">
        <v>2591</v>
      </c>
      <c r="F968" t="s">
        <v>38</v>
      </c>
      <c r="G968" t="s">
        <v>83</v>
      </c>
      <c r="H968" t="s">
        <v>2592</v>
      </c>
      <c r="I968" t="s">
        <v>116</v>
      </c>
      <c r="J968" t="s">
        <v>62</v>
      </c>
      <c r="K968" t="s">
        <v>1371</v>
      </c>
      <c r="L968" t="s">
        <v>98</v>
      </c>
      <c r="M968" t="s">
        <v>65</v>
      </c>
      <c r="N968" t="s">
        <v>203</v>
      </c>
      <c r="O968" t="s">
        <v>204</v>
      </c>
      <c r="P968" t="s">
        <v>123</v>
      </c>
      <c r="Q968">
        <v>142</v>
      </c>
      <c r="R968">
        <v>31.47</v>
      </c>
      <c r="S968">
        <v>4468.74</v>
      </c>
      <c r="T968">
        <v>14.14</v>
      </c>
      <c r="U968">
        <v>5</v>
      </c>
      <c r="V968">
        <v>10</v>
      </c>
      <c r="W968">
        <v>811</v>
      </c>
      <c r="X968" t="s">
        <v>188</v>
      </c>
      <c r="Y968" t="s">
        <v>36</v>
      </c>
      <c r="Z968">
        <v>658.54</v>
      </c>
    </row>
    <row r="969" spans="1:26" x14ac:dyDescent="0.25">
      <c r="A969">
        <v>100967</v>
      </c>
      <c r="B969" s="3">
        <v>45696</v>
      </c>
      <c r="C969" s="3">
        <v>45698</v>
      </c>
      <c r="D969" s="3">
        <v>45721</v>
      </c>
      <c r="E969" t="s">
        <v>2593</v>
      </c>
      <c r="F969" t="s">
        <v>54</v>
      </c>
      <c r="G969" t="s">
        <v>158</v>
      </c>
      <c r="H969" t="s">
        <v>2594</v>
      </c>
      <c r="I969" t="s">
        <v>85</v>
      </c>
      <c r="J969" t="s">
        <v>52</v>
      </c>
      <c r="K969" t="s">
        <v>2595</v>
      </c>
      <c r="L969" t="s">
        <v>98</v>
      </c>
      <c r="M969" t="s">
        <v>65</v>
      </c>
      <c r="N969" t="s">
        <v>151</v>
      </c>
      <c r="O969" t="s">
        <v>152</v>
      </c>
      <c r="P969" t="s">
        <v>76</v>
      </c>
      <c r="Q969">
        <v>242</v>
      </c>
      <c r="R969">
        <v>81.56</v>
      </c>
      <c r="S969">
        <v>19737.52</v>
      </c>
      <c r="T969">
        <v>12.43</v>
      </c>
      <c r="U969">
        <v>23</v>
      </c>
      <c r="V969">
        <v>25</v>
      </c>
      <c r="W969">
        <v>3007</v>
      </c>
      <c r="X969" t="s">
        <v>3742</v>
      </c>
      <c r="Y969" t="s">
        <v>47</v>
      </c>
      <c r="Z969">
        <v>-97.84</v>
      </c>
    </row>
    <row r="970" spans="1:26" x14ac:dyDescent="0.25">
      <c r="A970">
        <v>100968</v>
      </c>
      <c r="B970" s="3">
        <v>45798</v>
      </c>
      <c r="C970" s="3">
        <v>45798</v>
      </c>
      <c r="D970" s="3">
        <v>45805</v>
      </c>
      <c r="E970" t="s">
        <v>2596</v>
      </c>
      <c r="F970" t="s">
        <v>38</v>
      </c>
      <c r="G970" t="s">
        <v>39</v>
      </c>
      <c r="H970" t="s">
        <v>2597</v>
      </c>
      <c r="I970" t="s">
        <v>116</v>
      </c>
      <c r="J970" t="s">
        <v>62</v>
      </c>
      <c r="K970" t="s">
        <v>2598</v>
      </c>
      <c r="L970" t="s">
        <v>44</v>
      </c>
      <c r="M970" t="s">
        <v>38</v>
      </c>
      <c r="N970" t="s">
        <v>33</v>
      </c>
      <c r="O970" t="s">
        <v>34</v>
      </c>
      <c r="P970" t="s">
        <v>68</v>
      </c>
      <c r="Q970">
        <v>45</v>
      </c>
      <c r="R970">
        <v>45.27</v>
      </c>
      <c r="S970">
        <v>2037.15</v>
      </c>
      <c r="T970">
        <v>23.28</v>
      </c>
      <c r="U970">
        <v>7</v>
      </c>
      <c r="V970">
        <v>7</v>
      </c>
      <c r="W970">
        <v>1400</v>
      </c>
      <c r="X970" t="s">
        <v>3741</v>
      </c>
      <c r="Y970" t="s">
        <v>36</v>
      </c>
      <c r="Z970">
        <v>148.62</v>
      </c>
    </row>
    <row r="971" spans="1:26" x14ac:dyDescent="0.25">
      <c r="A971">
        <v>100969</v>
      </c>
      <c r="B971" s="3">
        <v>45413</v>
      </c>
      <c r="C971" s="3">
        <v>45416</v>
      </c>
      <c r="D971" s="3">
        <v>45419</v>
      </c>
      <c r="E971" t="s">
        <v>2599</v>
      </c>
      <c r="F971" t="s">
        <v>65</v>
      </c>
      <c r="G971" t="s">
        <v>70</v>
      </c>
      <c r="H971" t="s">
        <v>2600</v>
      </c>
      <c r="I971" t="s">
        <v>144</v>
      </c>
      <c r="J971" t="s">
        <v>52</v>
      </c>
      <c r="K971" t="s">
        <v>1102</v>
      </c>
      <c r="L971" t="s">
        <v>113</v>
      </c>
      <c r="M971" t="s">
        <v>54</v>
      </c>
      <c r="N971" t="s">
        <v>45</v>
      </c>
      <c r="O971" t="s">
        <v>46</v>
      </c>
      <c r="P971" t="s">
        <v>68</v>
      </c>
      <c r="Q971">
        <v>123</v>
      </c>
      <c r="R971">
        <v>28.12</v>
      </c>
      <c r="S971">
        <v>3458.76</v>
      </c>
      <c r="T971">
        <v>36.479999999999997</v>
      </c>
      <c r="U971">
        <v>3</v>
      </c>
      <c r="V971">
        <v>6</v>
      </c>
      <c r="W971">
        <v>1517</v>
      </c>
      <c r="X971" t="s">
        <v>3741</v>
      </c>
      <c r="Y971" t="s">
        <v>36</v>
      </c>
      <c r="Z971">
        <v>229.65</v>
      </c>
    </row>
    <row r="972" spans="1:26" x14ac:dyDescent="0.25">
      <c r="A972">
        <v>100970</v>
      </c>
      <c r="B972" s="3">
        <v>45341</v>
      </c>
      <c r="C972" s="3">
        <v>45344</v>
      </c>
      <c r="D972" s="3">
        <v>45347</v>
      </c>
      <c r="E972" t="s">
        <v>2601</v>
      </c>
      <c r="F972" t="s">
        <v>25</v>
      </c>
      <c r="G972" t="s">
        <v>26</v>
      </c>
      <c r="H972" t="s">
        <v>2602</v>
      </c>
      <c r="I972" t="s">
        <v>368</v>
      </c>
      <c r="J972" t="s">
        <v>29</v>
      </c>
      <c r="K972" t="s">
        <v>2427</v>
      </c>
      <c r="L972" t="s">
        <v>98</v>
      </c>
      <c r="M972" t="s">
        <v>54</v>
      </c>
      <c r="N972" t="s">
        <v>102</v>
      </c>
      <c r="O972" t="s">
        <v>103</v>
      </c>
      <c r="P972" t="s">
        <v>68</v>
      </c>
      <c r="Q972">
        <v>347</v>
      </c>
      <c r="R972">
        <v>14.66</v>
      </c>
      <c r="S972">
        <v>5087.0200000000004</v>
      </c>
      <c r="T972">
        <v>51</v>
      </c>
      <c r="U972">
        <v>3</v>
      </c>
      <c r="V972">
        <v>6</v>
      </c>
      <c r="W972">
        <v>1493</v>
      </c>
      <c r="X972" t="s">
        <v>3741</v>
      </c>
      <c r="Y972" t="s">
        <v>36</v>
      </c>
      <c r="Z972">
        <v>771.87</v>
      </c>
    </row>
    <row r="973" spans="1:26" x14ac:dyDescent="0.25">
      <c r="A973">
        <v>100971</v>
      </c>
      <c r="B973" s="3">
        <v>45805</v>
      </c>
      <c r="C973" s="3">
        <v>45808</v>
      </c>
      <c r="D973" s="3">
        <v>45812</v>
      </c>
      <c r="E973" t="s">
        <v>2603</v>
      </c>
      <c r="F973" t="s">
        <v>32</v>
      </c>
      <c r="G973" t="s">
        <v>137</v>
      </c>
      <c r="H973" t="s">
        <v>2604</v>
      </c>
      <c r="I973" t="s">
        <v>207</v>
      </c>
      <c r="J973" t="s">
        <v>80</v>
      </c>
      <c r="K973" t="s">
        <v>965</v>
      </c>
      <c r="L973" t="s">
        <v>212</v>
      </c>
      <c r="M973" t="s">
        <v>38</v>
      </c>
      <c r="N973" t="s">
        <v>92</v>
      </c>
      <c r="O973" t="s">
        <v>93</v>
      </c>
      <c r="P973" t="s">
        <v>68</v>
      </c>
      <c r="Q973">
        <v>98</v>
      </c>
      <c r="R973">
        <v>335.82</v>
      </c>
      <c r="S973">
        <v>32910.36</v>
      </c>
      <c r="T973">
        <v>34.86</v>
      </c>
      <c r="U973">
        <v>4</v>
      </c>
      <c r="V973">
        <v>7</v>
      </c>
      <c r="W973">
        <v>1037</v>
      </c>
      <c r="X973" t="s">
        <v>3742</v>
      </c>
      <c r="Y973" t="s">
        <v>57</v>
      </c>
      <c r="Z973">
        <v>4483.92</v>
      </c>
    </row>
    <row r="974" spans="1:26" x14ac:dyDescent="0.25">
      <c r="A974">
        <v>100972</v>
      </c>
      <c r="B974" s="3">
        <v>45307</v>
      </c>
      <c r="C974" s="3">
        <v>45308</v>
      </c>
      <c r="D974" s="3">
        <v>45328</v>
      </c>
      <c r="E974" t="s">
        <v>2605</v>
      </c>
      <c r="F974" t="s">
        <v>25</v>
      </c>
      <c r="G974" t="s">
        <v>26</v>
      </c>
      <c r="H974" t="s">
        <v>2606</v>
      </c>
      <c r="I974" t="s">
        <v>85</v>
      </c>
      <c r="J974" t="s">
        <v>52</v>
      </c>
      <c r="K974" t="s">
        <v>1683</v>
      </c>
      <c r="L974" t="s">
        <v>212</v>
      </c>
      <c r="M974" t="s">
        <v>54</v>
      </c>
      <c r="N974" t="s">
        <v>45</v>
      </c>
      <c r="O974" t="s">
        <v>46</v>
      </c>
      <c r="P974" t="s">
        <v>76</v>
      </c>
      <c r="Q974">
        <v>408</v>
      </c>
      <c r="R974">
        <v>18.71</v>
      </c>
      <c r="S974">
        <v>7633.68</v>
      </c>
      <c r="T974">
        <v>15.45</v>
      </c>
      <c r="U974">
        <v>20</v>
      </c>
      <c r="V974">
        <v>21</v>
      </c>
      <c r="W974">
        <v>1839</v>
      </c>
      <c r="X974" t="s">
        <v>188</v>
      </c>
      <c r="Y974" t="s">
        <v>36</v>
      </c>
      <c r="Z974">
        <v>623.63</v>
      </c>
    </row>
    <row r="975" spans="1:26" x14ac:dyDescent="0.25">
      <c r="A975">
        <v>100973</v>
      </c>
      <c r="B975" s="3">
        <v>45325</v>
      </c>
      <c r="C975" s="3">
        <v>45327</v>
      </c>
      <c r="D975" s="3">
        <v>45337</v>
      </c>
      <c r="E975" t="s">
        <v>2607</v>
      </c>
      <c r="F975" t="s">
        <v>65</v>
      </c>
      <c r="G975" t="s">
        <v>142</v>
      </c>
      <c r="H975" t="s">
        <v>2608</v>
      </c>
      <c r="I975" t="s">
        <v>144</v>
      </c>
      <c r="J975" t="s">
        <v>52</v>
      </c>
      <c r="K975" t="s">
        <v>1924</v>
      </c>
      <c r="L975" t="s">
        <v>91</v>
      </c>
      <c r="M975" t="s">
        <v>38</v>
      </c>
      <c r="N975" t="s">
        <v>151</v>
      </c>
      <c r="O975" t="s">
        <v>152</v>
      </c>
      <c r="P975" t="s">
        <v>123</v>
      </c>
      <c r="Q975">
        <v>311</v>
      </c>
      <c r="R975">
        <v>75.760000000000005</v>
      </c>
      <c r="S975">
        <v>23561.360000000001</v>
      </c>
      <c r="T975">
        <v>18.25</v>
      </c>
      <c r="U975">
        <v>10</v>
      </c>
      <c r="V975">
        <v>12</v>
      </c>
      <c r="W975">
        <v>3144</v>
      </c>
      <c r="X975" t="s">
        <v>188</v>
      </c>
      <c r="Y975" t="s">
        <v>36</v>
      </c>
      <c r="Z975">
        <v>3866.32</v>
      </c>
    </row>
    <row r="976" spans="1:26" x14ac:dyDescent="0.25">
      <c r="A976">
        <v>100974</v>
      </c>
      <c r="B976" s="3">
        <v>45981</v>
      </c>
      <c r="C976" s="3">
        <v>45982</v>
      </c>
      <c r="D976" s="3">
        <v>45999</v>
      </c>
      <c r="E976" t="s">
        <v>2609</v>
      </c>
      <c r="F976" t="s">
        <v>65</v>
      </c>
      <c r="G976" t="s">
        <v>154</v>
      </c>
      <c r="H976" t="s">
        <v>2610</v>
      </c>
      <c r="I976" t="s">
        <v>191</v>
      </c>
      <c r="J976" t="s">
        <v>62</v>
      </c>
      <c r="K976" t="s">
        <v>1880</v>
      </c>
      <c r="L976" t="s">
        <v>122</v>
      </c>
      <c r="M976" t="s">
        <v>65</v>
      </c>
      <c r="N976" t="s">
        <v>203</v>
      </c>
      <c r="O976" t="s">
        <v>204</v>
      </c>
      <c r="P976" t="s">
        <v>76</v>
      </c>
      <c r="Q976">
        <v>275</v>
      </c>
      <c r="R976">
        <v>12.64</v>
      </c>
      <c r="S976">
        <v>3476</v>
      </c>
      <c r="T976">
        <v>9.65</v>
      </c>
      <c r="U976">
        <v>17</v>
      </c>
      <c r="V976">
        <v>18</v>
      </c>
      <c r="W976">
        <v>827</v>
      </c>
      <c r="X976" t="s">
        <v>188</v>
      </c>
      <c r="Y976" t="s">
        <v>36</v>
      </c>
      <c r="Z976">
        <v>594.16</v>
      </c>
    </row>
    <row r="977" spans="1:26" x14ac:dyDescent="0.25">
      <c r="A977">
        <v>100975</v>
      </c>
      <c r="B977" s="3">
        <v>45321</v>
      </c>
      <c r="C977" s="3">
        <v>45321</v>
      </c>
      <c r="D977" s="3">
        <v>45329</v>
      </c>
      <c r="E977" t="s">
        <v>2553</v>
      </c>
      <c r="F977" t="s">
        <v>65</v>
      </c>
      <c r="G977" t="s">
        <v>70</v>
      </c>
      <c r="H977" t="s">
        <v>2611</v>
      </c>
      <c r="I977" t="s">
        <v>61</v>
      </c>
      <c r="J977" t="s">
        <v>62</v>
      </c>
      <c r="K977" t="s">
        <v>2197</v>
      </c>
      <c r="L977" t="s">
        <v>98</v>
      </c>
      <c r="M977" t="s">
        <v>65</v>
      </c>
      <c r="N977" t="s">
        <v>66</v>
      </c>
      <c r="O977" t="s">
        <v>67</v>
      </c>
      <c r="P977" t="s">
        <v>123</v>
      </c>
      <c r="Q977">
        <v>201</v>
      </c>
      <c r="R977">
        <v>23.18</v>
      </c>
      <c r="S977">
        <v>4659.18</v>
      </c>
      <c r="T977">
        <v>11.54</v>
      </c>
      <c r="U977">
        <v>8</v>
      </c>
      <c r="V977">
        <v>8</v>
      </c>
      <c r="W977">
        <v>2438</v>
      </c>
      <c r="X977" t="s">
        <v>188</v>
      </c>
      <c r="Y977" t="s">
        <v>36</v>
      </c>
      <c r="Z977">
        <v>288.37</v>
      </c>
    </row>
    <row r="978" spans="1:26" x14ac:dyDescent="0.25">
      <c r="A978">
        <v>100976</v>
      </c>
      <c r="B978" s="3">
        <v>45914</v>
      </c>
      <c r="C978" s="3">
        <v>45919</v>
      </c>
      <c r="D978" s="3">
        <v>45921</v>
      </c>
      <c r="E978" t="s">
        <v>2612</v>
      </c>
      <c r="F978" t="s">
        <v>38</v>
      </c>
      <c r="G978" t="s">
        <v>49</v>
      </c>
      <c r="H978" t="s">
        <v>2613</v>
      </c>
      <c r="I978" t="s">
        <v>230</v>
      </c>
      <c r="J978" t="s">
        <v>80</v>
      </c>
      <c r="K978" t="s">
        <v>353</v>
      </c>
      <c r="L978" t="s">
        <v>44</v>
      </c>
      <c r="M978" t="s">
        <v>32</v>
      </c>
      <c r="N978" t="s">
        <v>45</v>
      </c>
      <c r="O978" t="s">
        <v>46</v>
      </c>
      <c r="P978" t="s">
        <v>68</v>
      </c>
      <c r="Q978">
        <v>287</v>
      </c>
      <c r="R978">
        <v>273.27</v>
      </c>
      <c r="S978">
        <v>78428.490000000005</v>
      </c>
      <c r="T978">
        <v>47.11</v>
      </c>
      <c r="U978">
        <v>2</v>
      </c>
      <c r="V978">
        <v>7</v>
      </c>
      <c r="W978">
        <v>1684</v>
      </c>
      <c r="X978" t="s">
        <v>3741</v>
      </c>
      <c r="Y978" t="s">
        <v>36</v>
      </c>
      <c r="Z978">
        <v>14630.59</v>
      </c>
    </row>
    <row r="979" spans="1:26" x14ac:dyDescent="0.25">
      <c r="A979">
        <v>100977</v>
      </c>
      <c r="B979" s="3">
        <v>45408</v>
      </c>
      <c r="C979" s="3">
        <v>45408</v>
      </c>
      <c r="D979" s="3">
        <v>45417</v>
      </c>
      <c r="E979" t="s">
        <v>2614</v>
      </c>
      <c r="F979" t="s">
        <v>32</v>
      </c>
      <c r="G979" t="s">
        <v>180</v>
      </c>
      <c r="H979" t="s">
        <v>2615</v>
      </c>
      <c r="I979" t="s">
        <v>177</v>
      </c>
      <c r="J979" t="s">
        <v>29</v>
      </c>
      <c r="K979" t="s">
        <v>1071</v>
      </c>
      <c r="L979" t="s">
        <v>113</v>
      </c>
      <c r="M979" t="s">
        <v>38</v>
      </c>
      <c r="N979" t="s">
        <v>203</v>
      </c>
      <c r="O979" t="s">
        <v>204</v>
      </c>
      <c r="P979" t="s">
        <v>35</v>
      </c>
      <c r="Q979">
        <v>302</v>
      </c>
      <c r="R979">
        <v>57.64</v>
      </c>
      <c r="S979">
        <v>17407.28</v>
      </c>
      <c r="T979">
        <v>21.04</v>
      </c>
      <c r="U979">
        <v>9</v>
      </c>
      <c r="V979">
        <v>9</v>
      </c>
      <c r="W979">
        <v>1825</v>
      </c>
      <c r="X979" t="s">
        <v>188</v>
      </c>
      <c r="Y979" t="s">
        <v>36</v>
      </c>
      <c r="Z979">
        <v>4793.7299999999996</v>
      </c>
    </row>
    <row r="980" spans="1:26" x14ac:dyDescent="0.25">
      <c r="A980">
        <v>100978</v>
      </c>
      <c r="B980" s="3">
        <v>45373</v>
      </c>
      <c r="C980" s="3">
        <v>45376</v>
      </c>
      <c r="D980" s="3">
        <v>45381</v>
      </c>
      <c r="E980" t="s">
        <v>1006</v>
      </c>
      <c r="F980" t="s">
        <v>25</v>
      </c>
      <c r="G980" t="s">
        <v>244</v>
      </c>
      <c r="H980" t="s">
        <v>2616</v>
      </c>
      <c r="I980" t="s">
        <v>238</v>
      </c>
      <c r="J980" t="s">
        <v>62</v>
      </c>
      <c r="K980" t="s">
        <v>1424</v>
      </c>
      <c r="L980" t="s">
        <v>122</v>
      </c>
      <c r="M980" t="s">
        <v>25</v>
      </c>
      <c r="N980" t="s">
        <v>107</v>
      </c>
      <c r="O980" t="s">
        <v>108</v>
      </c>
      <c r="P980" t="s">
        <v>123</v>
      </c>
      <c r="Q980">
        <v>287</v>
      </c>
      <c r="R980">
        <v>35.99</v>
      </c>
      <c r="S980">
        <v>10329.129999999999</v>
      </c>
      <c r="T980">
        <v>13.09</v>
      </c>
      <c r="U980">
        <v>5</v>
      </c>
      <c r="V980">
        <v>8</v>
      </c>
      <c r="W980">
        <v>2912</v>
      </c>
      <c r="X980" t="s">
        <v>188</v>
      </c>
      <c r="Y980" t="s">
        <v>36</v>
      </c>
      <c r="Z980">
        <v>1306.54</v>
      </c>
    </row>
    <row r="981" spans="1:26" x14ac:dyDescent="0.25">
      <c r="A981">
        <v>100979</v>
      </c>
      <c r="B981" s="3">
        <v>45578</v>
      </c>
      <c r="C981" s="3">
        <v>45579</v>
      </c>
      <c r="D981" s="3">
        <v>45582</v>
      </c>
      <c r="E981" t="s">
        <v>2617</v>
      </c>
      <c r="F981" t="s">
        <v>38</v>
      </c>
      <c r="G981" t="s">
        <v>49</v>
      </c>
      <c r="H981" t="s">
        <v>2618</v>
      </c>
      <c r="I981" t="s">
        <v>72</v>
      </c>
      <c r="J981" t="s">
        <v>42</v>
      </c>
      <c r="K981" t="s">
        <v>1429</v>
      </c>
      <c r="L981" t="s">
        <v>187</v>
      </c>
      <c r="M981" t="s">
        <v>25</v>
      </c>
      <c r="N981" t="s">
        <v>33</v>
      </c>
      <c r="O981" t="s">
        <v>34</v>
      </c>
      <c r="P981" t="s">
        <v>68</v>
      </c>
      <c r="Q981">
        <v>262</v>
      </c>
      <c r="R981">
        <v>233.59</v>
      </c>
      <c r="S981">
        <v>61200.58</v>
      </c>
      <c r="T981">
        <v>45.49</v>
      </c>
      <c r="U981">
        <v>3</v>
      </c>
      <c r="V981">
        <v>4</v>
      </c>
      <c r="W981">
        <v>1096</v>
      </c>
      <c r="X981" t="s">
        <v>3741</v>
      </c>
      <c r="Y981" t="s">
        <v>36</v>
      </c>
      <c r="Z981">
        <v>10745.26</v>
      </c>
    </row>
    <row r="982" spans="1:26" x14ac:dyDescent="0.25">
      <c r="A982">
        <v>100980</v>
      </c>
      <c r="B982" s="3">
        <v>45400</v>
      </c>
      <c r="C982" s="3">
        <v>45400</v>
      </c>
      <c r="D982" s="3">
        <v>45402</v>
      </c>
      <c r="E982" t="s">
        <v>2619</v>
      </c>
      <c r="F982" t="s">
        <v>38</v>
      </c>
      <c r="G982" t="s">
        <v>83</v>
      </c>
      <c r="H982" t="s">
        <v>2620</v>
      </c>
      <c r="I982" t="s">
        <v>72</v>
      </c>
      <c r="J982" t="s">
        <v>42</v>
      </c>
      <c r="K982" t="s">
        <v>2621</v>
      </c>
      <c r="L982" t="s">
        <v>64</v>
      </c>
      <c r="M982" t="s">
        <v>25</v>
      </c>
      <c r="N982" t="s">
        <v>203</v>
      </c>
      <c r="O982" t="s">
        <v>204</v>
      </c>
      <c r="P982" t="s">
        <v>68</v>
      </c>
      <c r="Q982">
        <v>195</v>
      </c>
      <c r="R982">
        <v>134.83000000000001</v>
      </c>
      <c r="S982">
        <v>26291.85</v>
      </c>
      <c r="T982">
        <v>41.15</v>
      </c>
      <c r="U982">
        <v>2</v>
      </c>
      <c r="V982">
        <v>2</v>
      </c>
      <c r="W982">
        <v>303</v>
      </c>
      <c r="X982" t="s">
        <v>3741</v>
      </c>
      <c r="Y982" t="s">
        <v>36</v>
      </c>
      <c r="Z982">
        <v>5173.7700000000004</v>
      </c>
    </row>
    <row r="983" spans="1:26" x14ac:dyDescent="0.25">
      <c r="A983">
        <v>100981</v>
      </c>
      <c r="B983" s="3">
        <v>45521</v>
      </c>
      <c r="C983" s="3">
        <v>45526</v>
      </c>
      <c r="D983" s="3">
        <v>45544</v>
      </c>
      <c r="E983" t="s">
        <v>2622</v>
      </c>
      <c r="F983" t="s">
        <v>32</v>
      </c>
      <c r="G983" t="s">
        <v>364</v>
      </c>
      <c r="H983" t="s">
        <v>2623</v>
      </c>
      <c r="I983" t="s">
        <v>144</v>
      </c>
      <c r="J983" t="s">
        <v>52</v>
      </c>
      <c r="K983" t="s">
        <v>1643</v>
      </c>
      <c r="L983" t="s">
        <v>44</v>
      </c>
      <c r="M983" t="s">
        <v>38</v>
      </c>
      <c r="N983" t="s">
        <v>55</v>
      </c>
      <c r="O983" t="s">
        <v>56</v>
      </c>
      <c r="P983" t="s">
        <v>76</v>
      </c>
      <c r="Q983">
        <v>372</v>
      </c>
      <c r="R983">
        <v>56.75</v>
      </c>
      <c r="S983">
        <v>21111</v>
      </c>
      <c r="T983">
        <v>14.8</v>
      </c>
      <c r="U983">
        <v>18</v>
      </c>
      <c r="V983">
        <v>23</v>
      </c>
      <c r="W983">
        <v>4051</v>
      </c>
      <c r="X983" t="s">
        <v>188</v>
      </c>
      <c r="Y983" t="s">
        <v>36</v>
      </c>
      <c r="Z983">
        <v>2176.84</v>
      </c>
    </row>
    <row r="984" spans="1:26" x14ac:dyDescent="0.25">
      <c r="A984">
        <v>100982</v>
      </c>
      <c r="B984" s="3">
        <v>45599</v>
      </c>
      <c r="C984" s="3">
        <v>45604</v>
      </c>
      <c r="D984" s="3">
        <v>45608</v>
      </c>
      <c r="E984" t="s">
        <v>2624</v>
      </c>
      <c r="F984" t="s">
        <v>54</v>
      </c>
      <c r="G984" t="s">
        <v>158</v>
      </c>
      <c r="H984" t="s">
        <v>2625</v>
      </c>
      <c r="I984" t="s">
        <v>116</v>
      </c>
      <c r="J984" t="s">
        <v>62</v>
      </c>
      <c r="K984" t="s">
        <v>2626</v>
      </c>
      <c r="L984" t="s">
        <v>44</v>
      </c>
      <c r="M984" t="s">
        <v>65</v>
      </c>
      <c r="N984" t="s">
        <v>74</v>
      </c>
      <c r="O984" t="s">
        <v>75</v>
      </c>
      <c r="P984" t="s">
        <v>68</v>
      </c>
      <c r="Q984">
        <v>333</v>
      </c>
      <c r="R984">
        <v>21.65</v>
      </c>
      <c r="S984">
        <v>7209.45</v>
      </c>
      <c r="T984">
        <v>50.09</v>
      </c>
      <c r="U984">
        <v>4</v>
      </c>
      <c r="V984">
        <v>9</v>
      </c>
      <c r="W984">
        <v>3967</v>
      </c>
      <c r="X984" t="s">
        <v>188</v>
      </c>
      <c r="Y984" t="s">
        <v>36</v>
      </c>
      <c r="Z984">
        <v>1212.8900000000001</v>
      </c>
    </row>
    <row r="985" spans="1:26" x14ac:dyDescent="0.25">
      <c r="A985">
        <v>100983</v>
      </c>
      <c r="B985" s="3">
        <v>45739</v>
      </c>
      <c r="C985" s="3">
        <v>45740</v>
      </c>
      <c r="D985" s="3">
        <v>45747</v>
      </c>
      <c r="E985" t="s">
        <v>2627</v>
      </c>
      <c r="F985" t="s">
        <v>32</v>
      </c>
      <c r="G985" t="s">
        <v>137</v>
      </c>
      <c r="H985" t="s">
        <v>2628</v>
      </c>
      <c r="I985" t="s">
        <v>191</v>
      </c>
      <c r="J985" t="s">
        <v>62</v>
      </c>
      <c r="K985" t="s">
        <v>1755</v>
      </c>
      <c r="L985" t="s">
        <v>44</v>
      </c>
      <c r="M985" t="s">
        <v>32</v>
      </c>
      <c r="N985" t="s">
        <v>45</v>
      </c>
      <c r="O985" t="s">
        <v>46</v>
      </c>
      <c r="P985" t="s">
        <v>123</v>
      </c>
      <c r="Q985">
        <v>327</v>
      </c>
      <c r="R985">
        <v>29.94</v>
      </c>
      <c r="S985">
        <v>9790.3799999999992</v>
      </c>
      <c r="T985">
        <v>13.81</v>
      </c>
      <c r="U985">
        <v>7</v>
      </c>
      <c r="V985">
        <v>8</v>
      </c>
      <c r="W985">
        <v>2948</v>
      </c>
      <c r="X985" t="s">
        <v>188</v>
      </c>
      <c r="Y985" t="s">
        <v>36</v>
      </c>
      <c r="Z985">
        <v>1527.46</v>
      </c>
    </row>
    <row r="986" spans="1:26" x14ac:dyDescent="0.25">
      <c r="A986">
        <v>100984</v>
      </c>
      <c r="B986" s="3">
        <v>45378</v>
      </c>
      <c r="C986" s="3">
        <v>45378</v>
      </c>
      <c r="D986" s="3">
        <v>45383</v>
      </c>
      <c r="E986" t="s">
        <v>2629</v>
      </c>
      <c r="F986" t="s">
        <v>54</v>
      </c>
      <c r="G986" t="s">
        <v>129</v>
      </c>
      <c r="H986" t="s">
        <v>2630</v>
      </c>
      <c r="I986" t="s">
        <v>368</v>
      </c>
      <c r="J986" t="s">
        <v>29</v>
      </c>
      <c r="K986" t="s">
        <v>2631</v>
      </c>
      <c r="L986" t="s">
        <v>187</v>
      </c>
      <c r="M986" t="s">
        <v>54</v>
      </c>
      <c r="N986" t="s">
        <v>102</v>
      </c>
      <c r="O986" t="s">
        <v>103</v>
      </c>
      <c r="P986" t="s">
        <v>68</v>
      </c>
      <c r="Q986">
        <v>279</v>
      </c>
      <c r="R986">
        <v>61.68</v>
      </c>
      <c r="S986">
        <v>17208.72</v>
      </c>
      <c r="T986">
        <v>34.51</v>
      </c>
      <c r="U986">
        <v>5</v>
      </c>
      <c r="V986">
        <v>5</v>
      </c>
      <c r="W986">
        <v>2274</v>
      </c>
      <c r="X986" t="s">
        <v>3741</v>
      </c>
      <c r="Y986" t="s">
        <v>36</v>
      </c>
      <c r="Z986">
        <v>1965.79</v>
      </c>
    </row>
    <row r="987" spans="1:26" x14ac:dyDescent="0.25">
      <c r="A987">
        <v>100985</v>
      </c>
      <c r="B987" s="3">
        <v>45940</v>
      </c>
      <c r="C987" s="3">
        <v>45943</v>
      </c>
      <c r="D987" s="3">
        <v>45945</v>
      </c>
      <c r="E987" t="s">
        <v>2632</v>
      </c>
      <c r="F987" t="s">
        <v>25</v>
      </c>
      <c r="G987" t="s">
        <v>169</v>
      </c>
      <c r="H987" t="s">
        <v>2633</v>
      </c>
      <c r="I987" t="s">
        <v>51</v>
      </c>
      <c r="J987" t="s">
        <v>52</v>
      </c>
      <c r="K987" t="s">
        <v>685</v>
      </c>
      <c r="L987" t="s">
        <v>113</v>
      </c>
      <c r="M987" t="s">
        <v>32</v>
      </c>
      <c r="N987" t="s">
        <v>107</v>
      </c>
      <c r="O987" t="s">
        <v>108</v>
      </c>
      <c r="P987" t="s">
        <v>68</v>
      </c>
      <c r="Q987">
        <v>320</v>
      </c>
      <c r="R987">
        <v>60.89</v>
      </c>
      <c r="S987">
        <v>19484.8</v>
      </c>
      <c r="T987">
        <v>49.25</v>
      </c>
      <c r="U987">
        <v>2</v>
      </c>
      <c r="V987">
        <v>5</v>
      </c>
      <c r="W987">
        <v>2893</v>
      </c>
      <c r="X987" t="s">
        <v>3741</v>
      </c>
      <c r="Y987" t="s">
        <v>36</v>
      </c>
      <c r="Z987">
        <v>1463.1</v>
      </c>
    </row>
    <row r="988" spans="1:26" x14ac:dyDescent="0.25">
      <c r="A988">
        <v>100986</v>
      </c>
      <c r="B988" s="3">
        <v>45544</v>
      </c>
      <c r="C988" s="3">
        <v>45544</v>
      </c>
      <c r="D988" s="3">
        <v>45568</v>
      </c>
      <c r="E988" t="s">
        <v>2524</v>
      </c>
      <c r="F988" t="s">
        <v>65</v>
      </c>
      <c r="G988" t="s">
        <v>154</v>
      </c>
      <c r="H988" t="s">
        <v>2634</v>
      </c>
      <c r="I988" t="s">
        <v>278</v>
      </c>
      <c r="J988" t="s">
        <v>29</v>
      </c>
      <c r="K988" t="s">
        <v>2635</v>
      </c>
      <c r="L988" t="s">
        <v>187</v>
      </c>
      <c r="M988" t="s">
        <v>38</v>
      </c>
      <c r="N988" t="s">
        <v>151</v>
      </c>
      <c r="O988" t="s">
        <v>152</v>
      </c>
      <c r="P988" t="s">
        <v>76</v>
      </c>
      <c r="Q988">
        <v>374</v>
      </c>
      <c r="R988">
        <v>118.68</v>
      </c>
      <c r="S988">
        <v>44386.32</v>
      </c>
      <c r="T988">
        <v>14.84</v>
      </c>
      <c r="U988">
        <v>24</v>
      </c>
      <c r="V988">
        <v>24</v>
      </c>
      <c r="W988">
        <v>305</v>
      </c>
      <c r="X988" t="s">
        <v>188</v>
      </c>
      <c r="Y988" t="s">
        <v>36</v>
      </c>
      <c r="Z988">
        <v>9780.49</v>
      </c>
    </row>
    <row r="989" spans="1:26" x14ac:dyDescent="0.25">
      <c r="A989">
        <v>100987</v>
      </c>
      <c r="B989" s="3">
        <v>45408</v>
      </c>
      <c r="C989" s="3">
        <v>45410</v>
      </c>
      <c r="D989" s="3">
        <v>45419</v>
      </c>
      <c r="E989" t="s">
        <v>2636</v>
      </c>
      <c r="F989" t="s">
        <v>32</v>
      </c>
      <c r="G989" t="s">
        <v>95</v>
      </c>
      <c r="H989" t="s">
        <v>2637</v>
      </c>
      <c r="I989" t="s">
        <v>51</v>
      </c>
      <c r="J989" t="s">
        <v>52</v>
      </c>
      <c r="K989" t="s">
        <v>2638</v>
      </c>
      <c r="L989" t="s">
        <v>98</v>
      </c>
      <c r="M989" t="s">
        <v>65</v>
      </c>
      <c r="N989" t="s">
        <v>33</v>
      </c>
      <c r="O989" t="s">
        <v>34</v>
      </c>
      <c r="P989" t="s">
        <v>35</v>
      </c>
      <c r="Q989">
        <v>403</v>
      </c>
      <c r="R989">
        <v>55.03</v>
      </c>
      <c r="S989">
        <v>22177.09</v>
      </c>
      <c r="T989">
        <v>23.9</v>
      </c>
      <c r="U989">
        <v>9</v>
      </c>
      <c r="V989">
        <v>11</v>
      </c>
      <c r="W989">
        <v>3611</v>
      </c>
      <c r="X989" t="s">
        <v>188</v>
      </c>
      <c r="Y989" t="s">
        <v>36</v>
      </c>
      <c r="Z989">
        <v>2375.17</v>
      </c>
    </row>
    <row r="990" spans="1:26" x14ac:dyDescent="0.25">
      <c r="A990">
        <v>100988</v>
      </c>
      <c r="B990" s="3">
        <v>45403</v>
      </c>
      <c r="C990" s="3">
        <v>45405</v>
      </c>
      <c r="D990" s="3">
        <v>45424</v>
      </c>
      <c r="E990" t="s">
        <v>2639</v>
      </c>
      <c r="F990" t="s">
        <v>54</v>
      </c>
      <c r="G990" t="s">
        <v>129</v>
      </c>
      <c r="H990" t="s">
        <v>2640</v>
      </c>
      <c r="I990" t="s">
        <v>72</v>
      </c>
      <c r="J990" t="s">
        <v>42</v>
      </c>
      <c r="K990" t="s">
        <v>1691</v>
      </c>
      <c r="L990" t="s">
        <v>98</v>
      </c>
      <c r="M990" t="s">
        <v>65</v>
      </c>
      <c r="N990" t="s">
        <v>33</v>
      </c>
      <c r="O990" t="s">
        <v>34</v>
      </c>
      <c r="P990" t="s">
        <v>76</v>
      </c>
      <c r="Q990">
        <v>87</v>
      </c>
      <c r="R990">
        <v>238.86</v>
      </c>
      <c r="S990">
        <v>20780.82</v>
      </c>
      <c r="T990">
        <v>9.6</v>
      </c>
      <c r="U990">
        <v>19</v>
      </c>
      <c r="V990">
        <v>21</v>
      </c>
      <c r="W990">
        <v>1606</v>
      </c>
      <c r="X990" t="s">
        <v>188</v>
      </c>
      <c r="Y990" t="s">
        <v>36</v>
      </c>
      <c r="Z990">
        <v>3620.24</v>
      </c>
    </row>
    <row r="991" spans="1:26" x14ac:dyDescent="0.25">
      <c r="A991">
        <v>100989</v>
      </c>
      <c r="B991" s="3">
        <v>45729</v>
      </c>
      <c r="C991" s="3">
        <v>45734</v>
      </c>
      <c r="D991" s="3">
        <v>45759</v>
      </c>
      <c r="E991" t="s">
        <v>2641</v>
      </c>
      <c r="F991" t="s">
        <v>65</v>
      </c>
      <c r="G991" t="s">
        <v>70</v>
      </c>
      <c r="H991" t="s">
        <v>2642</v>
      </c>
      <c r="I991" t="s">
        <v>61</v>
      </c>
      <c r="J991" t="s">
        <v>62</v>
      </c>
      <c r="K991" t="s">
        <v>260</v>
      </c>
      <c r="L991" t="s">
        <v>64</v>
      </c>
      <c r="M991" t="s">
        <v>54</v>
      </c>
      <c r="N991" t="s">
        <v>151</v>
      </c>
      <c r="O991" t="s">
        <v>152</v>
      </c>
      <c r="P991" t="s">
        <v>76</v>
      </c>
      <c r="Q991">
        <v>432</v>
      </c>
      <c r="R991">
        <v>32.950000000000003</v>
      </c>
      <c r="S991">
        <v>14234.4</v>
      </c>
      <c r="T991">
        <v>15.89</v>
      </c>
      <c r="U991">
        <v>25</v>
      </c>
      <c r="V991">
        <v>30</v>
      </c>
      <c r="W991">
        <v>2018</v>
      </c>
      <c r="X991" t="s">
        <v>3742</v>
      </c>
      <c r="Y991" t="s">
        <v>188</v>
      </c>
      <c r="Z991">
        <v>2277.65</v>
      </c>
    </row>
    <row r="992" spans="1:26" x14ac:dyDescent="0.25">
      <c r="A992">
        <v>100990</v>
      </c>
      <c r="B992" s="3">
        <v>45401</v>
      </c>
      <c r="C992" s="3">
        <v>45404</v>
      </c>
      <c r="D992" s="3">
        <v>45407</v>
      </c>
      <c r="E992" t="s">
        <v>2643</v>
      </c>
      <c r="F992" t="s">
        <v>25</v>
      </c>
      <c r="G992" t="s">
        <v>59</v>
      </c>
      <c r="H992" t="s">
        <v>2644</v>
      </c>
      <c r="I992" t="s">
        <v>182</v>
      </c>
      <c r="J992" t="s">
        <v>80</v>
      </c>
      <c r="K992" t="s">
        <v>578</v>
      </c>
      <c r="L992" t="s">
        <v>91</v>
      </c>
      <c r="M992" t="s">
        <v>65</v>
      </c>
      <c r="N992" t="s">
        <v>203</v>
      </c>
      <c r="O992" t="s">
        <v>204</v>
      </c>
      <c r="P992" t="s">
        <v>68</v>
      </c>
      <c r="Q992">
        <v>122</v>
      </c>
      <c r="R992">
        <v>165</v>
      </c>
      <c r="S992">
        <v>20130</v>
      </c>
      <c r="T992">
        <v>36.42</v>
      </c>
      <c r="U992">
        <v>3</v>
      </c>
      <c r="V992">
        <v>6</v>
      </c>
      <c r="W992">
        <v>1544</v>
      </c>
      <c r="X992" t="s">
        <v>3742</v>
      </c>
      <c r="Y992" t="s">
        <v>47</v>
      </c>
      <c r="Z992">
        <v>-191.55</v>
      </c>
    </row>
    <row r="993" spans="1:26" x14ac:dyDescent="0.25">
      <c r="A993">
        <v>100991</v>
      </c>
      <c r="B993" s="3">
        <v>45718</v>
      </c>
      <c r="C993" s="3">
        <v>45718</v>
      </c>
      <c r="D993" s="3">
        <v>45720</v>
      </c>
      <c r="E993" t="s">
        <v>2645</v>
      </c>
      <c r="F993" t="s">
        <v>32</v>
      </c>
      <c r="G993" t="s">
        <v>255</v>
      </c>
      <c r="H993" t="s">
        <v>2646</v>
      </c>
      <c r="I993" t="s">
        <v>368</v>
      </c>
      <c r="J993" t="s">
        <v>29</v>
      </c>
      <c r="K993" t="s">
        <v>2647</v>
      </c>
      <c r="L993" t="s">
        <v>44</v>
      </c>
      <c r="M993" t="s">
        <v>65</v>
      </c>
      <c r="N993" t="s">
        <v>203</v>
      </c>
      <c r="O993" t="s">
        <v>204</v>
      </c>
      <c r="P993" t="s">
        <v>35</v>
      </c>
      <c r="Q993">
        <v>438</v>
      </c>
      <c r="R993">
        <v>23.87</v>
      </c>
      <c r="S993">
        <v>10455.06</v>
      </c>
      <c r="T993">
        <v>24.89</v>
      </c>
      <c r="U993">
        <v>2</v>
      </c>
      <c r="V993">
        <v>2</v>
      </c>
      <c r="W993">
        <v>885</v>
      </c>
      <c r="X993" t="s">
        <v>3741</v>
      </c>
      <c r="Y993" t="s">
        <v>36</v>
      </c>
      <c r="Z993">
        <v>2370.0100000000002</v>
      </c>
    </row>
    <row r="994" spans="1:26" x14ac:dyDescent="0.25">
      <c r="A994">
        <v>100992</v>
      </c>
      <c r="B994" s="3">
        <v>45315</v>
      </c>
      <c r="C994" s="3">
        <v>45316</v>
      </c>
      <c r="D994" s="3">
        <v>45317</v>
      </c>
      <c r="E994" t="s">
        <v>2648</v>
      </c>
      <c r="F994" t="s">
        <v>54</v>
      </c>
      <c r="G994" t="s">
        <v>158</v>
      </c>
      <c r="H994" t="s">
        <v>2649</v>
      </c>
      <c r="I994" t="s">
        <v>126</v>
      </c>
      <c r="J994" t="s">
        <v>42</v>
      </c>
      <c r="K994" t="s">
        <v>922</v>
      </c>
      <c r="L994" t="s">
        <v>113</v>
      </c>
      <c r="M994" t="s">
        <v>32</v>
      </c>
      <c r="N994" t="s">
        <v>151</v>
      </c>
      <c r="O994" t="s">
        <v>152</v>
      </c>
      <c r="P994" t="s">
        <v>68</v>
      </c>
      <c r="Q994">
        <v>443</v>
      </c>
      <c r="R994">
        <v>298.99</v>
      </c>
      <c r="S994">
        <v>132452.57</v>
      </c>
      <c r="T994">
        <v>57.22</v>
      </c>
      <c r="U994">
        <v>1</v>
      </c>
      <c r="V994">
        <v>2</v>
      </c>
      <c r="W994">
        <v>182</v>
      </c>
      <c r="X994" t="s">
        <v>3741</v>
      </c>
      <c r="Y994" t="s">
        <v>36</v>
      </c>
      <c r="Z994">
        <v>20704.53</v>
      </c>
    </row>
    <row r="995" spans="1:26" x14ac:dyDescent="0.25">
      <c r="A995">
        <v>100993</v>
      </c>
      <c r="B995" s="3">
        <v>45923</v>
      </c>
      <c r="C995" s="3">
        <v>45923</v>
      </c>
      <c r="D995" s="3">
        <v>45930</v>
      </c>
      <c r="E995" t="s">
        <v>2650</v>
      </c>
      <c r="F995" t="s">
        <v>32</v>
      </c>
      <c r="G995" t="s">
        <v>255</v>
      </c>
      <c r="H995" t="s">
        <v>2651</v>
      </c>
      <c r="I995" t="s">
        <v>278</v>
      </c>
      <c r="J995" t="s">
        <v>29</v>
      </c>
      <c r="K995" t="s">
        <v>2652</v>
      </c>
      <c r="L995" t="s">
        <v>212</v>
      </c>
      <c r="M995" t="s">
        <v>25</v>
      </c>
      <c r="N995" t="s">
        <v>33</v>
      </c>
      <c r="O995" t="s">
        <v>34</v>
      </c>
      <c r="P995" t="s">
        <v>123</v>
      </c>
      <c r="Q995">
        <v>46</v>
      </c>
      <c r="R995">
        <v>104.7</v>
      </c>
      <c r="S995">
        <v>4816.2</v>
      </c>
      <c r="T995">
        <v>11.81</v>
      </c>
      <c r="U995">
        <v>7</v>
      </c>
      <c r="V995">
        <v>7</v>
      </c>
      <c r="W995">
        <v>3049</v>
      </c>
      <c r="X995" t="s">
        <v>3741</v>
      </c>
      <c r="Y995" t="s">
        <v>36</v>
      </c>
      <c r="Z995">
        <v>868.66</v>
      </c>
    </row>
    <row r="996" spans="1:26" x14ac:dyDescent="0.25">
      <c r="A996">
        <v>100994</v>
      </c>
      <c r="B996" s="3">
        <v>45665</v>
      </c>
      <c r="C996" s="3">
        <v>45670</v>
      </c>
      <c r="D996" s="3">
        <v>45686</v>
      </c>
      <c r="E996" t="s">
        <v>1977</v>
      </c>
      <c r="F996" t="s">
        <v>32</v>
      </c>
      <c r="G996" t="s">
        <v>110</v>
      </c>
      <c r="H996" t="s">
        <v>2653</v>
      </c>
      <c r="I996" t="s">
        <v>116</v>
      </c>
      <c r="J996" t="s">
        <v>62</v>
      </c>
      <c r="K996" t="s">
        <v>985</v>
      </c>
      <c r="L996" t="s">
        <v>91</v>
      </c>
      <c r="M996" t="s">
        <v>65</v>
      </c>
      <c r="N996" t="s">
        <v>92</v>
      </c>
      <c r="O996" t="s">
        <v>93</v>
      </c>
      <c r="P996" t="s">
        <v>76</v>
      </c>
      <c r="Q996">
        <v>280</v>
      </c>
      <c r="R996">
        <v>44.96</v>
      </c>
      <c r="S996">
        <v>12588.8</v>
      </c>
      <c r="T996">
        <v>13.12</v>
      </c>
      <c r="U996">
        <v>16</v>
      </c>
      <c r="V996">
        <v>21</v>
      </c>
      <c r="W996">
        <v>2009</v>
      </c>
      <c r="X996" t="s">
        <v>3742</v>
      </c>
      <c r="Y996" t="s">
        <v>188</v>
      </c>
      <c r="Z996">
        <v>1342.37</v>
      </c>
    </row>
    <row r="997" spans="1:26" x14ac:dyDescent="0.25">
      <c r="A997">
        <v>100995</v>
      </c>
      <c r="B997" s="3">
        <v>45330</v>
      </c>
      <c r="C997" s="3">
        <v>45333</v>
      </c>
      <c r="D997" s="3">
        <v>45339</v>
      </c>
      <c r="E997" t="s">
        <v>2654</v>
      </c>
      <c r="F997" t="s">
        <v>32</v>
      </c>
      <c r="G997" t="s">
        <v>95</v>
      </c>
      <c r="H997" t="s">
        <v>2655</v>
      </c>
      <c r="I997" t="s">
        <v>116</v>
      </c>
      <c r="J997" t="s">
        <v>62</v>
      </c>
      <c r="K997" t="s">
        <v>1890</v>
      </c>
      <c r="L997" t="s">
        <v>64</v>
      </c>
      <c r="M997" t="s">
        <v>65</v>
      </c>
      <c r="N997" t="s">
        <v>45</v>
      </c>
      <c r="O997" t="s">
        <v>46</v>
      </c>
      <c r="P997" t="s">
        <v>123</v>
      </c>
      <c r="Q997">
        <v>443</v>
      </c>
      <c r="R997">
        <v>30.73</v>
      </c>
      <c r="S997">
        <v>13613.39</v>
      </c>
      <c r="T997">
        <v>21.46</v>
      </c>
      <c r="U997">
        <v>6</v>
      </c>
      <c r="V997">
        <v>9</v>
      </c>
      <c r="W997">
        <v>673</v>
      </c>
      <c r="X997" t="s">
        <v>188</v>
      </c>
      <c r="Y997" t="s">
        <v>36</v>
      </c>
      <c r="Z997">
        <v>1102.94</v>
      </c>
    </row>
    <row r="998" spans="1:26" x14ac:dyDescent="0.25">
      <c r="A998">
        <v>100996</v>
      </c>
      <c r="B998" s="3">
        <v>45642</v>
      </c>
      <c r="C998" s="3">
        <v>45646</v>
      </c>
      <c r="D998" s="3">
        <v>45650</v>
      </c>
      <c r="E998" t="s">
        <v>2656</v>
      </c>
      <c r="F998" t="s">
        <v>54</v>
      </c>
      <c r="G998" t="s">
        <v>165</v>
      </c>
      <c r="H998" t="s">
        <v>2657</v>
      </c>
      <c r="I998" t="s">
        <v>61</v>
      </c>
      <c r="J998" t="s">
        <v>62</v>
      </c>
      <c r="K998" t="s">
        <v>2658</v>
      </c>
      <c r="L998" t="s">
        <v>91</v>
      </c>
      <c r="M998" t="s">
        <v>38</v>
      </c>
      <c r="N998" t="s">
        <v>45</v>
      </c>
      <c r="O998" t="s">
        <v>46</v>
      </c>
      <c r="P998" t="s">
        <v>35</v>
      </c>
      <c r="Q998">
        <v>72</v>
      </c>
      <c r="R998">
        <v>43.84</v>
      </c>
      <c r="S998">
        <v>3156.48</v>
      </c>
      <c r="T998">
        <v>14.52</v>
      </c>
      <c r="U998">
        <v>4</v>
      </c>
      <c r="V998">
        <v>8</v>
      </c>
      <c r="W998">
        <v>3462</v>
      </c>
      <c r="X998" t="s">
        <v>188</v>
      </c>
      <c r="Y998" t="s">
        <v>36</v>
      </c>
      <c r="Z998">
        <v>512.51</v>
      </c>
    </row>
    <row r="999" spans="1:26" x14ac:dyDescent="0.25">
      <c r="A999">
        <v>100997</v>
      </c>
      <c r="B999" s="3">
        <v>45872</v>
      </c>
      <c r="C999" s="3">
        <v>45875</v>
      </c>
      <c r="D999" s="3">
        <v>45880</v>
      </c>
      <c r="E999" t="s">
        <v>2659</v>
      </c>
      <c r="F999" t="s">
        <v>25</v>
      </c>
      <c r="G999" t="s">
        <v>221</v>
      </c>
      <c r="H999" t="s">
        <v>2660</v>
      </c>
      <c r="I999" t="s">
        <v>85</v>
      </c>
      <c r="J999" t="s">
        <v>52</v>
      </c>
      <c r="K999" t="s">
        <v>2540</v>
      </c>
      <c r="L999" t="s">
        <v>44</v>
      </c>
      <c r="M999" t="s">
        <v>54</v>
      </c>
      <c r="N999" t="s">
        <v>45</v>
      </c>
      <c r="O999" t="s">
        <v>46</v>
      </c>
      <c r="P999" t="s">
        <v>35</v>
      </c>
      <c r="Q999">
        <v>192</v>
      </c>
      <c r="R999">
        <v>83.66</v>
      </c>
      <c r="S999">
        <v>16062.72</v>
      </c>
      <c r="T999">
        <v>17.920000000000002</v>
      </c>
      <c r="U999">
        <v>5</v>
      </c>
      <c r="V999">
        <v>8</v>
      </c>
      <c r="W999">
        <v>310</v>
      </c>
      <c r="X999" t="s">
        <v>188</v>
      </c>
      <c r="Y999" t="s">
        <v>36</v>
      </c>
      <c r="Z999">
        <v>2788.76</v>
      </c>
    </row>
    <row r="1000" spans="1:26" x14ac:dyDescent="0.25">
      <c r="A1000">
        <v>100998</v>
      </c>
      <c r="B1000" s="3">
        <v>45958</v>
      </c>
      <c r="C1000" s="3">
        <v>45958</v>
      </c>
      <c r="D1000" s="3">
        <v>45963</v>
      </c>
      <c r="E1000" t="s">
        <v>2661</v>
      </c>
      <c r="F1000" t="s">
        <v>32</v>
      </c>
      <c r="G1000" t="s">
        <v>364</v>
      </c>
      <c r="H1000" t="s">
        <v>2662</v>
      </c>
      <c r="I1000" t="s">
        <v>79</v>
      </c>
      <c r="J1000" t="s">
        <v>80</v>
      </c>
      <c r="K1000" t="s">
        <v>247</v>
      </c>
      <c r="L1000" t="s">
        <v>91</v>
      </c>
      <c r="M1000" t="s">
        <v>38</v>
      </c>
      <c r="N1000" t="s">
        <v>107</v>
      </c>
      <c r="O1000" t="s">
        <v>108</v>
      </c>
      <c r="P1000" t="s">
        <v>68</v>
      </c>
      <c r="Q1000">
        <v>158</v>
      </c>
      <c r="R1000">
        <v>299.91000000000003</v>
      </c>
      <c r="S1000">
        <v>47385.78</v>
      </c>
      <c r="T1000">
        <v>38.75</v>
      </c>
      <c r="U1000">
        <v>5</v>
      </c>
      <c r="V1000">
        <v>5</v>
      </c>
      <c r="W1000">
        <v>2061</v>
      </c>
      <c r="X1000" t="s">
        <v>3741</v>
      </c>
      <c r="Y1000" t="s">
        <v>36</v>
      </c>
      <c r="Z1000">
        <v>11231.24</v>
      </c>
    </row>
    <row r="1001" spans="1:26" x14ac:dyDescent="0.25">
      <c r="A1001">
        <v>100999</v>
      </c>
      <c r="B1001" s="3">
        <v>45611</v>
      </c>
      <c r="C1001" s="3">
        <v>45616</v>
      </c>
      <c r="D1001" s="3">
        <v>45639</v>
      </c>
      <c r="E1001" t="s">
        <v>2663</v>
      </c>
      <c r="F1001" t="s">
        <v>25</v>
      </c>
      <c r="G1001" t="s">
        <v>169</v>
      </c>
      <c r="H1001" t="s">
        <v>2664</v>
      </c>
      <c r="I1001" t="s">
        <v>116</v>
      </c>
      <c r="J1001" t="s">
        <v>62</v>
      </c>
      <c r="K1001" t="s">
        <v>1438</v>
      </c>
      <c r="L1001" t="s">
        <v>44</v>
      </c>
      <c r="M1001" t="s">
        <v>25</v>
      </c>
      <c r="N1001" t="s">
        <v>102</v>
      </c>
      <c r="O1001" t="s">
        <v>103</v>
      </c>
      <c r="P1001" t="s">
        <v>76</v>
      </c>
      <c r="Q1001">
        <v>34</v>
      </c>
      <c r="R1001">
        <v>7.93</v>
      </c>
      <c r="S1001">
        <v>269.62</v>
      </c>
      <c r="T1001">
        <v>6.4</v>
      </c>
      <c r="U1001">
        <v>23</v>
      </c>
      <c r="V1001">
        <v>28</v>
      </c>
      <c r="W1001">
        <v>3813</v>
      </c>
      <c r="X1001" t="s">
        <v>3742</v>
      </c>
      <c r="Y1001" t="s">
        <v>57</v>
      </c>
      <c r="Z1001">
        <v>33.74</v>
      </c>
    </row>
    <row r="1002" spans="1:26" x14ac:dyDescent="0.25">
      <c r="A1002">
        <v>101000</v>
      </c>
      <c r="B1002" s="3">
        <v>45967</v>
      </c>
      <c r="C1002" s="3">
        <v>45970</v>
      </c>
      <c r="D1002" s="3">
        <v>45975</v>
      </c>
      <c r="E1002" t="s">
        <v>2665</v>
      </c>
      <c r="F1002" t="s">
        <v>54</v>
      </c>
      <c r="G1002" t="s">
        <v>129</v>
      </c>
      <c r="H1002" t="s">
        <v>2666</v>
      </c>
      <c r="I1002" t="s">
        <v>126</v>
      </c>
      <c r="J1002" t="s">
        <v>42</v>
      </c>
      <c r="K1002" t="s">
        <v>875</v>
      </c>
      <c r="L1002" t="s">
        <v>31</v>
      </c>
      <c r="M1002" t="s">
        <v>32</v>
      </c>
      <c r="N1002" t="s">
        <v>107</v>
      </c>
      <c r="O1002" t="s">
        <v>108</v>
      </c>
      <c r="P1002" t="s">
        <v>123</v>
      </c>
      <c r="Q1002">
        <v>340</v>
      </c>
      <c r="R1002">
        <v>332.68</v>
      </c>
      <c r="S1002">
        <v>113111.2</v>
      </c>
      <c r="T1002">
        <v>18.95</v>
      </c>
      <c r="U1002">
        <v>5</v>
      </c>
      <c r="V1002">
        <v>8</v>
      </c>
      <c r="W1002">
        <v>1775</v>
      </c>
      <c r="X1002" t="s">
        <v>188</v>
      </c>
      <c r="Y1002" t="s">
        <v>36</v>
      </c>
      <c r="Z1002">
        <v>18905.419999999998</v>
      </c>
    </row>
    <row r="1003" spans="1:26" x14ac:dyDescent="0.25">
      <c r="A1003">
        <v>101001</v>
      </c>
      <c r="B1003" s="3">
        <v>45323</v>
      </c>
      <c r="C1003" s="3">
        <v>45328</v>
      </c>
      <c r="D1003" s="3">
        <v>45331</v>
      </c>
      <c r="E1003" t="s">
        <v>2667</v>
      </c>
      <c r="F1003" t="s">
        <v>54</v>
      </c>
      <c r="G1003" t="s">
        <v>129</v>
      </c>
      <c r="H1003" t="s">
        <v>2668</v>
      </c>
      <c r="I1003" t="s">
        <v>61</v>
      </c>
      <c r="J1003" t="s">
        <v>62</v>
      </c>
      <c r="K1003" t="s">
        <v>1624</v>
      </c>
      <c r="L1003" t="s">
        <v>31</v>
      </c>
      <c r="M1003" t="s">
        <v>38</v>
      </c>
      <c r="N1003" t="s">
        <v>45</v>
      </c>
      <c r="O1003" t="s">
        <v>46</v>
      </c>
      <c r="P1003" t="s">
        <v>68</v>
      </c>
      <c r="Q1003">
        <v>368</v>
      </c>
      <c r="R1003">
        <v>28.69</v>
      </c>
      <c r="S1003">
        <v>10557.92</v>
      </c>
      <c r="T1003">
        <v>52.36</v>
      </c>
      <c r="U1003">
        <v>3</v>
      </c>
      <c r="V1003">
        <v>8</v>
      </c>
      <c r="W1003">
        <v>772</v>
      </c>
      <c r="X1003" t="s">
        <v>3742</v>
      </c>
      <c r="Y1003" t="s">
        <v>47</v>
      </c>
      <c r="Z1003">
        <v>-149.30000000000001</v>
      </c>
    </row>
    <row r="1004" spans="1:26" x14ac:dyDescent="0.25">
      <c r="A1004">
        <v>101002</v>
      </c>
      <c r="B1004" s="3">
        <v>45370</v>
      </c>
      <c r="C1004" s="3">
        <v>45371</v>
      </c>
      <c r="D1004" s="3">
        <v>45376</v>
      </c>
      <c r="E1004" t="s">
        <v>2669</v>
      </c>
      <c r="F1004" t="s">
        <v>32</v>
      </c>
      <c r="G1004" t="s">
        <v>137</v>
      </c>
      <c r="H1004" t="s">
        <v>2670</v>
      </c>
      <c r="I1004" t="s">
        <v>61</v>
      </c>
      <c r="J1004" t="s">
        <v>62</v>
      </c>
      <c r="K1004" t="s">
        <v>1374</v>
      </c>
      <c r="L1004" t="s">
        <v>122</v>
      </c>
      <c r="M1004" t="s">
        <v>25</v>
      </c>
      <c r="N1004" t="s">
        <v>107</v>
      </c>
      <c r="O1004" t="s">
        <v>108</v>
      </c>
      <c r="P1004" t="s">
        <v>68</v>
      </c>
      <c r="Q1004">
        <v>164</v>
      </c>
      <c r="R1004">
        <v>21.73</v>
      </c>
      <c r="S1004">
        <v>3563.72</v>
      </c>
      <c r="T1004">
        <v>39.14</v>
      </c>
      <c r="U1004">
        <v>5</v>
      </c>
      <c r="V1004">
        <v>6</v>
      </c>
      <c r="W1004">
        <v>1127</v>
      </c>
      <c r="X1004" t="s">
        <v>3741</v>
      </c>
      <c r="Y1004" t="s">
        <v>36</v>
      </c>
      <c r="Z1004">
        <v>430.75</v>
      </c>
    </row>
    <row r="1005" spans="1:26" x14ac:dyDescent="0.25">
      <c r="A1005">
        <v>101003</v>
      </c>
      <c r="B1005" s="3">
        <v>45671</v>
      </c>
      <c r="C1005" s="3">
        <v>45672</v>
      </c>
      <c r="D1005" s="3">
        <v>45675</v>
      </c>
      <c r="E1005" t="s">
        <v>2671</v>
      </c>
      <c r="F1005" t="s">
        <v>32</v>
      </c>
      <c r="G1005" t="s">
        <v>110</v>
      </c>
      <c r="H1005" t="s">
        <v>2672</v>
      </c>
      <c r="I1005" t="s">
        <v>230</v>
      </c>
      <c r="J1005" t="s">
        <v>80</v>
      </c>
      <c r="K1005" t="s">
        <v>2673</v>
      </c>
      <c r="L1005" t="s">
        <v>64</v>
      </c>
      <c r="M1005" t="s">
        <v>38</v>
      </c>
      <c r="N1005" t="s">
        <v>92</v>
      </c>
      <c r="O1005" t="s">
        <v>93</v>
      </c>
      <c r="P1005" t="s">
        <v>68</v>
      </c>
      <c r="Q1005">
        <v>279</v>
      </c>
      <c r="R1005">
        <v>144.38</v>
      </c>
      <c r="S1005">
        <v>40282.019999999997</v>
      </c>
      <c r="T1005">
        <v>46.59</v>
      </c>
      <c r="U1005">
        <v>3</v>
      </c>
      <c r="V1005">
        <v>4</v>
      </c>
      <c r="W1005">
        <v>780</v>
      </c>
      <c r="X1005" t="s">
        <v>3741</v>
      </c>
      <c r="Y1005" t="s">
        <v>36</v>
      </c>
      <c r="Z1005">
        <v>5025.03</v>
      </c>
    </row>
    <row r="1006" spans="1:26" x14ac:dyDescent="0.25">
      <c r="A1006">
        <v>101004</v>
      </c>
      <c r="B1006" s="3">
        <v>45478</v>
      </c>
      <c r="C1006" s="3">
        <v>45478</v>
      </c>
      <c r="D1006" s="3">
        <v>45482</v>
      </c>
      <c r="E1006" t="s">
        <v>2674</v>
      </c>
      <c r="F1006" t="s">
        <v>25</v>
      </c>
      <c r="G1006" t="s">
        <v>233</v>
      </c>
      <c r="H1006" t="s">
        <v>2675</v>
      </c>
      <c r="I1006" t="s">
        <v>238</v>
      </c>
      <c r="J1006" t="s">
        <v>62</v>
      </c>
      <c r="K1006" t="s">
        <v>2580</v>
      </c>
      <c r="L1006" t="s">
        <v>91</v>
      </c>
      <c r="M1006" t="s">
        <v>32</v>
      </c>
      <c r="N1006" t="s">
        <v>203</v>
      </c>
      <c r="O1006" t="s">
        <v>204</v>
      </c>
      <c r="P1006" t="s">
        <v>35</v>
      </c>
      <c r="Q1006">
        <v>18</v>
      </c>
      <c r="R1006">
        <v>38.69</v>
      </c>
      <c r="S1006">
        <v>696.42</v>
      </c>
      <c r="T1006">
        <v>12.98</v>
      </c>
      <c r="U1006">
        <v>4</v>
      </c>
      <c r="V1006">
        <v>4</v>
      </c>
      <c r="W1006">
        <v>832</v>
      </c>
      <c r="X1006" t="s">
        <v>3741</v>
      </c>
      <c r="Y1006" t="s">
        <v>36</v>
      </c>
      <c r="Z1006">
        <v>27.16</v>
      </c>
    </row>
    <row r="1007" spans="1:26" x14ac:dyDescent="0.25">
      <c r="A1007">
        <v>101005</v>
      </c>
      <c r="B1007" s="3">
        <v>45394</v>
      </c>
      <c r="C1007" s="3">
        <v>45399</v>
      </c>
      <c r="D1007" s="3">
        <v>45412</v>
      </c>
      <c r="E1007" t="s">
        <v>2676</v>
      </c>
      <c r="F1007" t="s">
        <v>38</v>
      </c>
      <c r="G1007" t="s">
        <v>83</v>
      </c>
      <c r="H1007" t="s">
        <v>2677</v>
      </c>
      <c r="I1007" t="s">
        <v>41</v>
      </c>
      <c r="J1007" t="s">
        <v>42</v>
      </c>
      <c r="K1007" t="s">
        <v>2678</v>
      </c>
      <c r="L1007" t="s">
        <v>118</v>
      </c>
      <c r="M1007" t="s">
        <v>25</v>
      </c>
      <c r="N1007" t="s">
        <v>151</v>
      </c>
      <c r="O1007" t="s">
        <v>152</v>
      </c>
      <c r="P1007" t="s">
        <v>123</v>
      </c>
      <c r="Q1007">
        <v>161</v>
      </c>
      <c r="R1007">
        <v>421.92</v>
      </c>
      <c r="S1007">
        <v>67929.119999999995</v>
      </c>
      <c r="T1007">
        <v>14.6</v>
      </c>
      <c r="U1007">
        <v>13</v>
      </c>
      <c r="V1007">
        <v>18</v>
      </c>
      <c r="W1007">
        <v>698</v>
      </c>
      <c r="X1007" t="s">
        <v>188</v>
      </c>
      <c r="Y1007" t="s">
        <v>36</v>
      </c>
      <c r="Z1007">
        <v>6536.9</v>
      </c>
    </row>
    <row r="1008" spans="1:26" x14ac:dyDescent="0.25">
      <c r="A1008">
        <v>101006</v>
      </c>
      <c r="B1008" s="3">
        <v>45574</v>
      </c>
      <c r="C1008" s="3">
        <v>45579</v>
      </c>
      <c r="D1008" s="3">
        <v>45584</v>
      </c>
      <c r="E1008" t="s">
        <v>2679</v>
      </c>
      <c r="F1008" t="s">
        <v>32</v>
      </c>
      <c r="G1008" t="s">
        <v>137</v>
      </c>
      <c r="H1008" t="s">
        <v>2680</v>
      </c>
      <c r="I1008" t="s">
        <v>368</v>
      </c>
      <c r="J1008" t="s">
        <v>29</v>
      </c>
      <c r="K1008" t="s">
        <v>2681</v>
      </c>
      <c r="L1008" t="s">
        <v>212</v>
      </c>
      <c r="M1008" t="s">
        <v>25</v>
      </c>
      <c r="N1008" t="s">
        <v>151</v>
      </c>
      <c r="O1008" t="s">
        <v>152</v>
      </c>
      <c r="P1008" t="s">
        <v>68</v>
      </c>
      <c r="Q1008">
        <v>96</v>
      </c>
      <c r="R1008">
        <v>26.32</v>
      </c>
      <c r="S1008">
        <v>2526.7199999999998</v>
      </c>
      <c r="T1008">
        <v>34.729999999999997</v>
      </c>
      <c r="U1008">
        <v>5</v>
      </c>
      <c r="V1008">
        <v>10</v>
      </c>
      <c r="W1008">
        <v>2807</v>
      </c>
      <c r="X1008" t="s">
        <v>188</v>
      </c>
      <c r="Y1008" t="s">
        <v>36</v>
      </c>
      <c r="Z1008">
        <v>253.21</v>
      </c>
    </row>
    <row r="1009" spans="1:26" x14ac:dyDescent="0.25">
      <c r="A1009">
        <v>101007</v>
      </c>
      <c r="B1009" s="3">
        <v>45581</v>
      </c>
      <c r="C1009" s="3">
        <v>45584</v>
      </c>
      <c r="D1009" s="3">
        <v>45594</v>
      </c>
      <c r="E1009" t="s">
        <v>2682</v>
      </c>
      <c r="F1009" t="s">
        <v>38</v>
      </c>
      <c r="G1009" t="s">
        <v>147</v>
      </c>
      <c r="H1009" t="s">
        <v>2683</v>
      </c>
      <c r="I1009" t="s">
        <v>207</v>
      </c>
      <c r="J1009" t="s">
        <v>80</v>
      </c>
      <c r="K1009" t="s">
        <v>2684</v>
      </c>
      <c r="L1009" t="s">
        <v>91</v>
      </c>
      <c r="M1009" t="s">
        <v>65</v>
      </c>
      <c r="N1009" t="s">
        <v>66</v>
      </c>
      <c r="O1009" t="s">
        <v>67</v>
      </c>
      <c r="P1009" t="s">
        <v>68</v>
      </c>
      <c r="Q1009">
        <v>386</v>
      </c>
      <c r="R1009">
        <v>63.55</v>
      </c>
      <c r="S1009">
        <v>24530.3</v>
      </c>
      <c r="T1009">
        <v>53.52</v>
      </c>
      <c r="U1009">
        <v>10</v>
      </c>
      <c r="V1009">
        <v>13</v>
      </c>
      <c r="W1009">
        <v>1043</v>
      </c>
      <c r="X1009" t="s">
        <v>188</v>
      </c>
      <c r="Y1009" t="s">
        <v>36</v>
      </c>
      <c r="Z1009">
        <v>3534.96</v>
      </c>
    </row>
    <row r="1010" spans="1:26" x14ac:dyDescent="0.25">
      <c r="A1010">
        <v>101008</v>
      </c>
      <c r="B1010" s="3">
        <v>45767</v>
      </c>
      <c r="C1010" s="3">
        <v>45769</v>
      </c>
      <c r="D1010" s="3">
        <v>45774</v>
      </c>
      <c r="E1010" t="s">
        <v>2685</v>
      </c>
      <c r="F1010" t="s">
        <v>38</v>
      </c>
      <c r="G1010" t="s">
        <v>49</v>
      </c>
      <c r="H1010" t="s">
        <v>2686</v>
      </c>
      <c r="I1010" t="s">
        <v>28</v>
      </c>
      <c r="J1010" t="s">
        <v>29</v>
      </c>
      <c r="K1010" t="s">
        <v>434</v>
      </c>
      <c r="L1010" t="s">
        <v>118</v>
      </c>
      <c r="M1010" t="s">
        <v>54</v>
      </c>
      <c r="N1010" t="s">
        <v>74</v>
      </c>
      <c r="O1010" t="s">
        <v>75</v>
      </c>
      <c r="P1010" t="s">
        <v>35</v>
      </c>
      <c r="Q1010">
        <v>292</v>
      </c>
      <c r="R1010">
        <v>91.96</v>
      </c>
      <c r="S1010">
        <v>26852.32</v>
      </c>
      <c r="T1010">
        <v>20.75</v>
      </c>
      <c r="U1010">
        <v>5</v>
      </c>
      <c r="V1010">
        <v>7</v>
      </c>
      <c r="W1010">
        <v>767</v>
      </c>
      <c r="X1010" t="s">
        <v>3741</v>
      </c>
      <c r="Y1010" t="s">
        <v>36</v>
      </c>
      <c r="Z1010">
        <v>5331.87</v>
      </c>
    </row>
    <row r="1011" spans="1:26" x14ac:dyDescent="0.25">
      <c r="A1011">
        <v>101009</v>
      </c>
      <c r="B1011" s="3">
        <v>46016</v>
      </c>
      <c r="C1011" s="3">
        <v>46020</v>
      </c>
      <c r="D1011" s="3">
        <v>46025</v>
      </c>
      <c r="E1011" t="s">
        <v>2687</v>
      </c>
      <c r="F1011" t="s">
        <v>32</v>
      </c>
      <c r="G1011" t="s">
        <v>364</v>
      </c>
      <c r="H1011" t="s">
        <v>2688</v>
      </c>
      <c r="I1011" t="s">
        <v>368</v>
      </c>
      <c r="J1011" t="s">
        <v>29</v>
      </c>
      <c r="K1011" t="s">
        <v>2689</v>
      </c>
      <c r="L1011" t="s">
        <v>91</v>
      </c>
      <c r="M1011" t="s">
        <v>32</v>
      </c>
      <c r="N1011" t="s">
        <v>107</v>
      </c>
      <c r="O1011" t="s">
        <v>108</v>
      </c>
      <c r="P1011" t="s">
        <v>123</v>
      </c>
      <c r="Q1011">
        <v>449</v>
      </c>
      <c r="R1011">
        <v>112.2</v>
      </c>
      <c r="S1011">
        <v>50377.8</v>
      </c>
      <c r="T1011">
        <v>16</v>
      </c>
      <c r="U1011">
        <v>5</v>
      </c>
      <c r="V1011">
        <v>9</v>
      </c>
      <c r="W1011">
        <v>3156</v>
      </c>
      <c r="X1011" t="s">
        <v>188</v>
      </c>
      <c r="Y1011" t="s">
        <v>36</v>
      </c>
      <c r="Z1011">
        <v>8119.63</v>
      </c>
    </row>
    <row r="1012" spans="1:26" x14ac:dyDescent="0.25">
      <c r="A1012">
        <v>101010</v>
      </c>
      <c r="B1012" s="3">
        <v>45548</v>
      </c>
      <c r="C1012" s="3">
        <v>45548</v>
      </c>
      <c r="D1012" s="3">
        <v>45557</v>
      </c>
      <c r="E1012" t="s">
        <v>2690</v>
      </c>
      <c r="F1012" t="s">
        <v>65</v>
      </c>
      <c r="G1012" t="s">
        <v>70</v>
      </c>
      <c r="H1012" t="s">
        <v>2691</v>
      </c>
      <c r="I1012" t="s">
        <v>61</v>
      </c>
      <c r="J1012" t="s">
        <v>62</v>
      </c>
      <c r="K1012" t="s">
        <v>2692</v>
      </c>
      <c r="L1012" t="s">
        <v>98</v>
      </c>
      <c r="M1012" t="s">
        <v>65</v>
      </c>
      <c r="N1012" t="s">
        <v>203</v>
      </c>
      <c r="O1012" t="s">
        <v>204</v>
      </c>
      <c r="P1012" t="s">
        <v>35</v>
      </c>
      <c r="Q1012">
        <v>425</v>
      </c>
      <c r="R1012">
        <v>37.18</v>
      </c>
      <c r="S1012">
        <v>15801.5</v>
      </c>
      <c r="T1012">
        <v>18.16</v>
      </c>
      <c r="U1012">
        <v>9</v>
      </c>
      <c r="V1012">
        <v>9</v>
      </c>
      <c r="W1012">
        <v>3147</v>
      </c>
      <c r="X1012" t="s">
        <v>188</v>
      </c>
      <c r="Y1012" t="s">
        <v>36</v>
      </c>
      <c r="Z1012">
        <v>1592.15</v>
      </c>
    </row>
    <row r="1013" spans="1:26" x14ac:dyDescent="0.25">
      <c r="A1013">
        <v>101011</v>
      </c>
      <c r="B1013" s="3">
        <v>45949</v>
      </c>
      <c r="C1013" s="3">
        <v>45954</v>
      </c>
      <c r="D1013" s="3">
        <v>45956</v>
      </c>
      <c r="E1013" t="s">
        <v>2693</v>
      </c>
      <c r="F1013" t="s">
        <v>65</v>
      </c>
      <c r="G1013" t="s">
        <v>142</v>
      </c>
      <c r="H1013" t="s">
        <v>2694</v>
      </c>
      <c r="I1013" t="s">
        <v>368</v>
      </c>
      <c r="J1013" t="s">
        <v>29</v>
      </c>
      <c r="K1013" t="s">
        <v>2695</v>
      </c>
      <c r="L1013" t="s">
        <v>64</v>
      </c>
      <c r="M1013" t="s">
        <v>54</v>
      </c>
      <c r="N1013" t="s">
        <v>66</v>
      </c>
      <c r="O1013" t="s">
        <v>67</v>
      </c>
      <c r="P1013" t="s">
        <v>68</v>
      </c>
      <c r="Q1013">
        <v>60</v>
      </c>
      <c r="R1013">
        <v>80.34</v>
      </c>
      <c r="S1013">
        <v>4820.3999999999996</v>
      </c>
      <c r="T1013">
        <v>32.4</v>
      </c>
      <c r="U1013">
        <v>2</v>
      </c>
      <c r="V1013">
        <v>7</v>
      </c>
      <c r="W1013">
        <v>814</v>
      </c>
      <c r="X1013" t="s">
        <v>3741</v>
      </c>
      <c r="Y1013" t="s">
        <v>36</v>
      </c>
      <c r="Z1013">
        <v>147.49</v>
      </c>
    </row>
    <row r="1014" spans="1:26" x14ac:dyDescent="0.25">
      <c r="A1014">
        <v>101012</v>
      </c>
      <c r="B1014" s="3">
        <v>45654</v>
      </c>
      <c r="C1014" s="3">
        <v>45658</v>
      </c>
      <c r="D1014" s="3">
        <v>45660</v>
      </c>
      <c r="E1014" t="s">
        <v>2696</v>
      </c>
      <c r="F1014" t="s">
        <v>54</v>
      </c>
      <c r="G1014" t="s">
        <v>193</v>
      </c>
      <c r="H1014" t="s">
        <v>2697</v>
      </c>
      <c r="I1014" t="s">
        <v>51</v>
      </c>
      <c r="J1014" t="s">
        <v>52</v>
      </c>
      <c r="K1014" t="s">
        <v>756</v>
      </c>
      <c r="L1014" t="s">
        <v>187</v>
      </c>
      <c r="M1014" t="s">
        <v>32</v>
      </c>
      <c r="N1014" t="s">
        <v>66</v>
      </c>
      <c r="O1014" t="s">
        <v>67</v>
      </c>
      <c r="P1014" t="s">
        <v>68</v>
      </c>
      <c r="Q1014">
        <v>373</v>
      </c>
      <c r="R1014">
        <v>25.98</v>
      </c>
      <c r="S1014">
        <v>9690.5400000000009</v>
      </c>
      <c r="T1014">
        <v>52.68</v>
      </c>
      <c r="U1014">
        <v>2</v>
      </c>
      <c r="V1014">
        <v>6</v>
      </c>
      <c r="W1014">
        <v>3547</v>
      </c>
      <c r="X1014" t="s">
        <v>3741</v>
      </c>
      <c r="Y1014" t="s">
        <v>36</v>
      </c>
      <c r="Z1014">
        <v>1522.86</v>
      </c>
    </row>
    <row r="1015" spans="1:26" x14ac:dyDescent="0.25">
      <c r="A1015">
        <v>101013</v>
      </c>
      <c r="B1015" s="3">
        <v>45399</v>
      </c>
      <c r="C1015" s="3">
        <v>45399</v>
      </c>
      <c r="D1015" s="3">
        <v>45404</v>
      </c>
      <c r="E1015" t="s">
        <v>2698</v>
      </c>
      <c r="F1015" t="s">
        <v>32</v>
      </c>
      <c r="G1015" t="s">
        <v>273</v>
      </c>
      <c r="H1015" t="s">
        <v>2699</v>
      </c>
      <c r="I1015" t="s">
        <v>72</v>
      </c>
      <c r="J1015" t="s">
        <v>42</v>
      </c>
      <c r="K1015" t="s">
        <v>227</v>
      </c>
      <c r="L1015" t="s">
        <v>98</v>
      </c>
      <c r="M1015" t="s">
        <v>32</v>
      </c>
      <c r="N1015" t="s">
        <v>92</v>
      </c>
      <c r="O1015" t="s">
        <v>93</v>
      </c>
      <c r="P1015" t="s">
        <v>35</v>
      </c>
      <c r="Q1015">
        <v>338</v>
      </c>
      <c r="R1015">
        <v>379.1</v>
      </c>
      <c r="S1015">
        <v>128135.8</v>
      </c>
      <c r="T1015">
        <v>16.34</v>
      </c>
      <c r="U1015">
        <v>5</v>
      </c>
      <c r="V1015">
        <v>5</v>
      </c>
      <c r="W1015">
        <v>706</v>
      </c>
      <c r="X1015" t="s">
        <v>3741</v>
      </c>
      <c r="Y1015" t="s">
        <v>36</v>
      </c>
      <c r="Z1015">
        <v>20771.439999999999</v>
      </c>
    </row>
    <row r="1016" spans="1:26" x14ac:dyDescent="0.25">
      <c r="A1016">
        <v>101014</v>
      </c>
      <c r="B1016" s="3">
        <v>45814</v>
      </c>
      <c r="C1016" s="3">
        <v>45815</v>
      </c>
      <c r="D1016" s="3">
        <v>45820</v>
      </c>
      <c r="E1016" t="s">
        <v>2700</v>
      </c>
      <c r="F1016" t="s">
        <v>25</v>
      </c>
      <c r="G1016" t="s">
        <v>233</v>
      </c>
      <c r="H1016" t="s">
        <v>2701</v>
      </c>
      <c r="I1016" t="s">
        <v>72</v>
      </c>
      <c r="J1016" t="s">
        <v>42</v>
      </c>
      <c r="K1016" t="s">
        <v>2702</v>
      </c>
      <c r="L1016" t="s">
        <v>64</v>
      </c>
      <c r="M1016" t="s">
        <v>38</v>
      </c>
      <c r="N1016" t="s">
        <v>92</v>
      </c>
      <c r="O1016" t="s">
        <v>93</v>
      </c>
      <c r="P1016" t="s">
        <v>123</v>
      </c>
      <c r="Q1016">
        <v>480</v>
      </c>
      <c r="R1016">
        <v>320.22000000000003</v>
      </c>
      <c r="S1016">
        <v>153705.60000000001</v>
      </c>
      <c r="T1016">
        <v>22.36</v>
      </c>
      <c r="U1016">
        <v>5</v>
      </c>
      <c r="V1016">
        <v>6</v>
      </c>
      <c r="W1016">
        <v>1166</v>
      </c>
      <c r="X1016" t="s">
        <v>3741</v>
      </c>
      <c r="Y1016" t="s">
        <v>36</v>
      </c>
      <c r="Z1016">
        <v>10227.18</v>
      </c>
    </row>
    <row r="1017" spans="1:26" x14ac:dyDescent="0.25">
      <c r="A1017">
        <v>101015</v>
      </c>
      <c r="B1017" s="3">
        <v>45663</v>
      </c>
      <c r="C1017" s="3">
        <v>45668</v>
      </c>
      <c r="D1017" s="3">
        <v>45682</v>
      </c>
      <c r="E1017" t="s">
        <v>2703</v>
      </c>
      <c r="F1017" t="s">
        <v>54</v>
      </c>
      <c r="G1017" t="s">
        <v>158</v>
      </c>
      <c r="H1017" t="s">
        <v>2704</v>
      </c>
      <c r="I1017" t="s">
        <v>89</v>
      </c>
      <c r="J1017" t="s">
        <v>62</v>
      </c>
      <c r="K1017" t="s">
        <v>2705</v>
      </c>
      <c r="L1017" t="s">
        <v>64</v>
      </c>
      <c r="M1017" t="s">
        <v>25</v>
      </c>
      <c r="N1017" t="s">
        <v>45</v>
      </c>
      <c r="O1017" t="s">
        <v>46</v>
      </c>
      <c r="P1017" t="s">
        <v>123</v>
      </c>
      <c r="Q1017">
        <v>273</v>
      </c>
      <c r="R1017">
        <v>41.74</v>
      </c>
      <c r="S1017">
        <v>11395.02</v>
      </c>
      <c r="T1017">
        <v>17.329999999999998</v>
      </c>
      <c r="U1017">
        <v>14</v>
      </c>
      <c r="V1017">
        <v>19</v>
      </c>
      <c r="W1017">
        <v>3064</v>
      </c>
      <c r="X1017" t="s">
        <v>188</v>
      </c>
      <c r="Y1017" t="s">
        <v>36</v>
      </c>
      <c r="Z1017">
        <v>1673.25</v>
      </c>
    </row>
    <row r="1018" spans="1:26" x14ac:dyDescent="0.25">
      <c r="A1018">
        <v>101016</v>
      </c>
      <c r="B1018" s="3">
        <v>45403</v>
      </c>
      <c r="C1018" s="3">
        <v>45406</v>
      </c>
      <c r="D1018" s="3">
        <v>45409</v>
      </c>
      <c r="E1018" t="s">
        <v>749</v>
      </c>
      <c r="F1018" t="s">
        <v>32</v>
      </c>
      <c r="G1018" t="s">
        <v>180</v>
      </c>
      <c r="H1018" t="s">
        <v>2706</v>
      </c>
      <c r="I1018" t="s">
        <v>116</v>
      </c>
      <c r="J1018" t="s">
        <v>62</v>
      </c>
      <c r="K1018" t="s">
        <v>1234</v>
      </c>
      <c r="L1018" t="s">
        <v>98</v>
      </c>
      <c r="M1018" t="s">
        <v>38</v>
      </c>
      <c r="N1018" t="s">
        <v>55</v>
      </c>
      <c r="O1018" t="s">
        <v>56</v>
      </c>
      <c r="P1018" t="s">
        <v>68</v>
      </c>
      <c r="Q1018">
        <v>174</v>
      </c>
      <c r="R1018">
        <v>10.88</v>
      </c>
      <c r="S1018">
        <v>1893.12</v>
      </c>
      <c r="T1018">
        <v>39.79</v>
      </c>
      <c r="U1018">
        <v>3</v>
      </c>
      <c r="V1018">
        <v>6</v>
      </c>
      <c r="W1018">
        <v>2323</v>
      </c>
      <c r="X1018" t="s">
        <v>3741</v>
      </c>
      <c r="Y1018" t="s">
        <v>36</v>
      </c>
      <c r="Z1018">
        <v>65.239999999999995</v>
      </c>
    </row>
    <row r="1019" spans="1:26" x14ac:dyDescent="0.25">
      <c r="A1019">
        <v>101017</v>
      </c>
      <c r="B1019" s="3">
        <v>45909</v>
      </c>
      <c r="C1019" s="3">
        <v>45910</v>
      </c>
      <c r="D1019" s="3">
        <v>45933</v>
      </c>
      <c r="E1019" t="s">
        <v>2707</v>
      </c>
      <c r="F1019" t="s">
        <v>38</v>
      </c>
      <c r="G1019" t="s">
        <v>217</v>
      </c>
      <c r="H1019" t="s">
        <v>2708</v>
      </c>
      <c r="I1019" t="s">
        <v>144</v>
      </c>
      <c r="J1019" t="s">
        <v>52</v>
      </c>
      <c r="K1019" t="s">
        <v>1158</v>
      </c>
      <c r="L1019" t="s">
        <v>122</v>
      </c>
      <c r="M1019" t="s">
        <v>54</v>
      </c>
      <c r="N1019" t="s">
        <v>33</v>
      </c>
      <c r="O1019" t="s">
        <v>34</v>
      </c>
      <c r="P1019" t="s">
        <v>76</v>
      </c>
      <c r="Q1019">
        <v>330</v>
      </c>
      <c r="R1019">
        <v>77.180000000000007</v>
      </c>
      <c r="S1019">
        <v>25469.4</v>
      </c>
      <c r="T1019">
        <v>14.03</v>
      </c>
      <c r="U1019">
        <v>23</v>
      </c>
      <c r="V1019">
        <v>24</v>
      </c>
      <c r="W1019">
        <v>1888</v>
      </c>
      <c r="X1019" t="s">
        <v>188</v>
      </c>
      <c r="Y1019" t="s">
        <v>36</v>
      </c>
      <c r="Z1019">
        <v>3208.1</v>
      </c>
    </row>
    <row r="1020" spans="1:26" x14ac:dyDescent="0.25">
      <c r="A1020">
        <v>101018</v>
      </c>
      <c r="B1020" s="3">
        <v>45924</v>
      </c>
      <c r="C1020" s="3">
        <v>45926</v>
      </c>
      <c r="D1020" s="3">
        <v>45946</v>
      </c>
      <c r="E1020" t="s">
        <v>2709</v>
      </c>
      <c r="F1020" t="s">
        <v>54</v>
      </c>
      <c r="G1020" t="s">
        <v>158</v>
      </c>
      <c r="H1020" t="s">
        <v>2710</v>
      </c>
      <c r="I1020" t="s">
        <v>246</v>
      </c>
      <c r="J1020" t="s">
        <v>29</v>
      </c>
      <c r="K1020" t="s">
        <v>2711</v>
      </c>
      <c r="L1020" t="s">
        <v>98</v>
      </c>
      <c r="M1020" t="s">
        <v>25</v>
      </c>
      <c r="N1020" t="s">
        <v>203</v>
      </c>
      <c r="O1020" t="s">
        <v>204</v>
      </c>
      <c r="P1020" t="s">
        <v>76</v>
      </c>
      <c r="Q1020">
        <v>488</v>
      </c>
      <c r="R1020">
        <v>50.15</v>
      </c>
      <c r="S1020">
        <v>24473.200000000001</v>
      </c>
      <c r="T1020">
        <v>16.91</v>
      </c>
      <c r="U1020">
        <v>20</v>
      </c>
      <c r="V1020">
        <v>22</v>
      </c>
      <c r="W1020">
        <v>516</v>
      </c>
      <c r="X1020" t="s">
        <v>3742</v>
      </c>
      <c r="Y1020" t="s">
        <v>188</v>
      </c>
      <c r="Z1020">
        <v>6138.87</v>
      </c>
    </row>
    <row r="1021" spans="1:26" x14ac:dyDescent="0.25">
      <c r="A1021">
        <v>101019</v>
      </c>
      <c r="B1021" s="3">
        <v>45304</v>
      </c>
      <c r="C1021" s="3">
        <v>45309</v>
      </c>
      <c r="D1021" s="3">
        <v>45313</v>
      </c>
      <c r="E1021" t="s">
        <v>2712</v>
      </c>
      <c r="F1021" t="s">
        <v>38</v>
      </c>
      <c r="G1021" t="s">
        <v>217</v>
      </c>
      <c r="H1021" t="s">
        <v>2713</v>
      </c>
      <c r="I1021" t="s">
        <v>28</v>
      </c>
      <c r="J1021" t="s">
        <v>29</v>
      </c>
      <c r="K1021" t="s">
        <v>2714</v>
      </c>
      <c r="L1021" t="s">
        <v>187</v>
      </c>
      <c r="M1021" t="s">
        <v>25</v>
      </c>
      <c r="N1021" t="s">
        <v>92</v>
      </c>
      <c r="O1021" t="s">
        <v>93</v>
      </c>
      <c r="P1021" t="s">
        <v>68</v>
      </c>
      <c r="Q1021">
        <v>198</v>
      </c>
      <c r="R1021">
        <v>101.07</v>
      </c>
      <c r="S1021">
        <v>20011.86</v>
      </c>
      <c r="T1021">
        <v>41.34</v>
      </c>
      <c r="U1021">
        <v>4</v>
      </c>
      <c r="V1021">
        <v>9</v>
      </c>
      <c r="W1021">
        <v>599</v>
      </c>
      <c r="X1021" t="s">
        <v>188</v>
      </c>
      <c r="Y1021" t="s">
        <v>36</v>
      </c>
      <c r="Z1021">
        <v>5118.92</v>
      </c>
    </row>
    <row r="1022" spans="1:26" x14ac:dyDescent="0.25">
      <c r="A1022">
        <v>101020</v>
      </c>
      <c r="B1022" s="3">
        <v>45551</v>
      </c>
      <c r="C1022" s="3">
        <v>45555</v>
      </c>
      <c r="D1022" s="3">
        <v>45560</v>
      </c>
      <c r="E1022" t="s">
        <v>2715</v>
      </c>
      <c r="F1022" t="s">
        <v>54</v>
      </c>
      <c r="G1022" t="s">
        <v>165</v>
      </c>
      <c r="H1022" t="s">
        <v>2716</v>
      </c>
      <c r="I1022" t="s">
        <v>198</v>
      </c>
      <c r="J1022" t="s">
        <v>52</v>
      </c>
      <c r="K1022" t="s">
        <v>2717</v>
      </c>
      <c r="L1022" t="s">
        <v>64</v>
      </c>
      <c r="M1022" t="s">
        <v>25</v>
      </c>
      <c r="N1022" t="s">
        <v>55</v>
      </c>
      <c r="O1022" t="s">
        <v>56</v>
      </c>
      <c r="P1022" t="s">
        <v>123</v>
      </c>
      <c r="Q1022">
        <v>442</v>
      </c>
      <c r="R1022">
        <v>35.22</v>
      </c>
      <c r="S1022">
        <v>15567.24</v>
      </c>
      <c r="T1022">
        <v>21.43</v>
      </c>
      <c r="U1022">
        <v>5</v>
      </c>
      <c r="V1022">
        <v>9</v>
      </c>
      <c r="W1022">
        <v>4271</v>
      </c>
      <c r="X1022" t="s">
        <v>188</v>
      </c>
      <c r="Y1022" t="s">
        <v>36</v>
      </c>
      <c r="Z1022">
        <v>1381.07</v>
      </c>
    </row>
    <row r="1023" spans="1:26" x14ac:dyDescent="0.25">
      <c r="A1023">
        <v>101021</v>
      </c>
      <c r="B1023" s="3">
        <v>45419</v>
      </c>
      <c r="C1023" s="3">
        <v>45419</v>
      </c>
      <c r="D1023" s="3">
        <v>45424</v>
      </c>
      <c r="E1023" t="s">
        <v>2718</v>
      </c>
      <c r="F1023" t="s">
        <v>65</v>
      </c>
      <c r="G1023" t="s">
        <v>142</v>
      </c>
      <c r="H1023" t="s">
        <v>2719</v>
      </c>
      <c r="I1023" t="s">
        <v>85</v>
      </c>
      <c r="J1023" t="s">
        <v>52</v>
      </c>
      <c r="K1023" t="s">
        <v>1730</v>
      </c>
      <c r="L1023" t="s">
        <v>31</v>
      </c>
      <c r="M1023" t="s">
        <v>25</v>
      </c>
      <c r="N1023" t="s">
        <v>107</v>
      </c>
      <c r="O1023" t="s">
        <v>108</v>
      </c>
      <c r="P1023" t="s">
        <v>123</v>
      </c>
      <c r="Q1023">
        <v>269</v>
      </c>
      <c r="R1023">
        <v>21.92</v>
      </c>
      <c r="S1023">
        <v>5896.48</v>
      </c>
      <c r="T1023">
        <v>17.23</v>
      </c>
      <c r="U1023">
        <v>5</v>
      </c>
      <c r="V1023">
        <v>5</v>
      </c>
      <c r="W1023">
        <v>2768</v>
      </c>
      <c r="X1023" t="s">
        <v>3741</v>
      </c>
      <c r="Y1023" t="s">
        <v>36</v>
      </c>
      <c r="Z1023">
        <v>623.86</v>
      </c>
    </row>
    <row r="1024" spans="1:26" x14ac:dyDescent="0.25">
      <c r="A1024">
        <v>101022</v>
      </c>
      <c r="B1024" s="3">
        <v>45766</v>
      </c>
      <c r="C1024" s="3">
        <v>45770</v>
      </c>
      <c r="D1024" s="3">
        <v>45773</v>
      </c>
      <c r="E1024" t="s">
        <v>2720</v>
      </c>
      <c r="F1024" t="s">
        <v>25</v>
      </c>
      <c r="G1024" t="s">
        <v>26</v>
      </c>
      <c r="H1024" t="s">
        <v>2721</v>
      </c>
      <c r="I1024" t="s">
        <v>149</v>
      </c>
      <c r="J1024" t="s">
        <v>42</v>
      </c>
      <c r="K1024" t="s">
        <v>971</v>
      </c>
      <c r="L1024" t="s">
        <v>212</v>
      </c>
      <c r="M1024" t="s">
        <v>54</v>
      </c>
      <c r="N1024" t="s">
        <v>33</v>
      </c>
      <c r="O1024" t="s">
        <v>34</v>
      </c>
      <c r="P1024" t="s">
        <v>68</v>
      </c>
      <c r="Q1024">
        <v>158</v>
      </c>
      <c r="R1024">
        <v>175.37</v>
      </c>
      <c r="S1024">
        <v>27708.46</v>
      </c>
      <c r="T1024">
        <v>38.75</v>
      </c>
      <c r="U1024">
        <v>3</v>
      </c>
      <c r="V1024">
        <v>7</v>
      </c>
      <c r="W1024">
        <v>180</v>
      </c>
      <c r="X1024" t="s">
        <v>3741</v>
      </c>
      <c r="Y1024" t="s">
        <v>36</v>
      </c>
      <c r="Z1024">
        <v>5350.62</v>
      </c>
    </row>
    <row r="1025" spans="1:26" x14ac:dyDescent="0.25">
      <c r="A1025">
        <v>101023</v>
      </c>
      <c r="B1025" s="3">
        <v>45928</v>
      </c>
      <c r="C1025" s="3">
        <v>45931</v>
      </c>
      <c r="D1025" s="3">
        <v>45944</v>
      </c>
      <c r="E1025" t="s">
        <v>2722</v>
      </c>
      <c r="F1025" t="s">
        <v>65</v>
      </c>
      <c r="G1025" t="s">
        <v>70</v>
      </c>
      <c r="H1025" t="s">
        <v>2723</v>
      </c>
      <c r="I1025" t="s">
        <v>61</v>
      </c>
      <c r="J1025" t="s">
        <v>62</v>
      </c>
      <c r="K1025" t="s">
        <v>1405</v>
      </c>
      <c r="L1025" t="s">
        <v>44</v>
      </c>
      <c r="M1025" t="s">
        <v>25</v>
      </c>
      <c r="N1025" t="s">
        <v>45</v>
      </c>
      <c r="O1025" t="s">
        <v>46</v>
      </c>
      <c r="P1025" t="s">
        <v>123</v>
      </c>
      <c r="Q1025">
        <v>167</v>
      </c>
      <c r="R1025">
        <v>23.66</v>
      </c>
      <c r="S1025">
        <v>3951.22</v>
      </c>
      <c r="T1025">
        <v>14.75</v>
      </c>
      <c r="U1025">
        <v>13</v>
      </c>
      <c r="V1025">
        <v>16</v>
      </c>
      <c r="W1025">
        <v>3336</v>
      </c>
      <c r="X1025" t="s">
        <v>188</v>
      </c>
      <c r="Y1025" t="s">
        <v>36</v>
      </c>
      <c r="Z1025">
        <v>655.16999999999996</v>
      </c>
    </row>
    <row r="1026" spans="1:26" x14ac:dyDescent="0.25">
      <c r="A1026">
        <v>101024</v>
      </c>
      <c r="B1026" s="3">
        <v>45399</v>
      </c>
      <c r="C1026" s="3">
        <v>45401</v>
      </c>
      <c r="D1026" s="3">
        <v>45426</v>
      </c>
      <c r="E1026" t="s">
        <v>2724</v>
      </c>
      <c r="F1026" t="s">
        <v>54</v>
      </c>
      <c r="G1026" t="s">
        <v>129</v>
      </c>
      <c r="H1026" t="s">
        <v>2725</v>
      </c>
      <c r="I1026" t="s">
        <v>28</v>
      </c>
      <c r="J1026" t="s">
        <v>29</v>
      </c>
      <c r="K1026" t="s">
        <v>1935</v>
      </c>
      <c r="L1026" t="s">
        <v>44</v>
      </c>
      <c r="M1026" t="s">
        <v>65</v>
      </c>
      <c r="N1026" t="s">
        <v>92</v>
      </c>
      <c r="O1026" t="s">
        <v>93</v>
      </c>
      <c r="P1026" t="s">
        <v>76</v>
      </c>
      <c r="Q1026">
        <v>96</v>
      </c>
      <c r="R1026">
        <v>44.99</v>
      </c>
      <c r="S1026">
        <v>4319.04</v>
      </c>
      <c r="T1026">
        <v>9.77</v>
      </c>
      <c r="U1026">
        <v>25</v>
      </c>
      <c r="V1026">
        <v>27</v>
      </c>
      <c r="W1026">
        <v>2419</v>
      </c>
      <c r="X1026" t="s">
        <v>3742</v>
      </c>
      <c r="Y1026" t="s">
        <v>188</v>
      </c>
      <c r="Z1026">
        <v>634.51</v>
      </c>
    </row>
    <row r="1027" spans="1:26" x14ac:dyDescent="0.25">
      <c r="A1027">
        <v>101025</v>
      </c>
      <c r="B1027" s="3">
        <v>45602</v>
      </c>
      <c r="C1027" s="3">
        <v>45603</v>
      </c>
      <c r="D1027" s="3">
        <v>45609</v>
      </c>
      <c r="E1027" t="s">
        <v>2726</v>
      </c>
      <c r="F1027" t="s">
        <v>65</v>
      </c>
      <c r="G1027" t="s">
        <v>142</v>
      </c>
      <c r="H1027" t="s">
        <v>2727</v>
      </c>
      <c r="I1027" t="s">
        <v>85</v>
      </c>
      <c r="J1027" t="s">
        <v>52</v>
      </c>
      <c r="K1027" t="s">
        <v>167</v>
      </c>
      <c r="L1027" t="s">
        <v>64</v>
      </c>
      <c r="M1027" t="s">
        <v>25</v>
      </c>
      <c r="N1027" t="s">
        <v>74</v>
      </c>
      <c r="O1027" t="s">
        <v>75</v>
      </c>
      <c r="P1027" t="s">
        <v>123</v>
      </c>
      <c r="Q1027">
        <v>16</v>
      </c>
      <c r="R1027">
        <v>44.08</v>
      </c>
      <c r="S1027">
        <v>705.28</v>
      </c>
      <c r="T1027">
        <v>11.08</v>
      </c>
      <c r="U1027">
        <v>6</v>
      </c>
      <c r="V1027">
        <v>7</v>
      </c>
      <c r="W1027">
        <v>4385</v>
      </c>
      <c r="X1027" t="s">
        <v>3742</v>
      </c>
      <c r="Y1027" t="s">
        <v>57</v>
      </c>
      <c r="Z1027">
        <v>82.7</v>
      </c>
    </row>
    <row r="1028" spans="1:26" x14ac:dyDescent="0.25">
      <c r="A1028">
        <v>101026</v>
      </c>
      <c r="B1028" s="3">
        <v>45579</v>
      </c>
      <c r="C1028" s="3">
        <v>45581</v>
      </c>
      <c r="D1028" s="3">
        <v>45591</v>
      </c>
      <c r="E1028" t="s">
        <v>2728</v>
      </c>
      <c r="F1028" t="s">
        <v>54</v>
      </c>
      <c r="G1028" t="s">
        <v>129</v>
      </c>
      <c r="H1028" t="s">
        <v>2729</v>
      </c>
      <c r="I1028" t="s">
        <v>182</v>
      </c>
      <c r="J1028" t="s">
        <v>80</v>
      </c>
      <c r="K1028" t="s">
        <v>2702</v>
      </c>
      <c r="L1028" t="s">
        <v>98</v>
      </c>
      <c r="M1028" t="s">
        <v>38</v>
      </c>
      <c r="N1028" t="s">
        <v>55</v>
      </c>
      <c r="O1028" t="s">
        <v>56</v>
      </c>
      <c r="P1028" t="s">
        <v>76</v>
      </c>
      <c r="Q1028">
        <v>196</v>
      </c>
      <c r="R1028">
        <v>124.46</v>
      </c>
      <c r="S1028">
        <v>24394.16</v>
      </c>
      <c r="T1028">
        <v>11.59</v>
      </c>
      <c r="U1028">
        <v>10</v>
      </c>
      <c r="V1028">
        <v>12</v>
      </c>
      <c r="W1028">
        <v>2013</v>
      </c>
      <c r="X1028" t="s">
        <v>188</v>
      </c>
      <c r="Y1028" t="s">
        <v>36</v>
      </c>
      <c r="Z1028">
        <v>2903.18</v>
      </c>
    </row>
    <row r="1029" spans="1:26" x14ac:dyDescent="0.25">
      <c r="A1029">
        <v>101027</v>
      </c>
      <c r="B1029" s="3">
        <v>45856</v>
      </c>
      <c r="C1029" s="3">
        <v>45857</v>
      </c>
      <c r="D1029" s="3">
        <v>45863</v>
      </c>
      <c r="E1029" t="s">
        <v>2730</v>
      </c>
      <c r="F1029" t="s">
        <v>25</v>
      </c>
      <c r="G1029" t="s">
        <v>59</v>
      </c>
      <c r="H1029" t="s">
        <v>2731</v>
      </c>
      <c r="I1029" t="s">
        <v>207</v>
      </c>
      <c r="J1029" t="s">
        <v>80</v>
      </c>
      <c r="K1029" t="s">
        <v>1683</v>
      </c>
      <c r="L1029" t="s">
        <v>212</v>
      </c>
      <c r="M1029" t="s">
        <v>32</v>
      </c>
      <c r="N1029" t="s">
        <v>203</v>
      </c>
      <c r="O1029" t="s">
        <v>204</v>
      </c>
      <c r="P1029" t="s">
        <v>123</v>
      </c>
      <c r="Q1029">
        <v>422</v>
      </c>
      <c r="R1029">
        <v>198.41</v>
      </c>
      <c r="S1029">
        <v>83729.02</v>
      </c>
      <c r="T1029">
        <v>20.95</v>
      </c>
      <c r="U1029">
        <v>6</v>
      </c>
      <c r="V1029">
        <v>7</v>
      </c>
      <c r="W1029">
        <v>1139</v>
      </c>
      <c r="X1029" t="s">
        <v>3741</v>
      </c>
      <c r="Y1029" t="s">
        <v>36</v>
      </c>
      <c r="Z1029">
        <v>11864.75</v>
      </c>
    </row>
    <row r="1030" spans="1:26" x14ac:dyDescent="0.25">
      <c r="A1030">
        <v>101028</v>
      </c>
      <c r="B1030" s="3">
        <v>45478</v>
      </c>
      <c r="C1030" s="3">
        <v>45482</v>
      </c>
      <c r="D1030" s="3">
        <v>45493</v>
      </c>
      <c r="E1030" t="s">
        <v>2732</v>
      </c>
      <c r="F1030" t="s">
        <v>25</v>
      </c>
      <c r="G1030" t="s">
        <v>172</v>
      </c>
      <c r="H1030" t="s">
        <v>2733</v>
      </c>
      <c r="I1030" t="s">
        <v>134</v>
      </c>
      <c r="J1030" t="s">
        <v>52</v>
      </c>
      <c r="K1030" t="s">
        <v>2734</v>
      </c>
      <c r="L1030" t="s">
        <v>113</v>
      </c>
      <c r="M1030" t="s">
        <v>32</v>
      </c>
      <c r="N1030" t="s">
        <v>66</v>
      </c>
      <c r="O1030" t="s">
        <v>67</v>
      </c>
      <c r="P1030" t="s">
        <v>123</v>
      </c>
      <c r="Q1030">
        <v>339</v>
      </c>
      <c r="R1030">
        <v>28.18</v>
      </c>
      <c r="S1030">
        <v>9553.02</v>
      </c>
      <c r="T1030">
        <v>18.93</v>
      </c>
      <c r="U1030">
        <v>11</v>
      </c>
      <c r="V1030">
        <v>15</v>
      </c>
      <c r="W1030">
        <v>825</v>
      </c>
      <c r="X1030" t="s">
        <v>188</v>
      </c>
      <c r="Y1030" t="s">
        <v>36</v>
      </c>
      <c r="Z1030">
        <v>1422.98</v>
      </c>
    </row>
    <row r="1031" spans="1:26" x14ac:dyDescent="0.25">
      <c r="A1031">
        <v>101029</v>
      </c>
      <c r="B1031" s="3">
        <v>45489</v>
      </c>
      <c r="C1031" s="3">
        <v>45489</v>
      </c>
      <c r="D1031" s="3">
        <v>45497</v>
      </c>
      <c r="E1031" t="s">
        <v>1031</v>
      </c>
      <c r="F1031" t="s">
        <v>38</v>
      </c>
      <c r="G1031" t="s">
        <v>147</v>
      </c>
      <c r="H1031" t="s">
        <v>2735</v>
      </c>
      <c r="I1031" t="s">
        <v>139</v>
      </c>
      <c r="J1031" t="s">
        <v>42</v>
      </c>
      <c r="K1031" t="s">
        <v>1608</v>
      </c>
      <c r="L1031" t="s">
        <v>113</v>
      </c>
      <c r="M1031" t="s">
        <v>54</v>
      </c>
      <c r="N1031" t="s">
        <v>33</v>
      </c>
      <c r="O1031" t="s">
        <v>34</v>
      </c>
      <c r="P1031" t="s">
        <v>123</v>
      </c>
      <c r="Q1031">
        <v>384</v>
      </c>
      <c r="R1031">
        <v>61.46</v>
      </c>
      <c r="S1031">
        <v>23600.639999999999</v>
      </c>
      <c r="T1031">
        <v>20.02</v>
      </c>
      <c r="U1031">
        <v>8</v>
      </c>
      <c r="V1031">
        <v>8</v>
      </c>
      <c r="W1031">
        <v>325</v>
      </c>
      <c r="X1031" t="s">
        <v>188</v>
      </c>
      <c r="Y1031" t="s">
        <v>36</v>
      </c>
      <c r="Z1031">
        <v>3285.81</v>
      </c>
    </row>
    <row r="1032" spans="1:26" x14ac:dyDescent="0.25">
      <c r="A1032">
        <v>101030</v>
      </c>
      <c r="B1032" s="3">
        <v>45298</v>
      </c>
      <c r="C1032" s="3">
        <v>45301</v>
      </c>
      <c r="D1032" s="3">
        <v>45312</v>
      </c>
      <c r="E1032" t="s">
        <v>2736</v>
      </c>
      <c r="F1032" t="s">
        <v>65</v>
      </c>
      <c r="G1032" t="s">
        <v>70</v>
      </c>
      <c r="H1032" t="s">
        <v>2737</v>
      </c>
      <c r="I1032" t="s">
        <v>238</v>
      </c>
      <c r="J1032" t="s">
        <v>62</v>
      </c>
      <c r="K1032" t="s">
        <v>2738</v>
      </c>
      <c r="L1032" t="s">
        <v>31</v>
      </c>
      <c r="M1032" t="s">
        <v>38</v>
      </c>
      <c r="N1032" t="s">
        <v>203</v>
      </c>
      <c r="O1032" t="s">
        <v>204</v>
      </c>
      <c r="P1032" t="s">
        <v>123</v>
      </c>
      <c r="Q1032">
        <v>127</v>
      </c>
      <c r="R1032">
        <v>48.99</v>
      </c>
      <c r="S1032">
        <v>6221.73</v>
      </c>
      <c r="T1032">
        <v>13.78</v>
      </c>
      <c r="U1032">
        <v>11</v>
      </c>
      <c r="V1032">
        <v>14</v>
      </c>
      <c r="W1032">
        <v>659</v>
      </c>
      <c r="X1032" t="s">
        <v>188</v>
      </c>
      <c r="Y1032" t="s">
        <v>36</v>
      </c>
      <c r="Z1032">
        <v>741.65</v>
      </c>
    </row>
    <row r="1033" spans="1:26" x14ac:dyDescent="0.25">
      <c r="A1033">
        <v>101031</v>
      </c>
      <c r="B1033" s="3">
        <v>45447</v>
      </c>
      <c r="C1033" s="3">
        <v>45452</v>
      </c>
      <c r="D1033" s="3">
        <v>45462</v>
      </c>
      <c r="E1033" t="s">
        <v>2739</v>
      </c>
      <c r="F1033" t="s">
        <v>38</v>
      </c>
      <c r="G1033" t="s">
        <v>217</v>
      </c>
      <c r="H1033" t="s">
        <v>2740</v>
      </c>
      <c r="I1033" t="s">
        <v>198</v>
      </c>
      <c r="J1033" t="s">
        <v>52</v>
      </c>
      <c r="K1033" t="s">
        <v>2741</v>
      </c>
      <c r="L1033" t="s">
        <v>187</v>
      </c>
      <c r="M1033" t="s">
        <v>38</v>
      </c>
      <c r="N1033" t="s">
        <v>33</v>
      </c>
      <c r="O1033" t="s">
        <v>34</v>
      </c>
      <c r="P1033" t="s">
        <v>68</v>
      </c>
      <c r="Q1033">
        <v>177</v>
      </c>
      <c r="R1033">
        <v>84.09</v>
      </c>
      <c r="S1033">
        <v>14883.93</v>
      </c>
      <c r="T1033">
        <v>29.62</v>
      </c>
      <c r="U1033">
        <v>10</v>
      </c>
      <c r="V1033">
        <v>15</v>
      </c>
      <c r="W1033">
        <v>1974</v>
      </c>
      <c r="X1033" t="s">
        <v>188</v>
      </c>
      <c r="Y1033" t="s">
        <v>36</v>
      </c>
      <c r="Z1033">
        <v>2543.88</v>
      </c>
    </row>
    <row r="1034" spans="1:26" x14ac:dyDescent="0.25">
      <c r="A1034">
        <v>101032</v>
      </c>
      <c r="B1034" s="3">
        <v>45804</v>
      </c>
      <c r="C1034" s="3">
        <v>45809</v>
      </c>
      <c r="D1034" s="3">
        <v>45822</v>
      </c>
      <c r="E1034" t="s">
        <v>2742</v>
      </c>
      <c r="F1034" t="s">
        <v>54</v>
      </c>
      <c r="G1034" t="s">
        <v>158</v>
      </c>
      <c r="H1034" t="s">
        <v>2743</v>
      </c>
      <c r="I1034" t="s">
        <v>79</v>
      </c>
      <c r="J1034" t="s">
        <v>80</v>
      </c>
      <c r="K1034" t="s">
        <v>1054</v>
      </c>
      <c r="L1034" t="s">
        <v>98</v>
      </c>
      <c r="M1034" t="s">
        <v>65</v>
      </c>
      <c r="N1034" t="s">
        <v>107</v>
      </c>
      <c r="O1034" t="s">
        <v>108</v>
      </c>
      <c r="P1034" t="s">
        <v>123</v>
      </c>
      <c r="Q1034">
        <v>139</v>
      </c>
      <c r="R1034">
        <v>61.95</v>
      </c>
      <c r="S1034">
        <v>8611.0499999999993</v>
      </c>
      <c r="T1034">
        <v>14.07</v>
      </c>
      <c r="U1034">
        <v>13</v>
      </c>
      <c r="V1034">
        <v>18</v>
      </c>
      <c r="W1034">
        <v>601</v>
      </c>
      <c r="X1034" t="s">
        <v>188</v>
      </c>
      <c r="Y1034" t="s">
        <v>36</v>
      </c>
      <c r="Z1034">
        <v>2130.5100000000002</v>
      </c>
    </row>
    <row r="1035" spans="1:26" x14ac:dyDescent="0.25">
      <c r="A1035">
        <v>101033</v>
      </c>
      <c r="B1035" s="3">
        <v>45425</v>
      </c>
      <c r="C1035" s="3">
        <v>45427</v>
      </c>
      <c r="D1035" s="3">
        <v>45430</v>
      </c>
      <c r="E1035" t="s">
        <v>2744</v>
      </c>
      <c r="F1035" t="s">
        <v>38</v>
      </c>
      <c r="G1035" t="s">
        <v>217</v>
      </c>
      <c r="H1035" t="s">
        <v>2745</v>
      </c>
      <c r="I1035" t="s">
        <v>72</v>
      </c>
      <c r="J1035" t="s">
        <v>42</v>
      </c>
      <c r="K1035" t="s">
        <v>2575</v>
      </c>
      <c r="L1035" t="s">
        <v>122</v>
      </c>
      <c r="M1035" t="s">
        <v>32</v>
      </c>
      <c r="N1035" t="s">
        <v>203</v>
      </c>
      <c r="O1035" t="s">
        <v>204</v>
      </c>
      <c r="P1035" t="s">
        <v>35</v>
      </c>
      <c r="Q1035">
        <v>168</v>
      </c>
      <c r="R1035">
        <v>433.5</v>
      </c>
      <c r="S1035">
        <v>72828</v>
      </c>
      <c r="T1035">
        <v>17.239999999999998</v>
      </c>
      <c r="U1035">
        <v>3</v>
      </c>
      <c r="V1035">
        <v>5</v>
      </c>
      <c r="W1035">
        <v>989</v>
      </c>
      <c r="X1035" t="s">
        <v>3741</v>
      </c>
      <c r="Y1035" t="s">
        <v>36</v>
      </c>
      <c r="Z1035">
        <v>11350.93</v>
      </c>
    </row>
    <row r="1036" spans="1:26" x14ac:dyDescent="0.25">
      <c r="A1036">
        <v>101034</v>
      </c>
      <c r="B1036" s="3">
        <v>45358</v>
      </c>
      <c r="C1036" s="3">
        <v>45363</v>
      </c>
      <c r="D1036" s="3">
        <v>45371</v>
      </c>
      <c r="E1036" t="s">
        <v>2746</v>
      </c>
      <c r="F1036" t="s">
        <v>25</v>
      </c>
      <c r="G1036" t="s">
        <v>233</v>
      </c>
      <c r="H1036" t="s">
        <v>214</v>
      </c>
      <c r="I1036" t="s">
        <v>278</v>
      </c>
      <c r="J1036" t="s">
        <v>29</v>
      </c>
      <c r="K1036" t="s">
        <v>573</v>
      </c>
      <c r="L1036" t="s">
        <v>212</v>
      </c>
      <c r="M1036" t="s">
        <v>54</v>
      </c>
      <c r="N1036" t="s">
        <v>92</v>
      </c>
      <c r="O1036" t="s">
        <v>93</v>
      </c>
      <c r="P1036" t="s">
        <v>35</v>
      </c>
      <c r="Q1036">
        <v>361</v>
      </c>
      <c r="R1036">
        <v>97.15</v>
      </c>
      <c r="S1036">
        <v>35071.15</v>
      </c>
      <c r="T1036">
        <v>22.71</v>
      </c>
      <c r="U1036">
        <v>8</v>
      </c>
      <c r="V1036">
        <v>13</v>
      </c>
      <c r="W1036">
        <v>355</v>
      </c>
      <c r="X1036" t="s">
        <v>3742</v>
      </c>
      <c r="Y1036" t="s">
        <v>57</v>
      </c>
      <c r="Z1036">
        <v>6262.21</v>
      </c>
    </row>
    <row r="1037" spans="1:26" x14ac:dyDescent="0.25">
      <c r="A1037">
        <v>101035</v>
      </c>
      <c r="B1037" s="3">
        <v>45540</v>
      </c>
      <c r="C1037" s="3">
        <v>45541</v>
      </c>
      <c r="D1037" s="3">
        <v>45549</v>
      </c>
      <c r="E1037" t="s">
        <v>2747</v>
      </c>
      <c r="F1037" t="s">
        <v>65</v>
      </c>
      <c r="G1037" t="s">
        <v>70</v>
      </c>
      <c r="H1037" t="s">
        <v>2748</v>
      </c>
      <c r="I1037" t="s">
        <v>191</v>
      </c>
      <c r="J1037" t="s">
        <v>62</v>
      </c>
      <c r="K1037" t="s">
        <v>1867</v>
      </c>
      <c r="L1037" t="s">
        <v>44</v>
      </c>
      <c r="M1037" t="s">
        <v>38</v>
      </c>
      <c r="N1037" t="s">
        <v>107</v>
      </c>
      <c r="O1037" t="s">
        <v>108</v>
      </c>
      <c r="P1037" t="s">
        <v>68</v>
      </c>
      <c r="Q1037">
        <v>147</v>
      </c>
      <c r="R1037">
        <v>37.700000000000003</v>
      </c>
      <c r="S1037">
        <v>5541.9</v>
      </c>
      <c r="T1037">
        <v>38.04</v>
      </c>
      <c r="U1037">
        <v>8</v>
      </c>
      <c r="V1037">
        <v>9</v>
      </c>
      <c r="W1037">
        <v>1241</v>
      </c>
      <c r="X1037" t="s">
        <v>188</v>
      </c>
      <c r="Y1037" t="s">
        <v>36</v>
      </c>
      <c r="Z1037">
        <v>328.3</v>
      </c>
    </row>
    <row r="1038" spans="1:26" x14ac:dyDescent="0.25">
      <c r="A1038">
        <v>101036</v>
      </c>
      <c r="B1038" s="3">
        <v>45829</v>
      </c>
      <c r="C1038" s="3">
        <v>45834</v>
      </c>
      <c r="D1038" s="3">
        <v>45840</v>
      </c>
      <c r="E1038" t="s">
        <v>2749</v>
      </c>
      <c r="F1038" t="s">
        <v>54</v>
      </c>
      <c r="G1038" t="s">
        <v>225</v>
      </c>
      <c r="H1038" t="s">
        <v>2750</v>
      </c>
      <c r="I1038" t="s">
        <v>41</v>
      </c>
      <c r="J1038" t="s">
        <v>42</v>
      </c>
      <c r="K1038" t="s">
        <v>2751</v>
      </c>
      <c r="L1038" t="s">
        <v>91</v>
      </c>
      <c r="M1038" t="s">
        <v>25</v>
      </c>
      <c r="N1038" t="s">
        <v>151</v>
      </c>
      <c r="O1038" t="s">
        <v>152</v>
      </c>
      <c r="P1038" t="s">
        <v>35</v>
      </c>
      <c r="Q1038">
        <v>378</v>
      </c>
      <c r="R1038">
        <v>227.05</v>
      </c>
      <c r="S1038">
        <v>85824.9</v>
      </c>
      <c r="T1038">
        <v>23.19</v>
      </c>
      <c r="U1038">
        <v>6</v>
      </c>
      <c r="V1038">
        <v>11</v>
      </c>
      <c r="W1038">
        <v>1588</v>
      </c>
      <c r="X1038" t="s">
        <v>188</v>
      </c>
      <c r="Y1038" t="s">
        <v>36</v>
      </c>
      <c r="Z1038">
        <v>10724.33</v>
      </c>
    </row>
    <row r="1039" spans="1:26" x14ac:dyDescent="0.25">
      <c r="A1039">
        <v>101037</v>
      </c>
      <c r="B1039" s="3">
        <v>45918</v>
      </c>
      <c r="C1039" s="3">
        <v>45920</v>
      </c>
      <c r="D1039" s="3">
        <v>45938</v>
      </c>
      <c r="E1039" t="s">
        <v>2752</v>
      </c>
      <c r="F1039" t="s">
        <v>54</v>
      </c>
      <c r="G1039" t="s">
        <v>129</v>
      </c>
      <c r="H1039" t="s">
        <v>2753</v>
      </c>
      <c r="I1039" t="s">
        <v>79</v>
      </c>
      <c r="J1039" t="s">
        <v>80</v>
      </c>
      <c r="K1039" t="s">
        <v>2754</v>
      </c>
      <c r="L1039" t="s">
        <v>113</v>
      </c>
      <c r="M1039" t="s">
        <v>65</v>
      </c>
      <c r="N1039" t="s">
        <v>55</v>
      </c>
      <c r="O1039" t="s">
        <v>56</v>
      </c>
      <c r="P1039" t="s">
        <v>76</v>
      </c>
      <c r="Q1039">
        <v>327</v>
      </c>
      <c r="R1039">
        <v>209.84</v>
      </c>
      <c r="S1039">
        <v>68617.679999999993</v>
      </c>
      <c r="T1039">
        <v>13.98</v>
      </c>
      <c r="U1039">
        <v>18</v>
      </c>
      <c r="V1039">
        <v>20</v>
      </c>
      <c r="W1039">
        <v>1402</v>
      </c>
      <c r="X1039" t="s">
        <v>3742</v>
      </c>
      <c r="Y1039" t="s">
        <v>57</v>
      </c>
      <c r="Z1039">
        <v>14656.36</v>
      </c>
    </row>
    <row r="1040" spans="1:26" x14ac:dyDescent="0.25">
      <c r="A1040">
        <v>101038</v>
      </c>
      <c r="B1040" s="3">
        <v>45673</v>
      </c>
      <c r="C1040" s="3">
        <v>45674</v>
      </c>
      <c r="D1040" s="3">
        <v>45676</v>
      </c>
      <c r="E1040" t="s">
        <v>2755</v>
      </c>
      <c r="F1040" t="s">
        <v>54</v>
      </c>
      <c r="G1040" t="s">
        <v>165</v>
      </c>
      <c r="H1040" t="s">
        <v>2756</v>
      </c>
      <c r="I1040" t="s">
        <v>126</v>
      </c>
      <c r="J1040" t="s">
        <v>42</v>
      </c>
      <c r="K1040" t="s">
        <v>1525</v>
      </c>
      <c r="L1040" t="s">
        <v>122</v>
      </c>
      <c r="M1040" t="s">
        <v>25</v>
      </c>
      <c r="N1040" t="s">
        <v>45</v>
      </c>
      <c r="O1040" t="s">
        <v>46</v>
      </c>
      <c r="P1040" t="s">
        <v>68</v>
      </c>
      <c r="Q1040">
        <v>126</v>
      </c>
      <c r="R1040">
        <v>298.74</v>
      </c>
      <c r="S1040">
        <v>37641.24</v>
      </c>
      <c r="T1040">
        <v>36.68</v>
      </c>
      <c r="U1040">
        <v>2</v>
      </c>
      <c r="V1040">
        <v>3</v>
      </c>
      <c r="W1040">
        <v>863</v>
      </c>
      <c r="X1040" t="s">
        <v>3741</v>
      </c>
      <c r="Y1040" t="s">
        <v>36</v>
      </c>
      <c r="Z1040">
        <v>6316.66</v>
      </c>
    </row>
    <row r="1041" spans="1:26" x14ac:dyDescent="0.25">
      <c r="A1041">
        <v>101039</v>
      </c>
      <c r="B1041" s="3">
        <v>45525</v>
      </c>
      <c r="C1041" s="3">
        <v>45527</v>
      </c>
      <c r="D1041" s="3">
        <v>45530</v>
      </c>
      <c r="E1041" t="s">
        <v>2757</v>
      </c>
      <c r="F1041" t="s">
        <v>25</v>
      </c>
      <c r="G1041" t="s">
        <v>26</v>
      </c>
      <c r="H1041" t="s">
        <v>2758</v>
      </c>
      <c r="I1041" t="s">
        <v>89</v>
      </c>
      <c r="J1041" t="s">
        <v>62</v>
      </c>
      <c r="K1041" t="s">
        <v>971</v>
      </c>
      <c r="L1041" t="s">
        <v>31</v>
      </c>
      <c r="M1041" t="s">
        <v>54</v>
      </c>
      <c r="N1041" t="s">
        <v>66</v>
      </c>
      <c r="O1041" t="s">
        <v>67</v>
      </c>
      <c r="P1041" t="s">
        <v>35</v>
      </c>
      <c r="Q1041">
        <v>45</v>
      </c>
      <c r="R1041">
        <v>7.24</v>
      </c>
      <c r="S1041">
        <v>325.8</v>
      </c>
      <c r="T1041">
        <v>13.75</v>
      </c>
      <c r="U1041">
        <v>3</v>
      </c>
      <c r="V1041">
        <v>5</v>
      </c>
      <c r="W1041">
        <v>1163</v>
      </c>
      <c r="X1041" t="s">
        <v>3741</v>
      </c>
      <c r="Y1041" t="s">
        <v>36</v>
      </c>
      <c r="Z1041">
        <v>44.02</v>
      </c>
    </row>
    <row r="1042" spans="1:26" x14ac:dyDescent="0.25">
      <c r="A1042">
        <v>101040</v>
      </c>
      <c r="B1042" s="3">
        <v>45882</v>
      </c>
      <c r="C1042" s="3">
        <v>45885</v>
      </c>
      <c r="D1042" s="3">
        <v>45896</v>
      </c>
      <c r="E1042" t="s">
        <v>2759</v>
      </c>
      <c r="F1042" t="s">
        <v>54</v>
      </c>
      <c r="G1042" t="s">
        <v>225</v>
      </c>
      <c r="H1042" t="s">
        <v>2760</v>
      </c>
      <c r="I1042" t="s">
        <v>89</v>
      </c>
      <c r="J1042" t="s">
        <v>62</v>
      </c>
      <c r="K1042" t="s">
        <v>2761</v>
      </c>
      <c r="L1042" t="s">
        <v>98</v>
      </c>
      <c r="M1042" t="s">
        <v>54</v>
      </c>
      <c r="N1042" t="s">
        <v>66</v>
      </c>
      <c r="O1042" t="s">
        <v>67</v>
      </c>
      <c r="P1042" t="s">
        <v>76</v>
      </c>
      <c r="Q1042">
        <v>266</v>
      </c>
      <c r="R1042">
        <v>47.94</v>
      </c>
      <c r="S1042">
        <v>12752.04</v>
      </c>
      <c r="T1042">
        <v>9.5299999999999994</v>
      </c>
      <c r="U1042">
        <v>11</v>
      </c>
      <c r="V1042">
        <v>14</v>
      </c>
      <c r="W1042">
        <v>3937</v>
      </c>
      <c r="X1042" t="s">
        <v>188</v>
      </c>
      <c r="Y1042" t="s">
        <v>36</v>
      </c>
      <c r="Z1042">
        <v>1987.54</v>
      </c>
    </row>
    <row r="1043" spans="1:26" x14ac:dyDescent="0.25">
      <c r="A1043">
        <v>101041</v>
      </c>
      <c r="B1043" s="3">
        <v>45621</v>
      </c>
      <c r="C1043" s="3">
        <v>45623</v>
      </c>
      <c r="D1043" s="3">
        <v>45636</v>
      </c>
      <c r="E1043" t="s">
        <v>2762</v>
      </c>
      <c r="F1043" t="s">
        <v>54</v>
      </c>
      <c r="G1043" t="s">
        <v>158</v>
      </c>
      <c r="H1043" t="s">
        <v>2763</v>
      </c>
      <c r="I1043" t="s">
        <v>126</v>
      </c>
      <c r="J1043" t="s">
        <v>42</v>
      </c>
      <c r="K1043" t="s">
        <v>1208</v>
      </c>
      <c r="L1043" t="s">
        <v>122</v>
      </c>
      <c r="M1043" t="s">
        <v>54</v>
      </c>
      <c r="N1043" t="s">
        <v>92</v>
      </c>
      <c r="O1043" t="s">
        <v>93</v>
      </c>
      <c r="P1043" t="s">
        <v>123</v>
      </c>
      <c r="Q1043">
        <v>353</v>
      </c>
      <c r="R1043">
        <v>262.01</v>
      </c>
      <c r="S1043">
        <v>92489.53</v>
      </c>
      <c r="T1043">
        <v>14.27</v>
      </c>
      <c r="U1043">
        <v>13</v>
      </c>
      <c r="V1043">
        <v>15</v>
      </c>
      <c r="W1043">
        <v>879</v>
      </c>
      <c r="X1043" t="s">
        <v>188</v>
      </c>
      <c r="Y1043" t="s">
        <v>36</v>
      </c>
      <c r="Z1043">
        <v>10063.98</v>
      </c>
    </row>
    <row r="1044" spans="1:26" x14ac:dyDescent="0.25">
      <c r="A1044">
        <v>101042</v>
      </c>
      <c r="B1044" s="3">
        <v>45313</v>
      </c>
      <c r="C1044" s="3">
        <v>45316</v>
      </c>
      <c r="D1044" s="3">
        <v>45328</v>
      </c>
      <c r="E1044" t="s">
        <v>2764</v>
      </c>
      <c r="F1044" t="s">
        <v>25</v>
      </c>
      <c r="G1044" t="s">
        <v>59</v>
      </c>
      <c r="H1044" t="s">
        <v>2765</v>
      </c>
      <c r="I1044" t="s">
        <v>79</v>
      </c>
      <c r="J1044" t="s">
        <v>80</v>
      </c>
      <c r="K1044" t="s">
        <v>2766</v>
      </c>
      <c r="L1044" t="s">
        <v>31</v>
      </c>
      <c r="M1044" t="s">
        <v>32</v>
      </c>
      <c r="N1044" t="s">
        <v>107</v>
      </c>
      <c r="O1044" t="s">
        <v>108</v>
      </c>
      <c r="P1044" t="s">
        <v>123</v>
      </c>
      <c r="Q1044">
        <v>500</v>
      </c>
      <c r="R1044">
        <v>111.23</v>
      </c>
      <c r="S1044">
        <v>55615</v>
      </c>
      <c r="T1044">
        <v>22.84</v>
      </c>
      <c r="U1044">
        <v>12</v>
      </c>
      <c r="V1044">
        <v>15</v>
      </c>
      <c r="W1044">
        <v>2067</v>
      </c>
      <c r="X1044" t="s">
        <v>188</v>
      </c>
      <c r="Y1044" t="s">
        <v>36</v>
      </c>
      <c r="Z1044">
        <v>15201.04</v>
      </c>
    </row>
    <row r="1045" spans="1:26" x14ac:dyDescent="0.25">
      <c r="A1045">
        <v>101043</v>
      </c>
      <c r="B1045" s="3">
        <v>45952</v>
      </c>
      <c r="C1045" s="3">
        <v>45956</v>
      </c>
      <c r="D1045" s="3">
        <v>45960</v>
      </c>
      <c r="E1045" t="s">
        <v>2767</v>
      </c>
      <c r="F1045" t="s">
        <v>25</v>
      </c>
      <c r="G1045" t="s">
        <v>169</v>
      </c>
      <c r="H1045" t="s">
        <v>2768</v>
      </c>
      <c r="I1045" t="s">
        <v>41</v>
      </c>
      <c r="J1045" t="s">
        <v>42</v>
      </c>
      <c r="K1045" t="s">
        <v>664</v>
      </c>
      <c r="L1045" t="s">
        <v>91</v>
      </c>
      <c r="M1045" t="s">
        <v>54</v>
      </c>
      <c r="N1045" t="s">
        <v>92</v>
      </c>
      <c r="O1045" t="s">
        <v>93</v>
      </c>
      <c r="P1045" t="s">
        <v>123</v>
      </c>
      <c r="Q1045">
        <v>186</v>
      </c>
      <c r="R1045">
        <v>363.71</v>
      </c>
      <c r="S1045">
        <v>67650.06</v>
      </c>
      <c r="T1045">
        <v>15.21</v>
      </c>
      <c r="U1045">
        <v>4</v>
      </c>
      <c r="V1045">
        <v>8</v>
      </c>
      <c r="W1045">
        <v>1233</v>
      </c>
      <c r="X1045" t="s">
        <v>188</v>
      </c>
      <c r="Y1045" t="s">
        <v>36</v>
      </c>
      <c r="Z1045">
        <v>14141.21</v>
      </c>
    </row>
    <row r="1046" spans="1:26" x14ac:dyDescent="0.25">
      <c r="A1046">
        <v>101044</v>
      </c>
      <c r="B1046" s="3">
        <v>45574</v>
      </c>
      <c r="C1046" s="3">
        <v>45574</v>
      </c>
      <c r="D1046" s="3">
        <v>45581</v>
      </c>
      <c r="E1046" t="s">
        <v>2769</v>
      </c>
      <c r="F1046" t="s">
        <v>25</v>
      </c>
      <c r="G1046" t="s">
        <v>233</v>
      </c>
      <c r="H1046" t="s">
        <v>2770</v>
      </c>
      <c r="I1046" t="s">
        <v>182</v>
      </c>
      <c r="J1046" t="s">
        <v>80</v>
      </c>
      <c r="K1046" t="s">
        <v>2771</v>
      </c>
      <c r="L1046" t="s">
        <v>118</v>
      </c>
      <c r="M1046" t="s">
        <v>38</v>
      </c>
      <c r="N1046" t="s">
        <v>55</v>
      </c>
      <c r="O1046" t="s">
        <v>56</v>
      </c>
      <c r="P1046" t="s">
        <v>68</v>
      </c>
      <c r="Q1046">
        <v>298</v>
      </c>
      <c r="R1046">
        <v>333.42</v>
      </c>
      <c r="S1046">
        <v>99359.16</v>
      </c>
      <c r="T1046">
        <v>47.82</v>
      </c>
      <c r="U1046">
        <v>7</v>
      </c>
      <c r="V1046">
        <v>7</v>
      </c>
      <c r="W1046">
        <v>1343</v>
      </c>
      <c r="X1046" t="s">
        <v>3741</v>
      </c>
      <c r="Y1046" t="s">
        <v>36</v>
      </c>
      <c r="Z1046">
        <v>21636.82</v>
      </c>
    </row>
    <row r="1047" spans="1:26" x14ac:dyDescent="0.25">
      <c r="A1047">
        <v>101045</v>
      </c>
      <c r="B1047" s="3">
        <v>45424</v>
      </c>
      <c r="C1047" s="3">
        <v>45427</v>
      </c>
      <c r="D1047" s="3">
        <v>45439</v>
      </c>
      <c r="E1047" t="s">
        <v>2772</v>
      </c>
      <c r="F1047" t="s">
        <v>32</v>
      </c>
      <c r="G1047" t="s">
        <v>255</v>
      </c>
      <c r="H1047" t="s">
        <v>2773</v>
      </c>
      <c r="I1047" t="s">
        <v>149</v>
      </c>
      <c r="J1047" t="s">
        <v>42</v>
      </c>
      <c r="K1047" t="s">
        <v>1699</v>
      </c>
      <c r="L1047" t="s">
        <v>187</v>
      </c>
      <c r="M1047" t="s">
        <v>54</v>
      </c>
      <c r="N1047" t="s">
        <v>55</v>
      </c>
      <c r="O1047" t="s">
        <v>56</v>
      </c>
      <c r="P1047" t="s">
        <v>123</v>
      </c>
      <c r="Q1047">
        <v>114</v>
      </c>
      <c r="R1047">
        <v>319.11</v>
      </c>
      <c r="S1047">
        <v>36378.54</v>
      </c>
      <c r="T1047">
        <v>13.46</v>
      </c>
      <c r="U1047">
        <v>12</v>
      </c>
      <c r="V1047">
        <v>15</v>
      </c>
      <c r="W1047">
        <v>638</v>
      </c>
      <c r="X1047" t="s">
        <v>188</v>
      </c>
      <c r="Y1047" t="s">
        <v>36</v>
      </c>
      <c r="Z1047">
        <v>5511.54</v>
      </c>
    </row>
    <row r="1048" spans="1:26" x14ac:dyDescent="0.25">
      <c r="A1048">
        <v>101046</v>
      </c>
      <c r="B1048" s="3">
        <v>45674</v>
      </c>
      <c r="C1048" s="3">
        <v>45677</v>
      </c>
      <c r="D1048" s="3">
        <v>45682</v>
      </c>
      <c r="E1048" t="s">
        <v>2774</v>
      </c>
      <c r="F1048" t="s">
        <v>38</v>
      </c>
      <c r="G1048" t="s">
        <v>217</v>
      </c>
      <c r="H1048" t="s">
        <v>2775</v>
      </c>
      <c r="I1048" t="s">
        <v>177</v>
      </c>
      <c r="J1048" t="s">
        <v>29</v>
      </c>
      <c r="K1048" t="s">
        <v>2776</v>
      </c>
      <c r="L1048" t="s">
        <v>113</v>
      </c>
      <c r="M1048" t="s">
        <v>25</v>
      </c>
      <c r="N1048" t="s">
        <v>92</v>
      </c>
      <c r="O1048" t="s">
        <v>93</v>
      </c>
      <c r="P1048" t="s">
        <v>68</v>
      </c>
      <c r="Q1048">
        <v>76</v>
      </c>
      <c r="R1048">
        <v>88.55</v>
      </c>
      <c r="S1048">
        <v>6729.8</v>
      </c>
      <c r="T1048">
        <v>33.44</v>
      </c>
      <c r="U1048">
        <v>5</v>
      </c>
      <c r="V1048">
        <v>8</v>
      </c>
      <c r="W1048">
        <v>2226</v>
      </c>
      <c r="X1048" t="s">
        <v>188</v>
      </c>
      <c r="Y1048" t="s">
        <v>36</v>
      </c>
      <c r="Z1048">
        <v>718.96</v>
      </c>
    </row>
    <row r="1049" spans="1:26" x14ac:dyDescent="0.25">
      <c r="A1049">
        <v>101047</v>
      </c>
      <c r="B1049" s="3">
        <v>45476</v>
      </c>
      <c r="C1049" s="3">
        <v>45477</v>
      </c>
      <c r="D1049" s="3">
        <v>45484</v>
      </c>
      <c r="E1049" t="s">
        <v>1462</v>
      </c>
      <c r="F1049" t="s">
        <v>54</v>
      </c>
      <c r="G1049" t="s">
        <v>129</v>
      </c>
      <c r="H1049" t="s">
        <v>2777</v>
      </c>
      <c r="I1049" t="s">
        <v>126</v>
      </c>
      <c r="J1049" t="s">
        <v>42</v>
      </c>
      <c r="K1049" t="s">
        <v>306</v>
      </c>
      <c r="L1049" t="s">
        <v>98</v>
      </c>
      <c r="M1049" t="s">
        <v>32</v>
      </c>
      <c r="N1049" t="s">
        <v>92</v>
      </c>
      <c r="O1049" t="s">
        <v>93</v>
      </c>
      <c r="P1049" t="s">
        <v>68</v>
      </c>
      <c r="Q1049">
        <v>457</v>
      </c>
      <c r="R1049">
        <v>390.41</v>
      </c>
      <c r="S1049">
        <v>178417.37</v>
      </c>
      <c r="T1049">
        <v>58.13</v>
      </c>
      <c r="U1049">
        <v>7</v>
      </c>
      <c r="V1049">
        <v>8</v>
      </c>
      <c r="W1049">
        <v>982</v>
      </c>
      <c r="X1049" t="s">
        <v>188</v>
      </c>
      <c r="Y1049" t="s">
        <v>36</v>
      </c>
      <c r="Z1049">
        <v>22095.69</v>
      </c>
    </row>
    <row r="1050" spans="1:26" x14ac:dyDescent="0.25">
      <c r="A1050">
        <v>101048</v>
      </c>
      <c r="B1050" s="3">
        <v>45896</v>
      </c>
      <c r="C1050" s="3">
        <v>45900</v>
      </c>
      <c r="D1050" s="3">
        <v>45904</v>
      </c>
      <c r="E1050" t="s">
        <v>2778</v>
      </c>
      <c r="F1050" t="s">
        <v>54</v>
      </c>
      <c r="G1050" t="s">
        <v>193</v>
      </c>
      <c r="H1050" t="s">
        <v>2779</v>
      </c>
      <c r="I1050" t="s">
        <v>85</v>
      </c>
      <c r="J1050" t="s">
        <v>52</v>
      </c>
      <c r="K1050" t="s">
        <v>652</v>
      </c>
      <c r="L1050" t="s">
        <v>212</v>
      </c>
      <c r="M1050" t="s">
        <v>65</v>
      </c>
      <c r="N1050" t="s">
        <v>55</v>
      </c>
      <c r="O1050" t="s">
        <v>56</v>
      </c>
      <c r="P1050" t="s">
        <v>68</v>
      </c>
      <c r="Q1050">
        <v>146</v>
      </c>
      <c r="R1050">
        <v>55.67</v>
      </c>
      <c r="S1050">
        <v>8127.82</v>
      </c>
      <c r="T1050">
        <v>37.97</v>
      </c>
      <c r="U1050">
        <v>4</v>
      </c>
      <c r="V1050">
        <v>8</v>
      </c>
      <c r="W1050">
        <v>1530</v>
      </c>
      <c r="X1050" t="s">
        <v>188</v>
      </c>
      <c r="Y1050" t="s">
        <v>36</v>
      </c>
      <c r="Z1050">
        <v>1068.8</v>
      </c>
    </row>
    <row r="1051" spans="1:26" x14ac:dyDescent="0.25">
      <c r="A1051">
        <v>101049</v>
      </c>
      <c r="B1051" s="3">
        <v>45859</v>
      </c>
      <c r="C1051" s="3">
        <v>45859</v>
      </c>
      <c r="D1051" s="3">
        <v>45872</v>
      </c>
      <c r="E1051" t="s">
        <v>2780</v>
      </c>
      <c r="F1051" t="s">
        <v>32</v>
      </c>
      <c r="G1051" t="s">
        <v>95</v>
      </c>
      <c r="H1051" t="s">
        <v>2781</v>
      </c>
      <c r="I1051" t="s">
        <v>182</v>
      </c>
      <c r="J1051" t="s">
        <v>80</v>
      </c>
      <c r="K1051" t="s">
        <v>2782</v>
      </c>
      <c r="L1051" t="s">
        <v>64</v>
      </c>
      <c r="M1051" t="s">
        <v>54</v>
      </c>
      <c r="N1051" t="s">
        <v>66</v>
      </c>
      <c r="O1051" t="s">
        <v>67</v>
      </c>
      <c r="P1051" t="s">
        <v>123</v>
      </c>
      <c r="Q1051">
        <v>487</v>
      </c>
      <c r="R1051">
        <v>141.79</v>
      </c>
      <c r="S1051">
        <v>69051.73</v>
      </c>
      <c r="T1051">
        <v>22.53</v>
      </c>
      <c r="U1051">
        <v>13</v>
      </c>
      <c r="V1051">
        <v>13</v>
      </c>
      <c r="W1051">
        <v>640</v>
      </c>
      <c r="X1051" t="s">
        <v>188</v>
      </c>
      <c r="Y1051" t="s">
        <v>36</v>
      </c>
      <c r="Z1051">
        <v>13624.89</v>
      </c>
    </row>
    <row r="1052" spans="1:26" x14ac:dyDescent="0.25">
      <c r="A1052">
        <v>101050</v>
      </c>
      <c r="B1052" s="3">
        <v>45674</v>
      </c>
      <c r="C1052" s="3">
        <v>45677</v>
      </c>
      <c r="D1052" s="3">
        <v>45687</v>
      </c>
      <c r="E1052" t="s">
        <v>2783</v>
      </c>
      <c r="F1052" t="s">
        <v>65</v>
      </c>
      <c r="G1052" t="s">
        <v>142</v>
      </c>
      <c r="H1052" t="s">
        <v>2784</v>
      </c>
      <c r="I1052" t="s">
        <v>72</v>
      </c>
      <c r="J1052" t="s">
        <v>42</v>
      </c>
      <c r="K1052" t="s">
        <v>2342</v>
      </c>
      <c r="L1052" t="s">
        <v>122</v>
      </c>
      <c r="M1052" t="s">
        <v>32</v>
      </c>
      <c r="N1052" t="s">
        <v>45</v>
      </c>
      <c r="O1052" t="s">
        <v>46</v>
      </c>
      <c r="P1052" t="s">
        <v>76</v>
      </c>
      <c r="Q1052">
        <v>124</v>
      </c>
      <c r="R1052">
        <v>103.41</v>
      </c>
      <c r="S1052">
        <v>12822.84</v>
      </c>
      <c r="T1052">
        <v>10.28</v>
      </c>
      <c r="U1052">
        <v>10</v>
      </c>
      <c r="V1052">
        <v>13</v>
      </c>
      <c r="W1052">
        <v>487</v>
      </c>
      <c r="X1052" t="s">
        <v>3742</v>
      </c>
      <c r="Y1052" t="s">
        <v>57</v>
      </c>
      <c r="Z1052">
        <v>2101.9</v>
      </c>
    </row>
    <row r="1053" spans="1:26" x14ac:dyDescent="0.25">
      <c r="A1053">
        <v>101051</v>
      </c>
      <c r="B1053" s="3">
        <v>45820</v>
      </c>
      <c r="C1053" s="3">
        <v>45821</v>
      </c>
      <c r="D1053" s="3">
        <v>45843</v>
      </c>
      <c r="E1053" t="s">
        <v>2785</v>
      </c>
      <c r="F1053" t="s">
        <v>38</v>
      </c>
      <c r="G1053" t="s">
        <v>39</v>
      </c>
      <c r="H1053" t="s">
        <v>2786</v>
      </c>
      <c r="I1053" t="s">
        <v>72</v>
      </c>
      <c r="J1053" t="s">
        <v>42</v>
      </c>
      <c r="K1053" t="s">
        <v>2787</v>
      </c>
      <c r="L1053" t="s">
        <v>113</v>
      </c>
      <c r="M1053" t="s">
        <v>65</v>
      </c>
      <c r="N1053" t="s">
        <v>45</v>
      </c>
      <c r="O1053" t="s">
        <v>46</v>
      </c>
      <c r="P1053" t="s">
        <v>76</v>
      </c>
      <c r="Q1053">
        <v>370</v>
      </c>
      <c r="R1053">
        <v>95.33</v>
      </c>
      <c r="S1053">
        <v>35272.1</v>
      </c>
      <c r="T1053">
        <v>14.76</v>
      </c>
      <c r="U1053">
        <v>22</v>
      </c>
      <c r="V1053">
        <v>23</v>
      </c>
      <c r="W1053">
        <v>1200</v>
      </c>
      <c r="X1053" t="s">
        <v>3742</v>
      </c>
      <c r="Y1053" t="s">
        <v>188</v>
      </c>
      <c r="Z1053">
        <v>3213.38</v>
      </c>
    </row>
    <row r="1054" spans="1:26" x14ac:dyDescent="0.25">
      <c r="A1054">
        <v>101052</v>
      </c>
      <c r="B1054" s="3">
        <v>45523</v>
      </c>
      <c r="C1054" s="3">
        <v>45523</v>
      </c>
      <c r="D1054" s="3">
        <v>45535</v>
      </c>
      <c r="E1054" t="s">
        <v>2788</v>
      </c>
      <c r="F1054" t="s">
        <v>38</v>
      </c>
      <c r="G1054" t="s">
        <v>217</v>
      </c>
      <c r="H1054" t="s">
        <v>2789</v>
      </c>
      <c r="I1054" t="s">
        <v>139</v>
      </c>
      <c r="J1054" t="s">
        <v>42</v>
      </c>
      <c r="K1054" t="s">
        <v>150</v>
      </c>
      <c r="L1054" t="s">
        <v>98</v>
      </c>
      <c r="M1054" t="s">
        <v>65</v>
      </c>
      <c r="N1054" t="s">
        <v>66</v>
      </c>
      <c r="O1054" t="s">
        <v>67</v>
      </c>
      <c r="P1054" t="s">
        <v>76</v>
      </c>
      <c r="Q1054">
        <v>233</v>
      </c>
      <c r="R1054">
        <v>330.54</v>
      </c>
      <c r="S1054">
        <v>77015.820000000007</v>
      </c>
      <c r="T1054">
        <v>12.27</v>
      </c>
      <c r="U1054">
        <v>12</v>
      </c>
      <c r="V1054">
        <v>12</v>
      </c>
      <c r="W1054">
        <v>327</v>
      </c>
      <c r="X1054" t="s">
        <v>188</v>
      </c>
      <c r="Y1054" t="s">
        <v>36</v>
      </c>
      <c r="Z1054">
        <v>11901.4</v>
      </c>
    </row>
    <row r="1055" spans="1:26" x14ac:dyDescent="0.25">
      <c r="A1055">
        <v>101053</v>
      </c>
      <c r="B1055" s="3">
        <v>45687</v>
      </c>
      <c r="C1055" s="3">
        <v>45687</v>
      </c>
      <c r="D1055" s="3">
        <v>45701</v>
      </c>
      <c r="E1055" t="s">
        <v>2790</v>
      </c>
      <c r="F1055" t="s">
        <v>38</v>
      </c>
      <c r="G1055" t="s">
        <v>217</v>
      </c>
      <c r="H1055" t="s">
        <v>2791</v>
      </c>
      <c r="I1055" t="s">
        <v>139</v>
      </c>
      <c r="J1055" t="s">
        <v>42</v>
      </c>
      <c r="K1055" t="s">
        <v>2792</v>
      </c>
      <c r="L1055" t="s">
        <v>91</v>
      </c>
      <c r="M1055" t="s">
        <v>25</v>
      </c>
      <c r="N1055" t="s">
        <v>55</v>
      </c>
      <c r="O1055" t="s">
        <v>56</v>
      </c>
      <c r="P1055" t="s">
        <v>76</v>
      </c>
      <c r="Q1055">
        <v>469</v>
      </c>
      <c r="R1055">
        <v>86.72</v>
      </c>
      <c r="S1055">
        <v>40671.68</v>
      </c>
      <c r="T1055">
        <v>16.57</v>
      </c>
      <c r="U1055">
        <v>14</v>
      </c>
      <c r="V1055">
        <v>14</v>
      </c>
      <c r="W1055">
        <v>1083</v>
      </c>
      <c r="X1055" t="s">
        <v>188</v>
      </c>
      <c r="Y1055" t="s">
        <v>36</v>
      </c>
      <c r="Z1055">
        <v>3916.18</v>
      </c>
    </row>
    <row r="1056" spans="1:26" x14ac:dyDescent="0.25">
      <c r="A1056">
        <v>101054</v>
      </c>
      <c r="B1056" s="3">
        <v>46021</v>
      </c>
      <c r="C1056" s="3">
        <v>46021</v>
      </c>
      <c r="D1056" s="3">
        <v>46035</v>
      </c>
      <c r="E1056" t="s">
        <v>2793</v>
      </c>
      <c r="F1056" t="s">
        <v>25</v>
      </c>
      <c r="G1056" t="s">
        <v>221</v>
      </c>
      <c r="H1056" t="s">
        <v>2794</v>
      </c>
      <c r="I1056" t="s">
        <v>61</v>
      </c>
      <c r="J1056" t="s">
        <v>62</v>
      </c>
      <c r="K1056" t="s">
        <v>2795</v>
      </c>
      <c r="L1056" t="s">
        <v>98</v>
      </c>
      <c r="M1056" t="s">
        <v>65</v>
      </c>
      <c r="N1056" t="s">
        <v>74</v>
      </c>
      <c r="O1056" t="s">
        <v>75</v>
      </c>
      <c r="P1056" t="s">
        <v>76</v>
      </c>
      <c r="Q1056">
        <v>257</v>
      </c>
      <c r="R1056">
        <v>44.81</v>
      </c>
      <c r="S1056">
        <v>11516.17</v>
      </c>
      <c r="T1056">
        <v>12.7</v>
      </c>
      <c r="U1056">
        <v>14</v>
      </c>
      <c r="V1056">
        <v>14</v>
      </c>
      <c r="W1056">
        <v>2418</v>
      </c>
      <c r="X1056" t="s">
        <v>188</v>
      </c>
      <c r="Y1056" t="s">
        <v>36</v>
      </c>
      <c r="Z1056">
        <v>1145.73</v>
      </c>
    </row>
    <row r="1057" spans="1:26" x14ac:dyDescent="0.25">
      <c r="A1057">
        <v>101055</v>
      </c>
      <c r="B1057" s="3">
        <v>45434</v>
      </c>
      <c r="C1057" s="3">
        <v>45436</v>
      </c>
      <c r="D1057" s="3">
        <v>45441</v>
      </c>
      <c r="E1057" t="s">
        <v>2796</v>
      </c>
      <c r="F1057" t="s">
        <v>38</v>
      </c>
      <c r="G1057" t="s">
        <v>83</v>
      </c>
      <c r="H1057" t="s">
        <v>2797</v>
      </c>
      <c r="I1057" t="s">
        <v>116</v>
      </c>
      <c r="J1057" t="s">
        <v>62</v>
      </c>
      <c r="K1057" t="s">
        <v>1198</v>
      </c>
      <c r="L1057" t="s">
        <v>212</v>
      </c>
      <c r="M1057" t="s">
        <v>25</v>
      </c>
      <c r="N1057" t="s">
        <v>151</v>
      </c>
      <c r="O1057" t="s">
        <v>152</v>
      </c>
      <c r="P1057" t="s">
        <v>35</v>
      </c>
      <c r="Q1057">
        <v>269</v>
      </c>
      <c r="R1057">
        <v>31.9</v>
      </c>
      <c r="S1057">
        <v>8581.1</v>
      </c>
      <c r="T1057">
        <v>20.100000000000001</v>
      </c>
      <c r="U1057">
        <v>5</v>
      </c>
      <c r="V1057">
        <v>7</v>
      </c>
      <c r="W1057">
        <v>4145</v>
      </c>
      <c r="X1057" t="s">
        <v>3742</v>
      </c>
      <c r="Y1057" t="s">
        <v>57</v>
      </c>
      <c r="Z1057">
        <v>421.71</v>
      </c>
    </row>
    <row r="1058" spans="1:26" x14ac:dyDescent="0.25">
      <c r="A1058">
        <v>101056</v>
      </c>
      <c r="B1058" s="3">
        <v>45925</v>
      </c>
      <c r="C1058" s="3">
        <v>45929</v>
      </c>
      <c r="D1058" s="3">
        <v>45937</v>
      </c>
      <c r="E1058" t="s">
        <v>2798</v>
      </c>
      <c r="F1058" t="s">
        <v>54</v>
      </c>
      <c r="G1058" t="s">
        <v>158</v>
      </c>
      <c r="H1058" t="s">
        <v>2799</v>
      </c>
      <c r="I1058" t="s">
        <v>149</v>
      </c>
      <c r="J1058" t="s">
        <v>42</v>
      </c>
      <c r="K1058" t="s">
        <v>646</v>
      </c>
      <c r="L1058" t="s">
        <v>212</v>
      </c>
      <c r="M1058" t="s">
        <v>25</v>
      </c>
      <c r="N1058" t="s">
        <v>102</v>
      </c>
      <c r="O1058" t="s">
        <v>103</v>
      </c>
      <c r="P1058" t="s">
        <v>123</v>
      </c>
      <c r="Q1058">
        <v>24</v>
      </c>
      <c r="R1058">
        <v>251.52</v>
      </c>
      <c r="S1058">
        <v>6036.48</v>
      </c>
      <c r="T1058">
        <v>11.28</v>
      </c>
      <c r="U1058">
        <v>8</v>
      </c>
      <c r="V1058">
        <v>12</v>
      </c>
      <c r="W1058">
        <v>835</v>
      </c>
      <c r="X1058" t="s">
        <v>188</v>
      </c>
      <c r="Y1058" t="s">
        <v>36</v>
      </c>
      <c r="Z1058">
        <v>645.5</v>
      </c>
    </row>
    <row r="1059" spans="1:26" x14ac:dyDescent="0.25">
      <c r="A1059">
        <v>101057</v>
      </c>
      <c r="B1059" s="3">
        <v>45705</v>
      </c>
      <c r="C1059" s="3">
        <v>45707</v>
      </c>
      <c r="D1059" s="3">
        <v>45714</v>
      </c>
      <c r="E1059" t="s">
        <v>2619</v>
      </c>
      <c r="F1059" t="s">
        <v>38</v>
      </c>
      <c r="G1059" t="s">
        <v>217</v>
      </c>
      <c r="H1059" t="s">
        <v>2800</v>
      </c>
      <c r="I1059" t="s">
        <v>89</v>
      </c>
      <c r="J1059" t="s">
        <v>62</v>
      </c>
      <c r="K1059" t="s">
        <v>1305</v>
      </c>
      <c r="L1059" t="s">
        <v>31</v>
      </c>
      <c r="M1059" t="s">
        <v>65</v>
      </c>
      <c r="N1059" t="s">
        <v>66</v>
      </c>
      <c r="O1059" t="s">
        <v>67</v>
      </c>
      <c r="P1059" t="s">
        <v>35</v>
      </c>
      <c r="Q1059">
        <v>50</v>
      </c>
      <c r="R1059">
        <v>24.03</v>
      </c>
      <c r="S1059">
        <v>1201.5</v>
      </c>
      <c r="T1059">
        <v>13.89</v>
      </c>
      <c r="U1059">
        <v>7</v>
      </c>
      <c r="V1059">
        <v>9</v>
      </c>
      <c r="W1059">
        <v>1632</v>
      </c>
      <c r="X1059" t="s">
        <v>3742</v>
      </c>
      <c r="Y1059" t="s">
        <v>47</v>
      </c>
      <c r="Z1059">
        <v>-215.73</v>
      </c>
    </row>
    <row r="1060" spans="1:26" x14ac:dyDescent="0.25">
      <c r="A1060">
        <v>101058</v>
      </c>
      <c r="B1060" s="3">
        <v>45417</v>
      </c>
      <c r="C1060" s="3">
        <v>45421</v>
      </c>
      <c r="D1060" s="3">
        <v>45426</v>
      </c>
      <c r="E1060" t="s">
        <v>2667</v>
      </c>
      <c r="F1060" t="s">
        <v>54</v>
      </c>
      <c r="G1060" t="s">
        <v>225</v>
      </c>
      <c r="H1060" t="s">
        <v>2801</v>
      </c>
      <c r="I1060" t="s">
        <v>416</v>
      </c>
      <c r="J1060" t="s">
        <v>80</v>
      </c>
      <c r="K1060" t="s">
        <v>1597</v>
      </c>
      <c r="L1060" t="s">
        <v>122</v>
      </c>
      <c r="M1060" t="s">
        <v>65</v>
      </c>
      <c r="N1060" t="s">
        <v>74</v>
      </c>
      <c r="O1060" t="s">
        <v>75</v>
      </c>
      <c r="P1060" t="s">
        <v>68</v>
      </c>
      <c r="Q1060">
        <v>91</v>
      </c>
      <c r="R1060">
        <v>173.83</v>
      </c>
      <c r="S1060">
        <v>15818.53</v>
      </c>
      <c r="T1060">
        <v>34.409999999999997</v>
      </c>
      <c r="U1060">
        <v>5</v>
      </c>
      <c r="V1060">
        <v>9</v>
      </c>
      <c r="W1060">
        <v>327</v>
      </c>
      <c r="X1060" t="s">
        <v>188</v>
      </c>
      <c r="Y1060" t="s">
        <v>36</v>
      </c>
      <c r="Z1060">
        <v>3863.46</v>
      </c>
    </row>
    <row r="1061" spans="1:26" x14ac:dyDescent="0.25">
      <c r="A1061">
        <v>101059</v>
      </c>
      <c r="B1061" s="3">
        <v>45931</v>
      </c>
      <c r="C1061" s="3">
        <v>45932</v>
      </c>
      <c r="D1061" s="3">
        <v>45955</v>
      </c>
      <c r="E1061" t="s">
        <v>2802</v>
      </c>
      <c r="F1061" t="s">
        <v>25</v>
      </c>
      <c r="G1061" t="s">
        <v>59</v>
      </c>
      <c r="H1061" t="s">
        <v>2803</v>
      </c>
      <c r="I1061" t="s">
        <v>61</v>
      </c>
      <c r="J1061" t="s">
        <v>62</v>
      </c>
      <c r="K1061" t="s">
        <v>1915</v>
      </c>
      <c r="L1061" t="s">
        <v>91</v>
      </c>
      <c r="M1061" t="s">
        <v>25</v>
      </c>
      <c r="N1061" t="s">
        <v>45</v>
      </c>
      <c r="O1061" t="s">
        <v>46</v>
      </c>
      <c r="P1061" t="s">
        <v>76</v>
      </c>
      <c r="Q1061">
        <v>347</v>
      </c>
      <c r="R1061">
        <v>9.11</v>
      </c>
      <c r="S1061">
        <v>3161.17</v>
      </c>
      <c r="T1061">
        <v>10.62</v>
      </c>
      <c r="U1061">
        <v>23</v>
      </c>
      <c r="V1061">
        <v>24</v>
      </c>
      <c r="W1061">
        <v>1676</v>
      </c>
      <c r="X1061" t="s">
        <v>188</v>
      </c>
      <c r="Y1061" t="s">
        <v>36</v>
      </c>
      <c r="Z1061">
        <v>224.84</v>
      </c>
    </row>
    <row r="1062" spans="1:26" x14ac:dyDescent="0.25">
      <c r="A1062">
        <v>101060</v>
      </c>
      <c r="B1062" s="3">
        <v>45714</v>
      </c>
      <c r="C1062" s="3">
        <v>45716</v>
      </c>
      <c r="D1062" s="3">
        <v>45728</v>
      </c>
      <c r="E1062" t="s">
        <v>2804</v>
      </c>
      <c r="F1062" t="s">
        <v>65</v>
      </c>
      <c r="G1062" t="s">
        <v>154</v>
      </c>
      <c r="H1062" t="s">
        <v>2805</v>
      </c>
      <c r="I1062" t="s">
        <v>85</v>
      </c>
      <c r="J1062" t="s">
        <v>52</v>
      </c>
      <c r="K1062" t="s">
        <v>1714</v>
      </c>
      <c r="L1062" t="s">
        <v>44</v>
      </c>
      <c r="M1062" t="s">
        <v>65</v>
      </c>
      <c r="N1062" t="s">
        <v>74</v>
      </c>
      <c r="O1062" t="s">
        <v>75</v>
      </c>
      <c r="P1062" t="s">
        <v>123</v>
      </c>
      <c r="Q1062">
        <v>426</v>
      </c>
      <c r="R1062">
        <v>20.79</v>
      </c>
      <c r="S1062">
        <v>8856.5400000000009</v>
      </c>
      <c r="T1062">
        <v>15.59</v>
      </c>
      <c r="U1062">
        <v>12</v>
      </c>
      <c r="V1062">
        <v>14</v>
      </c>
      <c r="W1062">
        <v>3491</v>
      </c>
      <c r="X1062" t="s">
        <v>3742</v>
      </c>
      <c r="Y1062" t="s">
        <v>47</v>
      </c>
      <c r="Z1062">
        <v>-228.03</v>
      </c>
    </row>
    <row r="1063" spans="1:26" x14ac:dyDescent="0.25">
      <c r="A1063">
        <v>101061</v>
      </c>
      <c r="B1063" s="3">
        <v>45438</v>
      </c>
      <c r="C1063" s="3">
        <v>45443</v>
      </c>
      <c r="D1063" s="3">
        <v>45455</v>
      </c>
      <c r="E1063" t="s">
        <v>2806</v>
      </c>
      <c r="F1063" t="s">
        <v>65</v>
      </c>
      <c r="G1063" t="s">
        <v>142</v>
      </c>
      <c r="H1063" t="s">
        <v>2807</v>
      </c>
      <c r="I1063" t="s">
        <v>191</v>
      </c>
      <c r="J1063" t="s">
        <v>62</v>
      </c>
      <c r="K1063" t="s">
        <v>512</v>
      </c>
      <c r="L1063" t="s">
        <v>118</v>
      </c>
      <c r="M1063" t="s">
        <v>54</v>
      </c>
      <c r="N1063" t="s">
        <v>45</v>
      </c>
      <c r="O1063" t="s">
        <v>46</v>
      </c>
      <c r="P1063" t="s">
        <v>123</v>
      </c>
      <c r="Q1063">
        <v>147</v>
      </c>
      <c r="R1063">
        <v>11.54</v>
      </c>
      <c r="S1063">
        <v>1696.38</v>
      </c>
      <c r="T1063">
        <v>14.26</v>
      </c>
      <c r="U1063">
        <v>12</v>
      </c>
      <c r="V1063">
        <v>17</v>
      </c>
      <c r="W1063">
        <v>3251</v>
      </c>
      <c r="X1063" t="s">
        <v>188</v>
      </c>
      <c r="Y1063" t="s">
        <v>36</v>
      </c>
      <c r="Z1063">
        <v>126.13</v>
      </c>
    </row>
    <row r="1064" spans="1:26" x14ac:dyDescent="0.25">
      <c r="A1064">
        <v>101062</v>
      </c>
      <c r="B1064" s="3">
        <v>45556</v>
      </c>
      <c r="C1064" s="3">
        <v>45559</v>
      </c>
      <c r="D1064" s="3">
        <v>45583</v>
      </c>
      <c r="E1064" t="s">
        <v>2808</v>
      </c>
      <c r="F1064" t="s">
        <v>54</v>
      </c>
      <c r="G1064" t="s">
        <v>129</v>
      </c>
      <c r="H1064" t="s">
        <v>2809</v>
      </c>
      <c r="I1064" t="s">
        <v>182</v>
      </c>
      <c r="J1064" t="s">
        <v>80</v>
      </c>
      <c r="K1064" t="s">
        <v>2810</v>
      </c>
      <c r="L1064" t="s">
        <v>118</v>
      </c>
      <c r="M1064" t="s">
        <v>65</v>
      </c>
      <c r="N1064" t="s">
        <v>151</v>
      </c>
      <c r="O1064" t="s">
        <v>152</v>
      </c>
      <c r="P1064" t="s">
        <v>76</v>
      </c>
      <c r="Q1064">
        <v>328</v>
      </c>
      <c r="R1064">
        <v>300.68</v>
      </c>
      <c r="S1064">
        <v>98623.039999999994</v>
      </c>
      <c r="T1064">
        <v>14</v>
      </c>
      <c r="U1064">
        <v>24</v>
      </c>
      <c r="V1064">
        <v>27</v>
      </c>
      <c r="W1064">
        <v>822</v>
      </c>
      <c r="X1064" t="s">
        <v>188</v>
      </c>
      <c r="Y1064" t="s">
        <v>36</v>
      </c>
      <c r="Z1064">
        <v>16314.83</v>
      </c>
    </row>
    <row r="1065" spans="1:26" x14ac:dyDescent="0.25">
      <c r="A1065">
        <v>101063</v>
      </c>
      <c r="B1065" s="3">
        <v>45765</v>
      </c>
      <c r="C1065" s="3">
        <v>45770</v>
      </c>
      <c r="D1065" s="3">
        <v>45777</v>
      </c>
      <c r="E1065" t="s">
        <v>2811</v>
      </c>
      <c r="F1065" t="s">
        <v>32</v>
      </c>
      <c r="G1065" t="s">
        <v>180</v>
      </c>
      <c r="H1065" t="s">
        <v>2812</v>
      </c>
      <c r="I1065" t="s">
        <v>149</v>
      </c>
      <c r="J1065" t="s">
        <v>42</v>
      </c>
      <c r="K1065" t="s">
        <v>2813</v>
      </c>
      <c r="L1065" t="s">
        <v>44</v>
      </c>
      <c r="M1065" t="s">
        <v>25</v>
      </c>
      <c r="N1065" t="s">
        <v>74</v>
      </c>
      <c r="O1065" t="s">
        <v>75</v>
      </c>
      <c r="P1065" t="s">
        <v>123</v>
      </c>
      <c r="Q1065">
        <v>48</v>
      </c>
      <c r="R1065">
        <v>351.74</v>
      </c>
      <c r="S1065">
        <v>16883.52</v>
      </c>
      <c r="T1065">
        <v>11.86</v>
      </c>
      <c r="U1065">
        <v>7</v>
      </c>
      <c r="V1065">
        <v>12</v>
      </c>
      <c r="W1065">
        <v>170</v>
      </c>
      <c r="X1065" t="s">
        <v>188</v>
      </c>
      <c r="Y1065" t="s">
        <v>36</v>
      </c>
      <c r="Z1065">
        <v>2416.91</v>
      </c>
    </row>
    <row r="1066" spans="1:26" x14ac:dyDescent="0.25">
      <c r="A1066">
        <v>101064</v>
      </c>
      <c r="B1066" s="3">
        <v>45420</v>
      </c>
      <c r="C1066" s="3">
        <v>45420</v>
      </c>
      <c r="D1066" s="3">
        <v>45424</v>
      </c>
      <c r="E1066" t="s">
        <v>2814</v>
      </c>
      <c r="F1066" t="s">
        <v>54</v>
      </c>
      <c r="G1066" t="s">
        <v>193</v>
      </c>
      <c r="H1066" t="s">
        <v>2815</v>
      </c>
      <c r="I1066" t="s">
        <v>416</v>
      </c>
      <c r="J1066" t="s">
        <v>80</v>
      </c>
      <c r="K1066" t="s">
        <v>2816</v>
      </c>
      <c r="L1066" t="s">
        <v>91</v>
      </c>
      <c r="M1066" t="s">
        <v>25</v>
      </c>
      <c r="N1066" t="s">
        <v>66</v>
      </c>
      <c r="O1066" t="s">
        <v>67</v>
      </c>
      <c r="P1066" t="s">
        <v>68</v>
      </c>
      <c r="Q1066">
        <v>436</v>
      </c>
      <c r="R1066">
        <v>77.19</v>
      </c>
      <c r="S1066">
        <v>33654.839999999997</v>
      </c>
      <c r="T1066">
        <v>56.76</v>
      </c>
      <c r="U1066">
        <v>4</v>
      </c>
      <c r="V1066">
        <v>4</v>
      </c>
      <c r="W1066">
        <v>1265</v>
      </c>
      <c r="X1066" t="s">
        <v>3741</v>
      </c>
      <c r="Y1066" t="s">
        <v>36</v>
      </c>
      <c r="Z1066">
        <v>4823.25</v>
      </c>
    </row>
    <row r="1067" spans="1:26" x14ac:dyDescent="0.25">
      <c r="A1067">
        <v>101065</v>
      </c>
      <c r="B1067" s="3">
        <v>45339</v>
      </c>
      <c r="C1067" s="3">
        <v>45343</v>
      </c>
      <c r="D1067" s="3">
        <v>45345</v>
      </c>
      <c r="E1067" t="s">
        <v>1706</v>
      </c>
      <c r="F1067" t="s">
        <v>38</v>
      </c>
      <c r="G1067" t="s">
        <v>83</v>
      </c>
      <c r="H1067" t="s">
        <v>2817</v>
      </c>
      <c r="I1067" t="s">
        <v>182</v>
      </c>
      <c r="J1067" t="s">
        <v>80</v>
      </c>
      <c r="K1067" t="s">
        <v>2818</v>
      </c>
      <c r="L1067" t="s">
        <v>118</v>
      </c>
      <c r="M1067" t="s">
        <v>65</v>
      </c>
      <c r="N1067" t="s">
        <v>74</v>
      </c>
      <c r="O1067" t="s">
        <v>75</v>
      </c>
      <c r="P1067" t="s">
        <v>35</v>
      </c>
      <c r="Q1067">
        <v>472</v>
      </c>
      <c r="R1067">
        <v>62.23</v>
      </c>
      <c r="S1067">
        <v>29372.560000000001</v>
      </c>
      <c r="T1067">
        <v>25.86</v>
      </c>
      <c r="U1067">
        <v>2</v>
      </c>
      <c r="V1067">
        <v>6</v>
      </c>
      <c r="W1067">
        <v>603</v>
      </c>
      <c r="X1067" t="s">
        <v>3741</v>
      </c>
      <c r="Y1067" t="s">
        <v>36</v>
      </c>
      <c r="Z1067">
        <v>8100.88</v>
      </c>
    </row>
    <row r="1068" spans="1:26" x14ac:dyDescent="0.25">
      <c r="A1068">
        <v>101066</v>
      </c>
      <c r="B1068" s="3">
        <v>46007</v>
      </c>
      <c r="C1068" s="3">
        <v>46010</v>
      </c>
      <c r="D1068" s="3">
        <v>46014</v>
      </c>
      <c r="E1068" t="s">
        <v>1975</v>
      </c>
      <c r="F1068" t="s">
        <v>25</v>
      </c>
      <c r="G1068" t="s">
        <v>59</v>
      </c>
      <c r="H1068" t="s">
        <v>2385</v>
      </c>
      <c r="I1068" t="s">
        <v>368</v>
      </c>
      <c r="J1068" t="s">
        <v>29</v>
      </c>
      <c r="K1068" t="s">
        <v>2819</v>
      </c>
      <c r="L1068" t="s">
        <v>212</v>
      </c>
      <c r="M1068" t="s">
        <v>32</v>
      </c>
      <c r="N1068" t="s">
        <v>203</v>
      </c>
      <c r="O1068" t="s">
        <v>204</v>
      </c>
      <c r="P1068" t="s">
        <v>68</v>
      </c>
      <c r="Q1068">
        <v>43</v>
      </c>
      <c r="R1068">
        <v>73.040000000000006</v>
      </c>
      <c r="S1068">
        <v>3140.72</v>
      </c>
      <c r="T1068">
        <v>31.3</v>
      </c>
      <c r="U1068">
        <v>4</v>
      </c>
      <c r="V1068">
        <v>7</v>
      </c>
      <c r="W1068">
        <v>198</v>
      </c>
      <c r="X1068" t="s">
        <v>3741</v>
      </c>
      <c r="Y1068" t="s">
        <v>36</v>
      </c>
      <c r="Z1068">
        <v>723.08</v>
      </c>
    </row>
    <row r="1069" spans="1:26" x14ac:dyDescent="0.25">
      <c r="A1069">
        <v>101067</v>
      </c>
      <c r="B1069" s="3">
        <v>45315</v>
      </c>
      <c r="C1069" s="3">
        <v>45319</v>
      </c>
      <c r="D1069" s="3">
        <v>45333</v>
      </c>
      <c r="E1069" t="s">
        <v>2820</v>
      </c>
      <c r="F1069" t="s">
        <v>32</v>
      </c>
      <c r="G1069" t="s">
        <v>110</v>
      </c>
      <c r="H1069" t="s">
        <v>2821</v>
      </c>
      <c r="I1069" t="s">
        <v>144</v>
      </c>
      <c r="J1069" t="s">
        <v>52</v>
      </c>
      <c r="K1069" t="s">
        <v>2044</v>
      </c>
      <c r="L1069" t="s">
        <v>113</v>
      </c>
      <c r="M1069" t="s">
        <v>65</v>
      </c>
      <c r="N1069" t="s">
        <v>203</v>
      </c>
      <c r="O1069" t="s">
        <v>204</v>
      </c>
      <c r="P1069" t="s">
        <v>123</v>
      </c>
      <c r="Q1069">
        <v>135</v>
      </c>
      <c r="R1069">
        <v>60.97</v>
      </c>
      <c r="S1069">
        <v>8230.9500000000007</v>
      </c>
      <c r="T1069">
        <v>13.97</v>
      </c>
      <c r="U1069">
        <v>14</v>
      </c>
      <c r="V1069">
        <v>18</v>
      </c>
      <c r="W1069">
        <v>2335</v>
      </c>
      <c r="X1069" t="s">
        <v>3742</v>
      </c>
      <c r="Y1069" t="s">
        <v>57</v>
      </c>
      <c r="Z1069">
        <v>355.46</v>
      </c>
    </row>
    <row r="1070" spans="1:26" x14ac:dyDescent="0.25">
      <c r="A1070">
        <v>101068</v>
      </c>
      <c r="B1070" s="3">
        <v>45533</v>
      </c>
      <c r="C1070" s="3">
        <v>45538</v>
      </c>
      <c r="D1070" s="3">
        <v>45553</v>
      </c>
      <c r="E1070" t="s">
        <v>2822</v>
      </c>
      <c r="F1070" t="s">
        <v>65</v>
      </c>
      <c r="G1070" t="s">
        <v>70</v>
      </c>
      <c r="H1070" t="s">
        <v>2823</v>
      </c>
      <c r="I1070" t="s">
        <v>149</v>
      </c>
      <c r="J1070" t="s">
        <v>42</v>
      </c>
      <c r="K1070" t="s">
        <v>1234</v>
      </c>
      <c r="L1070" t="s">
        <v>64</v>
      </c>
      <c r="M1070" t="s">
        <v>54</v>
      </c>
      <c r="N1070" t="s">
        <v>66</v>
      </c>
      <c r="O1070" t="s">
        <v>67</v>
      </c>
      <c r="P1070" t="s">
        <v>76</v>
      </c>
      <c r="Q1070">
        <v>218</v>
      </c>
      <c r="R1070">
        <v>300.35000000000002</v>
      </c>
      <c r="S1070">
        <v>65476.3</v>
      </c>
      <c r="T1070">
        <v>11.99</v>
      </c>
      <c r="U1070">
        <v>15</v>
      </c>
      <c r="V1070">
        <v>20</v>
      </c>
      <c r="W1070">
        <v>1370</v>
      </c>
      <c r="X1070" t="s">
        <v>3742</v>
      </c>
      <c r="Y1070" t="s">
        <v>47</v>
      </c>
      <c r="Z1070">
        <v>-176.79</v>
      </c>
    </row>
    <row r="1071" spans="1:26" x14ac:dyDescent="0.25">
      <c r="A1071">
        <v>101069</v>
      </c>
      <c r="B1071" s="3">
        <v>45981</v>
      </c>
      <c r="C1071" s="3">
        <v>45984</v>
      </c>
      <c r="D1071" s="3">
        <v>45986</v>
      </c>
      <c r="E1071" t="s">
        <v>2824</v>
      </c>
      <c r="F1071" t="s">
        <v>32</v>
      </c>
      <c r="G1071" t="s">
        <v>364</v>
      </c>
      <c r="H1071" t="s">
        <v>2825</v>
      </c>
      <c r="I1071" t="s">
        <v>144</v>
      </c>
      <c r="J1071" t="s">
        <v>52</v>
      </c>
      <c r="K1071" t="s">
        <v>2826</v>
      </c>
      <c r="L1071" t="s">
        <v>98</v>
      </c>
      <c r="M1071" t="s">
        <v>38</v>
      </c>
      <c r="N1071" t="s">
        <v>74</v>
      </c>
      <c r="O1071" t="s">
        <v>75</v>
      </c>
      <c r="P1071" t="s">
        <v>68</v>
      </c>
      <c r="Q1071">
        <v>198</v>
      </c>
      <c r="R1071">
        <v>72.88</v>
      </c>
      <c r="S1071">
        <v>14430.24</v>
      </c>
      <c r="T1071">
        <v>41.34</v>
      </c>
      <c r="U1071">
        <v>2</v>
      </c>
      <c r="V1071">
        <v>5</v>
      </c>
      <c r="W1071">
        <v>219</v>
      </c>
      <c r="X1071" t="s">
        <v>3741</v>
      </c>
      <c r="Y1071" t="s">
        <v>36</v>
      </c>
      <c r="Z1071">
        <v>1129.81</v>
      </c>
    </row>
    <row r="1072" spans="1:26" x14ac:dyDescent="0.25">
      <c r="A1072">
        <v>101070</v>
      </c>
      <c r="B1072" s="3">
        <v>45529</v>
      </c>
      <c r="C1072" s="3">
        <v>45531</v>
      </c>
      <c r="D1072" s="3">
        <v>45553</v>
      </c>
      <c r="E1072" t="s">
        <v>546</v>
      </c>
      <c r="F1072" t="s">
        <v>25</v>
      </c>
      <c r="G1072" t="s">
        <v>172</v>
      </c>
      <c r="H1072" t="s">
        <v>2827</v>
      </c>
      <c r="I1072" t="s">
        <v>144</v>
      </c>
      <c r="J1072" t="s">
        <v>52</v>
      </c>
      <c r="K1072" t="s">
        <v>2484</v>
      </c>
      <c r="L1072" t="s">
        <v>98</v>
      </c>
      <c r="M1072" t="s">
        <v>32</v>
      </c>
      <c r="N1072" t="s">
        <v>107</v>
      </c>
      <c r="O1072" t="s">
        <v>108</v>
      </c>
      <c r="P1072" t="s">
        <v>76</v>
      </c>
      <c r="Q1072">
        <v>428</v>
      </c>
      <c r="R1072">
        <v>32.270000000000003</v>
      </c>
      <c r="S1072">
        <v>13811.56</v>
      </c>
      <c r="T1072">
        <v>15.82</v>
      </c>
      <c r="U1072">
        <v>22</v>
      </c>
      <c r="V1072">
        <v>24</v>
      </c>
      <c r="W1072">
        <v>3469</v>
      </c>
      <c r="X1072" t="s">
        <v>188</v>
      </c>
      <c r="Y1072" t="s">
        <v>36</v>
      </c>
      <c r="Z1072">
        <v>1537.6</v>
      </c>
    </row>
    <row r="1073" spans="1:26" x14ac:dyDescent="0.25">
      <c r="A1073">
        <v>101071</v>
      </c>
      <c r="B1073" s="3">
        <v>45378</v>
      </c>
      <c r="C1073" s="3">
        <v>45378</v>
      </c>
      <c r="D1073" s="3">
        <v>45392</v>
      </c>
      <c r="E1073" t="s">
        <v>2828</v>
      </c>
      <c r="F1073" t="s">
        <v>38</v>
      </c>
      <c r="G1073" t="s">
        <v>217</v>
      </c>
      <c r="H1073" t="s">
        <v>2829</v>
      </c>
      <c r="I1073" t="s">
        <v>139</v>
      </c>
      <c r="J1073" t="s">
        <v>42</v>
      </c>
      <c r="K1073" t="s">
        <v>1826</v>
      </c>
      <c r="L1073" t="s">
        <v>98</v>
      </c>
      <c r="M1073" t="s">
        <v>38</v>
      </c>
      <c r="N1073" t="s">
        <v>74</v>
      </c>
      <c r="O1073" t="s">
        <v>75</v>
      </c>
      <c r="P1073" t="s">
        <v>123</v>
      </c>
      <c r="Q1073">
        <v>152</v>
      </c>
      <c r="R1073">
        <v>82.4</v>
      </c>
      <c r="S1073">
        <v>12524.8</v>
      </c>
      <c r="T1073">
        <v>10.66</v>
      </c>
      <c r="U1073">
        <v>14</v>
      </c>
      <c r="V1073">
        <v>14</v>
      </c>
      <c r="W1073">
        <v>1529</v>
      </c>
      <c r="X1073" t="s">
        <v>188</v>
      </c>
      <c r="Y1073" t="s">
        <v>36</v>
      </c>
      <c r="Z1073">
        <v>2487.23</v>
      </c>
    </row>
    <row r="1074" spans="1:26" x14ac:dyDescent="0.25">
      <c r="A1074">
        <v>101072</v>
      </c>
      <c r="B1074" s="3">
        <v>45583</v>
      </c>
      <c r="C1074" s="3">
        <v>45586</v>
      </c>
      <c r="D1074" s="3">
        <v>45590</v>
      </c>
      <c r="E1074" t="s">
        <v>2830</v>
      </c>
      <c r="F1074" t="s">
        <v>25</v>
      </c>
      <c r="G1074" t="s">
        <v>59</v>
      </c>
      <c r="H1074" t="s">
        <v>2831</v>
      </c>
      <c r="I1074" t="s">
        <v>72</v>
      </c>
      <c r="J1074" t="s">
        <v>42</v>
      </c>
      <c r="K1074" t="s">
        <v>2832</v>
      </c>
      <c r="L1074" t="s">
        <v>98</v>
      </c>
      <c r="M1074" t="s">
        <v>38</v>
      </c>
      <c r="N1074" t="s">
        <v>151</v>
      </c>
      <c r="O1074" t="s">
        <v>152</v>
      </c>
      <c r="P1074" t="s">
        <v>35</v>
      </c>
      <c r="Q1074">
        <v>450</v>
      </c>
      <c r="R1074">
        <v>286.89</v>
      </c>
      <c r="S1074">
        <v>129100.5</v>
      </c>
      <c r="T1074">
        <v>25.23</v>
      </c>
      <c r="U1074">
        <v>4</v>
      </c>
      <c r="V1074">
        <v>7</v>
      </c>
      <c r="W1074">
        <v>691</v>
      </c>
      <c r="X1074" t="s">
        <v>3741</v>
      </c>
      <c r="Y1074" t="s">
        <v>36</v>
      </c>
      <c r="Z1074">
        <v>16374.14</v>
      </c>
    </row>
    <row r="1075" spans="1:26" x14ac:dyDescent="0.25">
      <c r="A1075">
        <v>101073</v>
      </c>
      <c r="B1075" s="3">
        <v>45858</v>
      </c>
      <c r="C1075" s="3">
        <v>45861</v>
      </c>
      <c r="D1075" s="3">
        <v>45866</v>
      </c>
      <c r="E1075" t="s">
        <v>2833</v>
      </c>
      <c r="F1075" t="s">
        <v>65</v>
      </c>
      <c r="G1075" t="s">
        <v>70</v>
      </c>
      <c r="H1075" t="s">
        <v>2834</v>
      </c>
      <c r="I1075" t="s">
        <v>144</v>
      </c>
      <c r="J1075" t="s">
        <v>52</v>
      </c>
      <c r="K1075" t="s">
        <v>145</v>
      </c>
      <c r="L1075" t="s">
        <v>118</v>
      </c>
      <c r="M1075" t="s">
        <v>38</v>
      </c>
      <c r="N1075" t="s">
        <v>45</v>
      </c>
      <c r="O1075" t="s">
        <v>46</v>
      </c>
      <c r="P1075" t="s">
        <v>123</v>
      </c>
      <c r="Q1075">
        <v>453</v>
      </c>
      <c r="R1075">
        <v>49.97</v>
      </c>
      <c r="S1075">
        <v>22636.41</v>
      </c>
      <c r="T1075">
        <v>21.7</v>
      </c>
      <c r="U1075">
        <v>5</v>
      </c>
      <c r="V1075">
        <v>8</v>
      </c>
      <c r="W1075">
        <v>626</v>
      </c>
      <c r="X1075" t="s">
        <v>3742</v>
      </c>
      <c r="Y1075" t="s">
        <v>57</v>
      </c>
      <c r="Z1075">
        <v>2112.5700000000002</v>
      </c>
    </row>
    <row r="1076" spans="1:26" x14ac:dyDescent="0.25">
      <c r="A1076">
        <v>101074</v>
      </c>
      <c r="B1076" s="3">
        <v>45819</v>
      </c>
      <c r="C1076" s="3">
        <v>45824</v>
      </c>
      <c r="D1076" s="3">
        <v>45827</v>
      </c>
      <c r="E1076" t="s">
        <v>2835</v>
      </c>
      <c r="F1076" t="s">
        <v>65</v>
      </c>
      <c r="G1076" t="s">
        <v>154</v>
      </c>
      <c r="H1076" t="s">
        <v>2836</v>
      </c>
      <c r="I1076" t="s">
        <v>85</v>
      </c>
      <c r="J1076" t="s">
        <v>52</v>
      </c>
      <c r="K1076" t="s">
        <v>720</v>
      </c>
      <c r="L1076" t="s">
        <v>91</v>
      </c>
      <c r="M1076" t="s">
        <v>38</v>
      </c>
      <c r="N1076" t="s">
        <v>45</v>
      </c>
      <c r="O1076" t="s">
        <v>46</v>
      </c>
      <c r="P1076" t="s">
        <v>68</v>
      </c>
      <c r="Q1076">
        <v>380</v>
      </c>
      <c r="R1076">
        <v>89.14</v>
      </c>
      <c r="S1076">
        <v>33873.199999999997</v>
      </c>
      <c r="T1076">
        <v>53.14</v>
      </c>
      <c r="U1076">
        <v>3</v>
      </c>
      <c r="V1076">
        <v>8</v>
      </c>
      <c r="W1076">
        <v>2496</v>
      </c>
      <c r="X1076" t="s">
        <v>188</v>
      </c>
      <c r="Y1076" t="s">
        <v>36</v>
      </c>
      <c r="Z1076">
        <v>6672.35</v>
      </c>
    </row>
    <row r="1077" spans="1:26" x14ac:dyDescent="0.25">
      <c r="A1077">
        <v>101075</v>
      </c>
      <c r="B1077" s="3">
        <v>45627</v>
      </c>
      <c r="C1077" s="3">
        <v>45628</v>
      </c>
      <c r="D1077" s="3">
        <v>45634</v>
      </c>
      <c r="E1077" t="s">
        <v>2837</v>
      </c>
      <c r="F1077" t="s">
        <v>65</v>
      </c>
      <c r="G1077" t="s">
        <v>142</v>
      </c>
      <c r="H1077" t="s">
        <v>2838</v>
      </c>
      <c r="I1077" t="s">
        <v>85</v>
      </c>
      <c r="J1077" t="s">
        <v>52</v>
      </c>
      <c r="K1077" t="s">
        <v>1121</v>
      </c>
      <c r="L1077" t="s">
        <v>64</v>
      </c>
      <c r="M1077" t="s">
        <v>54</v>
      </c>
      <c r="N1077" t="s">
        <v>33</v>
      </c>
      <c r="O1077" t="s">
        <v>34</v>
      </c>
      <c r="P1077" t="s">
        <v>35</v>
      </c>
      <c r="Q1077">
        <v>343</v>
      </c>
      <c r="R1077">
        <v>61.15</v>
      </c>
      <c r="S1077">
        <v>20974.45</v>
      </c>
      <c r="T1077">
        <v>22.2</v>
      </c>
      <c r="U1077">
        <v>6</v>
      </c>
      <c r="V1077">
        <v>7</v>
      </c>
      <c r="W1077">
        <v>4262</v>
      </c>
      <c r="X1077" t="s">
        <v>3741</v>
      </c>
      <c r="Y1077" t="s">
        <v>36</v>
      </c>
      <c r="Z1077">
        <v>4119.68</v>
      </c>
    </row>
    <row r="1078" spans="1:26" x14ac:dyDescent="0.25">
      <c r="A1078">
        <v>101076</v>
      </c>
      <c r="B1078" s="3">
        <v>45833</v>
      </c>
      <c r="C1078" s="3">
        <v>45833</v>
      </c>
      <c r="D1078" s="3">
        <v>45846</v>
      </c>
      <c r="E1078" t="s">
        <v>2839</v>
      </c>
      <c r="F1078" t="s">
        <v>54</v>
      </c>
      <c r="G1078" t="s">
        <v>129</v>
      </c>
      <c r="H1078" t="s">
        <v>2840</v>
      </c>
      <c r="I1078" t="s">
        <v>41</v>
      </c>
      <c r="J1078" t="s">
        <v>42</v>
      </c>
      <c r="K1078" t="s">
        <v>2841</v>
      </c>
      <c r="L1078" t="s">
        <v>187</v>
      </c>
      <c r="M1078" t="s">
        <v>54</v>
      </c>
      <c r="N1078" t="s">
        <v>66</v>
      </c>
      <c r="O1078" t="s">
        <v>67</v>
      </c>
      <c r="P1078" t="s">
        <v>76</v>
      </c>
      <c r="Q1078">
        <v>217</v>
      </c>
      <c r="R1078">
        <v>217.43</v>
      </c>
      <c r="S1078">
        <v>47182.31</v>
      </c>
      <c r="T1078">
        <v>8.8699999999999992</v>
      </c>
      <c r="U1078">
        <v>13</v>
      </c>
      <c r="V1078">
        <v>13</v>
      </c>
      <c r="W1078">
        <v>134</v>
      </c>
      <c r="X1078" t="s">
        <v>188</v>
      </c>
      <c r="Y1078" t="s">
        <v>36</v>
      </c>
      <c r="Z1078">
        <v>8246.84</v>
      </c>
    </row>
    <row r="1079" spans="1:26" x14ac:dyDescent="0.25">
      <c r="A1079">
        <v>101077</v>
      </c>
      <c r="B1079" s="3">
        <v>45424</v>
      </c>
      <c r="C1079" s="3">
        <v>45429</v>
      </c>
      <c r="D1079" s="3">
        <v>45438</v>
      </c>
      <c r="E1079" t="s">
        <v>2842</v>
      </c>
      <c r="F1079" t="s">
        <v>32</v>
      </c>
      <c r="G1079" t="s">
        <v>137</v>
      </c>
      <c r="H1079" t="s">
        <v>2843</v>
      </c>
      <c r="I1079" t="s">
        <v>139</v>
      </c>
      <c r="J1079" t="s">
        <v>42</v>
      </c>
      <c r="K1079" t="s">
        <v>2844</v>
      </c>
      <c r="L1079" t="s">
        <v>118</v>
      </c>
      <c r="M1079" t="s">
        <v>54</v>
      </c>
      <c r="N1079" t="s">
        <v>55</v>
      </c>
      <c r="O1079" t="s">
        <v>56</v>
      </c>
      <c r="P1079" t="s">
        <v>123</v>
      </c>
      <c r="Q1079">
        <v>278</v>
      </c>
      <c r="R1079">
        <v>296.17</v>
      </c>
      <c r="S1079">
        <v>82335.259999999995</v>
      </c>
      <c r="T1079">
        <v>17.45</v>
      </c>
      <c r="U1079">
        <v>9</v>
      </c>
      <c r="V1079">
        <v>14</v>
      </c>
      <c r="W1079">
        <v>1610</v>
      </c>
      <c r="X1079" t="s">
        <v>3742</v>
      </c>
      <c r="Y1079" t="s">
        <v>57</v>
      </c>
      <c r="Z1079">
        <v>15025.05</v>
      </c>
    </row>
    <row r="1080" spans="1:26" x14ac:dyDescent="0.25">
      <c r="A1080">
        <v>101078</v>
      </c>
      <c r="B1080" s="3">
        <v>45696</v>
      </c>
      <c r="C1080" s="3">
        <v>45698</v>
      </c>
      <c r="D1080" s="3">
        <v>45705</v>
      </c>
      <c r="E1080" t="s">
        <v>2845</v>
      </c>
      <c r="F1080" t="s">
        <v>65</v>
      </c>
      <c r="G1080" t="s">
        <v>142</v>
      </c>
      <c r="H1080" t="s">
        <v>2846</v>
      </c>
      <c r="I1080" t="s">
        <v>182</v>
      </c>
      <c r="J1080" t="s">
        <v>80</v>
      </c>
      <c r="K1080" t="s">
        <v>2086</v>
      </c>
      <c r="L1080" t="s">
        <v>113</v>
      </c>
      <c r="M1080" t="s">
        <v>54</v>
      </c>
      <c r="N1080" t="s">
        <v>203</v>
      </c>
      <c r="O1080" t="s">
        <v>204</v>
      </c>
      <c r="P1080" t="s">
        <v>123</v>
      </c>
      <c r="Q1080">
        <v>430</v>
      </c>
      <c r="R1080">
        <v>237.59</v>
      </c>
      <c r="S1080">
        <v>102163.7</v>
      </c>
      <c r="T1080">
        <v>21.14</v>
      </c>
      <c r="U1080">
        <v>7</v>
      </c>
      <c r="V1080">
        <v>9</v>
      </c>
      <c r="W1080">
        <v>572</v>
      </c>
      <c r="X1080" t="s">
        <v>188</v>
      </c>
      <c r="Y1080" t="s">
        <v>36</v>
      </c>
      <c r="Z1080">
        <v>18490.95</v>
      </c>
    </row>
    <row r="1081" spans="1:26" x14ac:dyDescent="0.25">
      <c r="A1081">
        <v>101079</v>
      </c>
      <c r="B1081" s="3">
        <v>45678</v>
      </c>
      <c r="C1081" s="3">
        <v>45680</v>
      </c>
      <c r="D1081" s="3">
        <v>45701</v>
      </c>
      <c r="E1081" t="s">
        <v>662</v>
      </c>
      <c r="F1081" t="s">
        <v>32</v>
      </c>
      <c r="G1081" t="s">
        <v>110</v>
      </c>
      <c r="H1081" t="s">
        <v>1344</v>
      </c>
      <c r="I1081" t="s">
        <v>61</v>
      </c>
      <c r="J1081" t="s">
        <v>62</v>
      </c>
      <c r="K1081" t="s">
        <v>2847</v>
      </c>
      <c r="L1081" t="s">
        <v>113</v>
      </c>
      <c r="M1081" t="s">
        <v>32</v>
      </c>
      <c r="N1081" t="s">
        <v>102</v>
      </c>
      <c r="O1081" t="s">
        <v>103</v>
      </c>
      <c r="P1081" t="s">
        <v>76</v>
      </c>
      <c r="Q1081">
        <v>152</v>
      </c>
      <c r="R1081">
        <v>10.89</v>
      </c>
      <c r="S1081">
        <v>1655.28</v>
      </c>
      <c r="T1081">
        <v>7.99</v>
      </c>
      <c r="U1081">
        <v>21</v>
      </c>
      <c r="V1081">
        <v>23</v>
      </c>
      <c r="W1081">
        <v>1766</v>
      </c>
      <c r="X1081" t="s">
        <v>188</v>
      </c>
      <c r="Y1081" t="s">
        <v>36</v>
      </c>
      <c r="Z1081">
        <v>100.97</v>
      </c>
    </row>
    <row r="1082" spans="1:26" x14ac:dyDescent="0.25">
      <c r="A1082">
        <v>101080</v>
      </c>
      <c r="B1082" s="3">
        <v>45332</v>
      </c>
      <c r="C1082" s="3">
        <v>45334</v>
      </c>
      <c r="D1082" s="3">
        <v>45343</v>
      </c>
      <c r="E1082" t="s">
        <v>2848</v>
      </c>
      <c r="F1082" t="s">
        <v>32</v>
      </c>
      <c r="G1082" t="s">
        <v>137</v>
      </c>
      <c r="H1082" t="s">
        <v>2849</v>
      </c>
      <c r="I1082" t="s">
        <v>416</v>
      </c>
      <c r="J1082" t="s">
        <v>80</v>
      </c>
      <c r="K1082" t="s">
        <v>2850</v>
      </c>
      <c r="L1082" t="s">
        <v>122</v>
      </c>
      <c r="M1082" t="s">
        <v>38</v>
      </c>
      <c r="N1082" t="s">
        <v>74</v>
      </c>
      <c r="O1082" t="s">
        <v>75</v>
      </c>
      <c r="P1082" t="s">
        <v>35</v>
      </c>
      <c r="Q1082">
        <v>146</v>
      </c>
      <c r="R1082">
        <v>158.21</v>
      </c>
      <c r="S1082">
        <v>23098.66</v>
      </c>
      <c r="T1082">
        <v>16.61</v>
      </c>
      <c r="U1082">
        <v>9</v>
      </c>
      <c r="V1082">
        <v>11</v>
      </c>
      <c r="W1082">
        <v>1809</v>
      </c>
      <c r="X1082" t="s">
        <v>188</v>
      </c>
      <c r="Y1082" t="s">
        <v>36</v>
      </c>
      <c r="Z1082">
        <v>3729.34</v>
      </c>
    </row>
    <row r="1083" spans="1:26" x14ac:dyDescent="0.25">
      <c r="A1083">
        <v>101081</v>
      </c>
      <c r="B1083" s="3">
        <v>45923</v>
      </c>
      <c r="C1083" s="3">
        <v>45925</v>
      </c>
      <c r="D1083" s="3">
        <v>45934</v>
      </c>
      <c r="E1083" t="s">
        <v>2851</v>
      </c>
      <c r="F1083" t="s">
        <v>38</v>
      </c>
      <c r="G1083" t="s">
        <v>39</v>
      </c>
      <c r="H1083" t="s">
        <v>2852</v>
      </c>
      <c r="I1083" t="s">
        <v>41</v>
      </c>
      <c r="J1083" t="s">
        <v>42</v>
      </c>
      <c r="K1083" t="s">
        <v>1355</v>
      </c>
      <c r="L1083" t="s">
        <v>64</v>
      </c>
      <c r="M1083" t="s">
        <v>38</v>
      </c>
      <c r="N1083" t="s">
        <v>107</v>
      </c>
      <c r="O1083" t="s">
        <v>108</v>
      </c>
      <c r="P1083" t="s">
        <v>35</v>
      </c>
      <c r="Q1083">
        <v>168</v>
      </c>
      <c r="R1083">
        <v>211.19</v>
      </c>
      <c r="S1083">
        <v>35479.919999999998</v>
      </c>
      <c r="T1083">
        <v>12.77</v>
      </c>
      <c r="U1083">
        <v>9</v>
      </c>
      <c r="V1083">
        <v>11</v>
      </c>
      <c r="W1083">
        <v>1739</v>
      </c>
      <c r="X1083" t="s">
        <v>188</v>
      </c>
      <c r="Y1083" t="s">
        <v>36</v>
      </c>
      <c r="Z1083">
        <v>4192.46</v>
      </c>
    </row>
    <row r="1084" spans="1:26" x14ac:dyDescent="0.25">
      <c r="A1084">
        <v>101082</v>
      </c>
      <c r="B1084" s="3">
        <v>45883</v>
      </c>
      <c r="C1084" s="3">
        <v>45886</v>
      </c>
      <c r="D1084" s="3">
        <v>45888</v>
      </c>
      <c r="E1084" t="s">
        <v>2853</v>
      </c>
      <c r="F1084" t="s">
        <v>38</v>
      </c>
      <c r="G1084" t="s">
        <v>49</v>
      </c>
      <c r="H1084" t="s">
        <v>2854</v>
      </c>
      <c r="I1084" t="s">
        <v>139</v>
      </c>
      <c r="J1084" t="s">
        <v>42</v>
      </c>
      <c r="K1084" t="s">
        <v>643</v>
      </c>
      <c r="L1084" t="s">
        <v>98</v>
      </c>
      <c r="M1084" t="s">
        <v>65</v>
      </c>
      <c r="N1084" t="s">
        <v>107</v>
      </c>
      <c r="O1084" t="s">
        <v>108</v>
      </c>
      <c r="P1084" t="s">
        <v>35</v>
      </c>
      <c r="Q1084">
        <v>13</v>
      </c>
      <c r="R1084">
        <v>211.49</v>
      </c>
      <c r="S1084">
        <v>2749.37</v>
      </c>
      <c r="T1084">
        <v>12.84</v>
      </c>
      <c r="U1084">
        <v>2</v>
      </c>
      <c r="V1084">
        <v>5</v>
      </c>
      <c r="W1084">
        <v>91</v>
      </c>
      <c r="X1084" t="s">
        <v>3741</v>
      </c>
      <c r="Y1084" t="s">
        <v>36</v>
      </c>
      <c r="Z1084">
        <v>437.61</v>
      </c>
    </row>
    <row r="1085" spans="1:26" x14ac:dyDescent="0.25">
      <c r="A1085">
        <v>101083</v>
      </c>
      <c r="B1085" s="3">
        <v>45727</v>
      </c>
      <c r="C1085" s="3">
        <v>45729</v>
      </c>
      <c r="D1085" s="3">
        <v>45732</v>
      </c>
      <c r="E1085" t="s">
        <v>2855</v>
      </c>
      <c r="F1085" t="s">
        <v>54</v>
      </c>
      <c r="G1085" t="s">
        <v>158</v>
      </c>
      <c r="H1085" t="s">
        <v>2856</v>
      </c>
      <c r="I1085" t="s">
        <v>191</v>
      </c>
      <c r="J1085" t="s">
        <v>62</v>
      </c>
      <c r="K1085" t="s">
        <v>667</v>
      </c>
      <c r="L1085" t="s">
        <v>212</v>
      </c>
      <c r="M1085" t="s">
        <v>54</v>
      </c>
      <c r="N1085" t="s">
        <v>151</v>
      </c>
      <c r="O1085" t="s">
        <v>152</v>
      </c>
      <c r="P1085" t="s">
        <v>68</v>
      </c>
      <c r="Q1085">
        <v>354</v>
      </c>
      <c r="R1085">
        <v>36.78</v>
      </c>
      <c r="S1085">
        <v>13020.12</v>
      </c>
      <c r="T1085">
        <v>38.11</v>
      </c>
      <c r="U1085">
        <v>3</v>
      </c>
      <c r="V1085">
        <v>5</v>
      </c>
      <c r="W1085">
        <v>2204</v>
      </c>
      <c r="X1085" t="s">
        <v>3742</v>
      </c>
      <c r="Y1085" t="s">
        <v>57</v>
      </c>
      <c r="Z1085">
        <v>842.04</v>
      </c>
    </row>
    <row r="1086" spans="1:26" x14ac:dyDescent="0.25">
      <c r="A1086">
        <v>101084</v>
      </c>
      <c r="B1086" s="3">
        <v>45748</v>
      </c>
      <c r="C1086" s="3">
        <v>45751</v>
      </c>
      <c r="D1086" s="3">
        <v>45755</v>
      </c>
      <c r="E1086" t="s">
        <v>2857</v>
      </c>
      <c r="F1086" t="s">
        <v>65</v>
      </c>
      <c r="G1086" t="s">
        <v>70</v>
      </c>
      <c r="H1086" t="s">
        <v>2858</v>
      </c>
      <c r="I1086" t="s">
        <v>61</v>
      </c>
      <c r="J1086" t="s">
        <v>62</v>
      </c>
      <c r="K1086" t="s">
        <v>628</v>
      </c>
      <c r="L1086" t="s">
        <v>187</v>
      </c>
      <c r="M1086" t="s">
        <v>25</v>
      </c>
      <c r="N1086" t="s">
        <v>102</v>
      </c>
      <c r="O1086" t="s">
        <v>103</v>
      </c>
      <c r="P1086" t="s">
        <v>68</v>
      </c>
      <c r="Q1086">
        <v>301</v>
      </c>
      <c r="R1086">
        <v>18.940000000000001</v>
      </c>
      <c r="S1086">
        <v>5700.94</v>
      </c>
      <c r="T1086">
        <v>48.02</v>
      </c>
      <c r="U1086">
        <v>4</v>
      </c>
      <c r="V1086">
        <v>7</v>
      </c>
      <c r="W1086">
        <v>3617</v>
      </c>
      <c r="X1086" t="s">
        <v>3741</v>
      </c>
      <c r="Y1086" t="s">
        <v>36</v>
      </c>
      <c r="Z1086">
        <v>681.18</v>
      </c>
    </row>
    <row r="1087" spans="1:26" x14ac:dyDescent="0.25">
      <c r="A1087">
        <v>101085</v>
      </c>
      <c r="B1087" s="3">
        <v>46014</v>
      </c>
      <c r="C1087" s="3">
        <v>46015</v>
      </c>
      <c r="D1087" s="3">
        <v>46018</v>
      </c>
      <c r="E1087" t="s">
        <v>2859</v>
      </c>
      <c r="F1087" t="s">
        <v>25</v>
      </c>
      <c r="G1087" t="s">
        <v>59</v>
      </c>
      <c r="H1087" t="s">
        <v>2362</v>
      </c>
      <c r="I1087" t="s">
        <v>72</v>
      </c>
      <c r="J1087" t="s">
        <v>42</v>
      </c>
      <c r="K1087" t="s">
        <v>2819</v>
      </c>
      <c r="L1087" t="s">
        <v>113</v>
      </c>
      <c r="M1087" t="s">
        <v>38</v>
      </c>
      <c r="N1087" t="s">
        <v>107</v>
      </c>
      <c r="O1087" t="s">
        <v>108</v>
      </c>
      <c r="P1087" t="s">
        <v>68</v>
      </c>
      <c r="Q1087">
        <v>245</v>
      </c>
      <c r="R1087">
        <v>124.29</v>
      </c>
      <c r="S1087">
        <v>30451.05</v>
      </c>
      <c r="T1087">
        <v>44.39</v>
      </c>
      <c r="U1087">
        <v>3</v>
      </c>
      <c r="V1087">
        <v>4</v>
      </c>
      <c r="W1087">
        <v>272</v>
      </c>
      <c r="X1087" t="s">
        <v>3741</v>
      </c>
      <c r="Y1087" t="s">
        <v>36</v>
      </c>
      <c r="Z1087">
        <v>5438.53</v>
      </c>
    </row>
    <row r="1088" spans="1:26" x14ac:dyDescent="0.25">
      <c r="A1088">
        <v>101086</v>
      </c>
      <c r="B1088" s="3">
        <v>45845</v>
      </c>
      <c r="C1088" s="3">
        <v>45846</v>
      </c>
      <c r="D1088" s="3">
        <v>45853</v>
      </c>
      <c r="E1088" t="s">
        <v>2860</v>
      </c>
      <c r="F1088" t="s">
        <v>65</v>
      </c>
      <c r="G1088" t="s">
        <v>154</v>
      </c>
      <c r="H1088" t="s">
        <v>2861</v>
      </c>
      <c r="I1088" t="s">
        <v>79</v>
      </c>
      <c r="J1088" t="s">
        <v>80</v>
      </c>
      <c r="K1088" t="s">
        <v>753</v>
      </c>
      <c r="L1088" t="s">
        <v>122</v>
      </c>
      <c r="M1088" t="s">
        <v>32</v>
      </c>
      <c r="N1088" t="s">
        <v>102</v>
      </c>
      <c r="O1088" t="s">
        <v>103</v>
      </c>
      <c r="P1088" t="s">
        <v>123</v>
      </c>
      <c r="Q1088">
        <v>438</v>
      </c>
      <c r="R1088">
        <v>254.95</v>
      </c>
      <c r="S1088">
        <v>111668.1</v>
      </c>
      <c r="T1088">
        <v>21.34</v>
      </c>
      <c r="U1088">
        <v>7</v>
      </c>
      <c r="V1088">
        <v>8</v>
      </c>
      <c r="W1088">
        <v>1995</v>
      </c>
      <c r="X1088" t="s">
        <v>188</v>
      </c>
      <c r="Y1088" t="s">
        <v>36</v>
      </c>
      <c r="Z1088">
        <v>18472.68</v>
      </c>
    </row>
    <row r="1089" spans="1:26" x14ac:dyDescent="0.25">
      <c r="A1089">
        <v>101087</v>
      </c>
      <c r="B1089" s="3">
        <v>45437</v>
      </c>
      <c r="C1089" s="3">
        <v>45439</v>
      </c>
      <c r="D1089" s="3">
        <v>45445</v>
      </c>
      <c r="E1089" t="s">
        <v>2862</v>
      </c>
      <c r="F1089" t="s">
        <v>54</v>
      </c>
      <c r="G1089" t="s">
        <v>129</v>
      </c>
      <c r="H1089" t="s">
        <v>2863</v>
      </c>
      <c r="I1089" t="s">
        <v>238</v>
      </c>
      <c r="J1089" t="s">
        <v>62</v>
      </c>
      <c r="K1089" t="s">
        <v>1332</v>
      </c>
      <c r="L1089" t="s">
        <v>44</v>
      </c>
      <c r="M1089" t="s">
        <v>38</v>
      </c>
      <c r="N1089" t="s">
        <v>55</v>
      </c>
      <c r="O1089" t="s">
        <v>56</v>
      </c>
      <c r="P1089" t="s">
        <v>123</v>
      </c>
      <c r="Q1089">
        <v>380</v>
      </c>
      <c r="R1089">
        <v>37.35</v>
      </c>
      <c r="S1089">
        <v>14193</v>
      </c>
      <c r="T1089">
        <v>19.93</v>
      </c>
      <c r="U1089">
        <v>6</v>
      </c>
      <c r="V1089">
        <v>8</v>
      </c>
      <c r="W1089">
        <v>4562</v>
      </c>
      <c r="X1089" t="s">
        <v>188</v>
      </c>
      <c r="Y1089" t="s">
        <v>36</v>
      </c>
      <c r="Z1089">
        <v>1512.35</v>
      </c>
    </row>
    <row r="1090" spans="1:26" x14ac:dyDescent="0.25">
      <c r="A1090">
        <v>101088</v>
      </c>
      <c r="B1090" s="3">
        <v>45992</v>
      </c>
      <c r="C1090" s="3">
        <v>45994</v>
      </c>
      <c r="D1090" s="3">
        <v>45998</v>
      </c>
      <c r="E1090" t="s">
        <v>2864</v>
      </c>
      <c r="F1090" t="s">
        <v>54</v>
      </c>
      <c r="G1090" t="s">
        <v>193</v>
      </c>
      <c r="H1090" t="s">
        <v>2865</v>
      </c>
      <c r="I1090" t="s">
        <v>207</v>
      </c>
      <c r="J1090" t="s">
        <v>80</v>
      </c>
      <c r="K1090" t="s">
        <v>434</v>
      </c>
      <c r="L1090" t="s">
        <v>118</v>
      </c>
      <c r="M1090" t="s">
        <v>25</v>
      </c>
      <c r="N1090" t="s">
        <v>92</v>
      </c>
      <c r="O1090" t="s">
        <v>93</v>
      </c>
      <c r="P1090" t="s">
        <v>123</v>
      </c>
      <c r="Q1090">
        <v>171</v>
      </c>
      <c r="R1090">
        <v>69.23</v>
      </c>
      <c r="S1090">
        <v>11838.33</v>
      </c>
      <c r="T1090">
        <v>14.85</v>
      </c>
      <c r="U1090">
        <v>4</v>
      </c>
      <c r="V1090">
        <v>6</v>
      </c>
      <c r="W1090">
        <v>1461</v>
      </c>
      <c r="X1090" t="s">
        <v>3741</v>
      </c>
      <c r="Y1090" t="s">
        <v>36</v>
      </c>
      <c r="Z1090">
        <v>1963.28</v>
      </c>
    </row>
    <row r="1091" spans="1:26" x14ac:dyDescent="0.25">
      <c r="A1091">
        <v>101089</v>
      </c>
      <c r="B1091" s="3">
        <v>45696</v>
      </c>
      <c r="C1091" s="3">
        <v>45700</v>
      </c>
      <c r="D1091" s="3">
        <v>45702</v>
      </c>
      <c r="E1091" t="s">
        <v>2866</v>
      </c>
      <c r="F1091" t="s">
        <v>25</v>
      </c>
      <c r="G1091" t="s">
        <v>59</v>
      </c>
      <c r="H1091" t="s">
        <v>2867</v>
      </c>
      <c r="I1091" t="s">
        <v>89</v>
      </c>
      <c r="J1091" t="s">
        <v>62</v>
      </c>
      <c r="K1091" t="s">
        <v>1429</v>
      </c>
      <c r="L1091" t="s">
        <v>212</v>
      </c>
      <c r="M1091" t="s">
        <v>65</v>
      </c>
      <c r="N1091" t="s">
        <v>102</v>
      </c>
      <c r="O1091" t="s">
        <v>103</v>
      </c>
      <c r="P1091" t="s">
        <v>68</v>
      </c>
      <c r="Q1091">
        <v>143</v>
      </c>
      <c r="R1091">
        <v>28.46</v>
      </c>
      <c r="S1091">
        <v>4069.78</v>
      </c>
      <c r="T1091">
        <v>37.78</v>
      </c>
      <c r="U1091">
        <v>2</v>
      </c>
      <c r="V1091">
        <v>6</v>
      </c>
      <c r="W1091">
        <v>4161</v>
      </c>
      <c r="X1091" t="s">
        <v>3741</v>
      </c>
      <c r="Y1091" t="s">
        <v>36</v>
      </c>
      <c r="Z1091">
        <v>257.2</v>
      </c>
    </row>
    <row r="1092" spans="1:26" x14ac:dyDescent="0.25">
      <c r="A1092">
        <v>101090</v>
      </c>
      <c r="B1092" s="3">
        <v>45671</v>
      </c>
      <c r="C1092" s="3">
        <v>45674</v>
      </c>
      <c r="D1092" s="3">
        <v>45678</v>
      </c>
      <c r="E1092" t="s">
        <v>2868</v>
      </c>
      <c r="F1092" t="s">
        <v>38</v>
      </c>
      <c r="G1092" t="s">
        <v>217</v>
      </c>
      <c r="H1092" t="s">
        <v>2869</v>
      </c>
      <c r="I1092" t="s">
        <v>116</v>
      </c>
      <c r="J1092" t="s">
        <v>62</v>
      </c>
      <c r="K1092" t="s">
        <v>275</v>
      </c>
      <c r="L1092" t="s">
        <v>118</v>
      </c>
      <c r="M1092" t="s">
        <v>38</v>
      </c>
      <c r="N1092" t="s">
        <v>151</v>
      </c>
      <c r="O1092" t="s">
        <v>152</v>
      </c>
      <c r="P1092" t="s">
        <v>35</v>
      </c>
      <c r="Q1092">
        <v>18</v>
      </c>
      <c r="R1092">
        <v>37.5</v>
      </c>
      <c r="S1092">
        <v>675</v>
      </c>
      <c r="T1092">
        <v>9.6199999999999992</v>
      </c>
      <c r="U1092">
        <v>4</v>
      </c>
      <c r="V1092">
        <v>7</v>
      </c>
      <c r="W1092">
        <v>4980</v>
      </c>
      <c r="X1092" t="s">
        <v>3741</v>
      </c>
      <c r="Y1092" t="s">
        <v>36</v>
      </c>
      <c r="Z1092">
        <v>58.37</v>
      </c>
    </row>
    <row r="1093" spans="1:26" x14ac:dyDescent="0.25">
      <c r="A1093">
        <v>101091</v>
      </c>
      <c r="B1093" s="3">
        <v>45819</v>
      </c>
      <c r="C1093" s="3">
        <v>45821</v>
      </c>
      <c r="D1093" s="3">
        <v>45840</v>
      </c>
      <c r="E1093" t="s">
        <v>2870</v>
      </c>
      <c r="F1093" t="s">
        <v>54</v>
      </c>
      <c r="G1093" t="s">
        <v>225</v>
      </c>
      <c r="H1093" t="s">
        <v>2871</v>
      </c>
      <c r="I1093" t="s">
        <v>41</v>
      </c>
      <c r="J1093" t="s">
        <v>42</v>
      </c>
      <c r="K1093" t="s">
        <v>199</v>
      </c>
      <c r="L1093" t="s">
        <v>118</v>
      </c>
      <c r="M1093" t="s">
        <v>32</v>
      </c>
      <c r="N1093" t="s">
        <v>151</v>
      </c>
      <c r="O1093" t="s">
        <v>152</v>
      </c>
      <c r="P1093" t="s">
        <v>76</v>
      </c>
      <c r="Q1093">
        <v>59</v>
      </c>
      <c r="R1093">
        <v>245.77</v>
      </c>
      <c r="S1093">
        <v>14500.43</v>
      </c>
      <c r="T1093">
        <v>9.09</v>
      </c>
      <c r="U1093">
        <v>19</v>
      </c>
      <c r="V1093">
        <v>21</v>
      </c>
      <c r="W1093">
        <v>780</v>
      </c>
      <c r="X1093" t="s">
        <v>188</v>
      </c>
      <c r="Y1093" t="s">
        <v>36</v>
      </c>
      <c r="Z1093">
        <v>1472.18</v>
      </c>
    </row>
    <row r="1094" spans="1:26" x14ac:dyDescent="0.25">
      <c r="A1094">
        <v>101092</v>
      </c>
      <c r="B1094" s="3">
        <v>45493</v>
      </c>
      <c r="C1094" s="3">
        <v>45497</v>
      </c>
      <c r="D1094" s="3">
        <v>45499</v>
      </c>
      <c r="E1094" t="s">
        <v>2872</v>
      </c>
      <c r="F1094" t="s">
        <v>32</v>
      </c>
      <c r="G1094" t="s">
        <v>273</v>
      </c>
      <c r="H1094" t="s">
        <v>2873</v>
      </c>
      <c r="I1094" t="s">
        <v>51</v>
      </c>
      <c r="J1094" t="s">
        <v>52</v>
      </c>
      <c r="K1094" t="s">
        <v>2874</v>
      </c>
      <c r="L1094" t="s">
        <v>44</v>
      </c>
      <c r="M1094" t="s">
        <v>38</v>
      </c>
      <c r="N1094" t="s">
        <v>55</v>
      </c>
      <c r="O1094" t="s">
        <v>56</v>
      </c>
      <c r="P1094" t="s">
        <v>68</v>
      </c>
      <c r="Q1094">
        <v>378</v>
      </c>
      <c r="R1094">
        <v>51.06</v>
      </c>
      <c r="S1094">
        <v>19300.68</v>
      </c>
      <c r="T1094">
        <v>53.01</v>
      </c>
      <c r="U1094">
        <v>2</v>
      </c>
      <c r="V1094">
        <v>6</v>
      </c>
      <c r="W1094">
        <v>403</v>
      </c>
      <c r="X1094" t="s">
        <v>3741</v>
      </c>
      <c r="Y1094" t="s">
        <v>36</v>
      </c>
      <c r="Z1094">
        <v>1510.5</v>
      </c>
    </row>
    <row r="1095" spans="1:26" x14ac:dyDescent="0.25">
      <c r="A1095">
        <v>101093</v>
      </c>
      <c r="B1095" s="3">
        <v>45531</v>
      </c>
      <c r="C1095" s="3">
        <v>45531</v>
      </c>
      <c r="D1095" s="3">
        <v>45532</v>
      </c>
      <c r="E1095" t="s">
        <v>2875</v>
      </c>
      <c r="F1095" t="s">
        <v>54</v>
      </c>
      <c r="G1095" t="s">
        <v>225</v>
      </c>
      <c r="H1095" t="s">
        <v>2876</v>
      </c>
      <c r="I1095" t="s">
        <v>72</v>
      </c>
      <c r="J1095" t="s">
        <v>42</v>
      </c>
      <c r="K1095" t="s">
        <v>1829</v>
      </c>
      <c r="L1095" t="s">
        <v>187</v>
      </c>
      <c r="M1095" t="s">
        <v>65</v>
      </c>
      <c r="N1095" t="s">
        <v>203</v>
      </c>
      <c r="O1095" t="s">
        <v>204</v>
      </c>
      <c r="P1095" t="s">
        <v>68</v>
      </c>
      <c r="Q1095">
        <v>453</v>
      </c>
      <c r="R1095">
        <v>187.63</v>
      </c>
      <c r="S1095">
        <v>84996.39</v>
      </c>
      <c r="T1095">
        <v>57.87</v>
      </c>
      <c r="U1095">
        <v>1</v>
      </c>
      <c r="V1095">
        <v>1</v>
      </c>
      <c r="W1095">
        <v>393</v>
      </c>
      <c r="X1095" t="s">
        <v>3741</v>
      </c>
      <c r="Y1095" t="s">
        <v>36</v>
      </c>
      <c r="Z1095">
        <v>10635.36</v>
      </c>
    </row>
    <row r="1096" spans="1:26" x14ac:dyDescent="0.25">
      <c r="A1096">
        <v>101094</v>
      </c>
      <c r="B1096" s="3">
        <v>45396</v>
      </c>
      <c r="C1096" s="3">
        <v>45398</v>
      </c>
      <c r="D1096" s="3">
        <v>45409</v>
      </c>
      <c r="E1096" t="s">
        <v>2877</v>
      </c>
      <c r="F1096" t="s">
        <v>54</v>
      </c>
      <c r="G1096" t="s">
        <v>158</v>
      </c>
      <c r="H1096" t="s">
        <v>2878</v>
      </c>
      <c r="I1096" t="s">
        <v>134</v>
      </c>
      <c r="J1096" t="s">
        <v>52</v>
      </c>
      <c r="K1096" t="s">
        <v>2879</v>
      </c>
      <c r="L1096" t="s">
        <v>91</v>
      </c>
      <c r="M1096" t="s">
        <v>65</v>
      </c>
      <c r="N1096" t="s">
        <v>33</v>
      </c>
      <c r="O1096" t="s">
        <v>34</v>
      </c>
      <c r="P1096" t="s">
        <v>76</v>
      </c>
      <c r="Q1096">
        <v>428</v>
      </c>
      <c r="R1096">
        <v>14.84</v>
      </c>
      <c r="S1096">
        <v>6351.52</v>
      </c>
      <c r="T1096">
        <v>15.82</v>
      </c>
      <c r="U1096">
        <v>11</v>
      </c>
      <c r="V1096">
        <v>13</v>
      </c>
      <c r="W1096">
        <v>2146</v>
      </c>
      <c r="X1096" t="s">
        <v>188</v>
      </c>
      <c r="Y1096" t="s">
        <v>36</v>
      </c>
      <c r="Z1096">
        <v>831.68</v>
      </c>
    </row>
    <row r="1097" spans="1:26" x14ac:dyDescent="0.25">
      <c r="A1097">
        <v>101095</v>
      </c>
      <c r="B1097" s="3">
        <v>45948</v>
      </c>
      <c r="C1097" s="3">
        <v>45953</v>
      </c>
      <c r="D1097" s="3">
        <v>45969</v>
      </c>
      <c r="E1097" t="s">
        <v>2880</v>
      </c>
      <c r="F1097" t="s">
        <v>25</v>
      </c>
      <c r="G1097" t="s">
        <v>221</v>
      </c>
      <c r="H1097" t="s">
        <v>2881</v>
      </c>
      <c r="I1097" t="s">
        <v>238</v>
      </c>
      <c r="J1097" t="s">
        <v>62</v>
      </c>
      <c r="K1097" t="s">
        <v>988</v>
      </c>
      <c r="L1097" t="s">
        <v>122</v>
      </c>
      <c r="M1097" t="s">
        <v>32</v>
      </c>
      <c r="N1097" t="s">
        <v>107</v>
      </c>
      <c r="O1097" t="s">
        <v>108</v>
      </c>
      <c r="P1097" t="s">
        <v>35</v>
      </c>
      <c r="Q1097">
        <v>226</v>
      </c>
      <c r="R1097">
        <v>11.17</v>
      </c>
      <c r="S1097">
        <v>2524.42</v>
      </c>
      <c r="T1097">
        <v>18.88</v>
      </c>
      <c r="U1097">
        <v>16</v>
      </c>
      <c r="V1097">
        <v>21</v>
      </c>
      <c r="W1097">
        <v>2672</v>
      </c>
      <c r="X1097" t="s">
        <v>3742</v>
      </c>
      <c r="Y1097" t="s">
        <v>188</v>
      </c>
      <c r="Z1097">
        <v>382.03</v>
      </c>
    </row>
    <row r="1098" spans="1:26" x14ac:dyDescent="0.25">
      <c r="A1098">
        <v>101096</v>
      </c>
      <c r="B1098" s="3">
        <v>45925</v>
      </c>
      <c r="C1098" s="3">
        <v>45929</v>
      </c>
      <c r="D1098" s="3">
        <v>45938</v>
      </c>
      <c r="E1098" t="s">
        <v>2882</v>
      </c>
      <c r="F1098" t="s">
        <v>32</v>
      </c>
      <c r="G1098" t="s">
        <v>95</v>
      </c>
      <c r="H1098" t="s">
        <v>2883</v>
      </c>
      <c r="I1098" t="s">
        <v>230</v>
      </c>
      <c r="J1098" t="s">
        <v>80</v>
      </c>
      <c r="K1098" t="s">
        <v>223</v>
      </c>
      <c r="L1098" t="s">
        <v>187</v>
      </c>
      <c r="M1098" t="s">
        <v>38</v>
      </c>
      <c r="N1098" t="s">
        <v>74</v>
      </c>
      <c r="O1098" t="s">
        <v>75</v>
      </c>
      <c r="P1098" t="s">
        <v>35</v>
      </c>
      <c r="Q1098">
        <v>230</v>
      </c>
      <c r="R1098">
        <v>208.3</v>
      </c>
      <c r="S1098">
        <v>47909</v>
      </c>
      <c r="T1098">
        <v>18.989999999999998</v>
      </c>
      <c r="U1098">
        <v>9</v>
      </c>
      <c r="V1098">
        <v>13</v>
      </c>
      <c r="W1098">
        <v>1297</v>
      </c>
      <c r="X1098" t="s">
        <v>188</v>
      </c>
      <c r="Y1098" t="s">
        <v>36</v>
      </c>
      <c r="Z1098">
        <v>10541.15</v>
      </c>
    </row>
    <row r="1099" spans="1:26" x14ac:dyDescent="0.25">
      <c r="A1099">
        <v>101097</v>
      </c>
      <c r="B1099" s="3">
        <v>45948</v>
      </c>
      <c r="C1099" s="3">
        <v>45949</v>
      </c>
      <c r="D1099" s="3">
        <v>45969</v>
      </c>
      <c r="E1099" t="s">
        <v>2884</v>
      </c>
      <c r="F1099" t="s">
        <v>25</v>
      </c>
      <c r="G1099" t="s">
        <v>26</v>
      </c>
      <c r="H1099" t="s">
        <v>2885</v>
      </c>
      <c r="I1099" t="s">
        <v>139</v>
      </c>
      <c r="J1099" t="s">
        <v>42</v>
      </c>
      <c r="K1099" t="s">
        <v>2874</v>
      </c>
      <c r="L1099" t="s">
        <v>91</v>
      </c>
      <c r="M1099" t="s">
        <v>25</v>
      </c>
      <c r="N1099" t="s">
        <v>74</v>
      </c>
      <c r="O1099" t="s">
        <v>75</v>
      </c>
      <c r="P1099" t="s">
        <v>76</v>
      </c>
      <c r="Q1099">
        <v>31</v>
      </c>
      <c r="R1099">
        <v>206.7</v>
      </c>
      <c r="S1099">
        <v>6407.7</v>
      </c>
      <c r="T1099">
        <v>6.36</v>
      </c>
      <c r="U1099">
        <v>20</v>
      </c>
      <c r="V1099">
        <v>21</v>
      </c>
      <c r="W1099">
        <v>924</v>
      </c>
      <c r="X1099" t="s">
        <v>188</v>
      </c>
      <c r="Y1099" t="s">
        <v>36</v>
      </c>
      <c r="Z1099">
        <v>1163.47</v>
      </c>
    </row>
    <row r="1100" spans="1:26" x14ac:dyDescent="0.25">
      <c r="A1100">
        <v>101098</v>
      </c>
      <c r="B1100" s="3">
        <v>46016</v>
      </c>
      <c r="C1100" s="3">
        <v>46017</v>
      </c>
      <c r="D1100" s="3">
        <v>46032</v>
      </c>
      <c r="E1100" t="s">
        <v>2886</v>
      </c>
      <c r="F1100" t="s">
        <v>54</v>
      </c>
      <c r="G1100" t="s">
        <v>165</v>
      </c>
      <c r="H1100" t="s">
        <v>2887</v>
      </c>
      <c r="I1100" t="s">
        <v>177</v>
      </c>
      <c r="J1100" t="s">
        <v>29</v>
      </c>
      <c r="K1100" t="s">
        <v>1963</v>
      </c>
      <c r="L1100" t="s">
        <v>44</v>
      </c>
      <c r="M1100" t="s">
        <v>25</v>
      </c>
      <c r="N1100" t="s">
        <v>45</v>
      </c>
      <c r="O1100" t="s">
        <v>46</v>
      </c>
      <c r="P1100" t="s">
        <v>76</v>
      </c>
      <c r="Q1100">
        <v>266</v>
      </c>
      <c r="R1100">
        <v>97.89</v>
      </c>
      <c r="S1100">
        <v>26038.74</v>
      </c>
      <c r="T1100">
        <v>12.87</v>
      </c>
      <c r="U1100">
        <v>15</v>
      </c>
      <c r="V1100">
        <v>16</v>
      </c>
      <c r="W1100">
        <v>200</v>
      </c>
      <c r="X1100" t="s">
        <v>188</v>
      </c>
      <c r="Y1100" t="s">
        <v>36</v>
      </c>
      <c r="Z1100">
        <v>6189.94</v>
      </c>
    </row>
    <row r="1101" spans="1:26" x14ac:dyDescent="0.25">
      <c r="A1101">
        <v>101099</v>
      </c>
      <c r="B1101" s="3">
        <v>45656</v>
      </c>
      <c r="C1101" s="3">
        <v>45656</v>
      </c>
      <c r="D1101" s="3">
        <v>45671</v>
      </c>
      <c r="E1101" t="s">
        <v>2888</v>
      </c>
      <c r="F1101" t="s">
        <v>38</v>
      </c>
      <c r="G1101" t="s">
        <v>147</v>
      </c>
      <c r="H1101" t="s">
        <v>2889</v>
      </c>
      <c r="I1101" t="s">
        <v>61</v>
      </c>
      <c r="J1101" t="s">
        <v>62</v>
      </c>
      <c r="K1101" t="s">
        <v>2555</v>
      </c>
      <c r="L1101" t="s">
        <v>118</v>
      </c>
      <c r="M1101" t="s">
        <v>38</v>
      </c>
      <c r="N1101" t="s">
        <v>203</v>
      </c>
      <c r="O1101" t="s">
        <v>204</v>
      </c>
      <c r="P1101" t="s">
        <v>76</v>
      </c>
      <c r="Q1101">
        <v>138</v>
      </c>
      <c r="R1101">
        <v>17.399999999999999</v>
      </c>
      <c r="S1101">
        <v>2401.1999999999998</v>
      </c>
      <c r="T1101">
        <v>7.8</v>
      </c>
      <c r="U1101">
        <v>15</v>
      </c>
      <c r="V1101">
        <v>15</v>
      </c>
      <c r="W1101">
        <v>1695</v>
      </c>
      <c r="X1101" t="s">
        <v>188</v>
      </c>
      <c r="Y1101" t="s">
        <v>36</v>
      </c>
      <c r="Z1101">
        <v>130.38</v>
      </c>
    </row>
    <row r="1102" spans="1:26" x14ac:dyDescent="0.25">
      <c r="A1102">
        <v>101100</v>
      </c>
      <c r="B1102" s="3">
        <v>45904</v>
      </c>
      <c r="C1102" s="3">
        <v>45905</v>
      </c>
      <c r="D1102" s="3">
        <v>45914</v>
      </c>
      <c r="E1102" t="s">
        <v>2890</v>
      </c>
      <c r="F1102" t="s">
        <v>65</v>
      </c>
      <c r="G1102" t="s">
        <v>70</v>
      </c>
      <c r="H1102" t="s">
        <v>2891</v>
      </c>
      <c r="I1102" t="s">
        <v>177</v>
      </c>
      <c r="J1102" t="s">
        <v>29</v>
      </c>
      <c r="K1102" t="s">
        <v>2892</v>
      </c>
      <c r="L1102" t="s">
        <v>118</v>
      </c>
      <c r="M1102" t="s">
        <v>54</v>
      </c>
      <c r="N1102" t="s">
        <v>33</v>
      </c>
      <c r="O1102" t="s">
        <v>34</v>
      </c>
      <c r="P1102" t="s">
        <v>35</v>
      </c>
      <c r="Q1102">
        <v>132</v>
      </c>
      <c r="R1102">
        <v>62.94</v>
      </c>
      <c r="S1102">
        <v>8308.08</v>
      </c>
      <c r="T1102">
        <v>16.22</v>
      </c>
      <c r="U1102">
        <v>9</v>
      </c>
      <c r="V1102">
        <v>10</v>
      </c>
      <c r="W1102">
        <v>1787</v>
      </c>
      <c r="X1102" t="s">
        <v>188</v>
      </c>
      <c r="Y1102" t="s">
        <v>36</v>
      </c>
      <c r="Z1102">
        <v>981.72</v>
      </c>
    </row>
    <row r="1103" spans="1:26" x14ac:dyDescent="0.25">
      <c r="A1103">
        <v>101101</v>
      </c>
      <c r="B1103" s="3">
        <v>45992</v>
      </c>
      <c r="C1103" s="3">
        <v>45996</v>
      </c>
      <c r="D1103" s="3">
        <v>46008</v>
      </c>
      <c r="E1103" t="s">
        <v>2893</v>
      </c>
      <c r="F1103" t="s">
        <v>25</v>
      </c>
      <c r="G1103" t="s">
        <v>233</v>
      </c>
      <c r="H1103" t="s">
        <v>2894</v>
      </c>
      <c r="I1103" t="s">
        <v>89</v>
      </c>
      <c r="J1103" t="s">
        <v>62</v>
      </c>
      <c r="K1103" t="s">
        <v>792</v>
      </c>
      <c r="L1103" t="s">
        <v>98</v>
      </c>
      <c r="M1103" t="s">
        <v>38</v>
      </c>
      <c r="N1103" t="s">
        <v>55</v>
      </c>
      <c r="O1103" t="s">
        <v>56</v>
      </c>
      <c r="P1103" t="s">
        <v>123</v>
      </c>
      <c r="Q1103">
        <v>58</v>
      </c>
      <c r="R1103">
        <v>14.01</v>
      </c>
      <c r="S1103">
        <v>812.58</v>
      </c>
      <c r="T1103">
        <v>12.1</v>
      </c>
      <c r="U1103">
        <v>12</v>
      </c>
      <c r="V1103">
        <v>16</v>
      </c>
      <c r="W1103">
        <v>3765</v>
      </c>
      <c r="X1103" t="s">
        <v>3742</v>
      </c>
      <c r="Y1103" t="s">
        <v>188</v>
      </c>
      <c r="Z1103">
        <v>86.74</v>
      </c>
    </row>
    <row r="1104" spans="1:26" x14ac:dyDescent="0.25">
      <c r="A1104">
        <v>101102</v>
      </c>
      <c r="B1104" s="3">
        <v>46015</v>
      </c>
      <c r="C1104" s="3">
        <v>46018</v>
      </c>
      <c r="D1104" s="3">
        <v>46028</v>
      </c>
      <c r="E1104" t="s">
        <v>2895</v>
      </c>
      <c r="F1104" t="s">
        <v>32</v>
      </c>
      <c r="G1104" t="s">
        <v>180</v>
      </c>
      <c r="H1104" t="s">
        <v>2896</v>
      </c>
      <c r="I1104" t="s">
        <v>85</v>
      </c>
      <c r="J1104" t="s">
        <v>52</v>
      </c>
      <c r="K1104" t="s">
        <v>756</v>
      </c>
      <c r="L1104" t="s">
        <v>98</v>
      </c>
      <c r="M1104" t="s">
        <v>38</v>
      </c>
      <c r="N1104" t="s">
        <v>203</v>
      </c>
      <c r="O1104" t="s">
        <v>204</v>
      </c>
      <c r="P1104" t="s">
        <v>35</v>
      </c>
      <c r="Q1104">
        <v>315</v>
      </c>
      <c r="R1104">
        <v>73.040000000000006</v>
      </c>
      <c r="S1104">
        <v>23007.599999999999</v>
      </c>
      <c r="T1104">
        <v>21.4</v>
      </c>
      <c r="U1104">
        <v>10</v>
      </c>
      <c r="V1104">
        <v>13</v>
      </c>
      <c r="W1104">
        <v>1158</v>
      </c>
      <c r="X1104" t="s">
        <v>188</v>
      </c>
      <c r="Y1104" t="s">
        <v>36</v>
      </c>
      <c r="Z1104">
        <v>1822.58</v>
      </c>
    </row>
    <row r="1105" spans="1:26" x14ac:dyDescent="0.25">
      <c r="A1105">
        <v>101103</v>
      </c>
      <c r="B1105" s="3">
        <v>45847</v>
      </c>
      <c r="C1105" s="3">
        <v>45850</v>
      </c>
      <c r="D1105" s="3">
        <v>45856</v>
      </c>
      <c r="E1105" t="s">
        <v>2897</v>
      </c>
      <c r="F1105" t="s">
        <v>25</v>
      </c>
      <c r="G1105" t="s">
        <v>59</v>
      </c>
      <c r="H1105" t="s">
        <v>2898</v>
      </c>
      <c r="I1105" t="s">
        <v>85</v>
      </c>
      <c r="J1105" t="s">
        <v>52</v>
      </c>
      <c r="K1105" t="s">
        <v>2899</v>
      </c>
      <c r="L1105" t="s">
        <v>122</v>
      </c>
      <c r="M1105" t="s">
        <v>65</v>
      </c>
      <c r="N1105" t="s">
        <v>102</v>
      </c>
      <c r="O1105" t="s">
        <v>103</v>
      </c>
      <c r="P1105" t="s">
        <v>123</v>
      </c>
      <c r="Q1105">
        <v>69</v>
      </c>
      <c r="R1105">
        <v>50.88</v>
      </c>
      <c r="S1105">
        <v>3510.72</v>
      </c>
      <c r="T1105">
        <v>12.37</v>
      </c>
      <c r="U1105">
        <v>6</v>
      </c>
      <c r="V1105">
        <v>9</v>
      </c>
      <c r="W1105">
        <v>3320</v>
      </c>
      <c r="X1105" t="s">
        <v>188</v>
      </c>
      <c r="Y1105" t="s">
        <v>36</v>
      </c>
      <c r="Z1105">
        <v>301.67</v>
      </c>
    </row>
    <row r="1106" spans="1:26" x14ac:dyDescent="0.25">
      <c r="A1106">
        <v>101104</v>
      </c>
      <c r="B1106" s="3">
        <v>45404</v>
      </c>
      <c r="C1106" s="3">
        <v>45408</v>
      </c>
      <c r="D1106" s="3">
        <v>45418</v>
      </c>
      <c r="E1106" t="s">
        <v>2900</v>
      </c>
      <c r="F1106" t="s">
        <v>32</v>
      </c>
      <c r="G1106" t="s">
        <v>110</v>
      </c>
      <c r="H1106" t="s">
        <v>2901</v>
      </c>
      <c r="I1106" t="s">
        <v>79</v>
      </c>
      <c r="J1106" t="s">
        <v>80</v>
      </c>
      <c r="K1106" t="s">
        <v>2902</v>
      </c>
      <c r="L1106" t="s">
        <v>113</v>
      </c>
      <c r="M1106" t="s">
        <v>25</v>
      </c>
      <c r="N1106" t="s">
        <v>151</v>
      </c>
      <c r="O1106" t="s">
        <v>152</v>
      </c>
      <c r="P1106" t="s">
        <v>76</v>
      </c>
      <c r="Q1106">
        <v>313</v>
      </c>
      <c r="R1106">
        <v>192.49</v>
      </c>
      <c r="S1106">
        <v>60249.37</v>
      </c>
      <c r="T1106">
        <v>13.72</v>
      </c>
      <c r="U1106">
        <v>10</v>
      </c>
      <c r="V1106">
        <v>14</v>
      </c>
      <c r="W1106">
        <v>1592</v>
      </c>
      <c r="X1106" t="s">
        <v>188</v>
      </c>
      <c r="Y1106" t="s">
        <v>36</v>
      </c>
      <c r="Z1106">
        <v>10438.01</v>
      </c>
    </row>
    <row r="1107" spans="1:26" x14ac:dyDescent="0.25">
      <c r="A1107">
        <v>101105</v>
      </c>
      <c r="B1107" s="3">
        <v>45490</v>
      </c>
      <c r="C1107" s="3">
        <v>45492</v>
      </c>
      <c r="D1107" s="3">
        <v>45506</v>
      </c>
      <c r="E1107" t="s">
        <v>2903</v>
      </c>
      <c r="F1107" t="s">
        <v>38</v>
      </c>
      <c r="G1107" t="s">
        <v>83</v>
      </c>
      <c r="H1107" t="s">
        <v>2904</v>
      </c>
      <c r="I1107" t="s">
        <v>89</v>
      </c>
      <c r="J1107" t="s">
        <v>62</v>
      </c>
      <c r="K1107" t="s">
        <v>398</v>
      </c>
      <c r="L1107" t="s">
        <v>187</v>
      </c>
      <c r="M1107" t="s">
        <v>54</v>
      </c>
      <c r="N1107" t="s">
        <v>107</v>
      </c>
      <c r="O1107" t="s">
        <v>108</v>
      </c>
      <c r="P1107" t="s">
        <v>123</v>
      </c>
      <c r="Q1107">
        <v>129</v>
      </c>
      <c r="R1107">
        <v>48.77</v>
      </c>
      <c r="S1107">
        <v>6291.33</v>
      </c>
      <c r="T1107">
        <v>13.83</v>
      </c>
      <c r="U1107">
        <v>14</v>
      </c>
      <c r="V1107">
        <v>16</v>
      </c>
      <c r="W1107">
        <v>1861</v>
      </c>
      <c r="X1107" t="s">
        <v>188</v>
      </c>
      <c r="Y1107" t="s">
        <v>36</v>
      </c>
      <c r="Z1107">
        <v>937.85</v>
      </c>
    </row>
    <row r="1108" spans="1:26" x14ac:dyDescent="0.25">
      <c r="A1108">
        <v>101106</v>
      </c>
      <c r="B1108" s="3">
        <v>45824</v>
      </c>
      <c r="C1108" s="3">
        <v>45826</v>
      </c>
      <c r="D1108" s="3">
        <v>45829</v>
      </c>
      <c r="E1108" t="s">
        <v>2905</v>
      </c>
      <c r="F1108" t="s">
        <v>54</v>
      </c>
      <c r="G1108" t="s">
        <v>165</v>
      </c>
      <c r="H1108" t="s">
        <v>2906</v>
      </c>
      <c r="I1108" t="s">
        <v>116</v>
      </c>
      <c r="J1108" t="s">
        <v>62</v>
      </c>
      <c r="K1108" t="s">
        <v>599</v>
      </c>
      <c r="L1108" t="s">
        <v>118</v>
      </c>
      <c r="M1108" t="s">
        <v>65</v>
      </c>
      <c r="N1108" t="s">
        <v>151</v>
      </c>
      <c r="O1108" t="s">
        <v>152</v>
      </c>
      <c r="P1108" t="s">
        <v>68</v>
      </c>
      <c r="Q1108">
        <v>309</v>
      </c>
      <c r="R1108">
        <v>28.71</v>
      </c>
      <c r="S1108">
        <v>8871.39</v>
      </c>
      <c r="T1108">
        <v>48.54</v>
      </c>
      <c r="U1108">
        <v>3</v>
      </c>
      <c r="V1108">
        <v>5</v>
      </c>
      <c r="W1108">
        <v>2208</v>
      </c>
      <c r="X1108" t="s">
        <v>3741</v>
      </c>
      <c r="Y1108" t="s">
        <v>36</v>
      </c>
      <c r="Z1108">
        <v>1025.31</v>
      </c>
    </row>
    <row r="1109" spans="1:26" x14ac:dyDescent="0.25">
      <c r="A1109">
        <v>101107</v>
      </c>
      <c r="B1109" s="3">
        <v>45807</v>
      </c>
      <c r="C1109" s="3">
        <v>45808</v>
      </c>
      <c r="D1109" s="3">
        <v>45831</v>
      </c>
      <c r="E1109" t="s">
        <v>2907</v>
      </c>
      <c r="F1109" t="s">
        <v>38</v>
      </c>
      <c r="G1109" t="s">
        <v>147</v>
      </c>
      <c r="H1109" t="s">
        <v>2908</v>
      </c>
      <c r="I1109" t="s">
        <v>139</v>
      </c>
      <c r="J1109" t="s">
        <v>42</v>
      </c>
      <c r="K1109" t="s">
        <v>1237</v>
      </c>
      <c r="L1109" t="s">
        <v>44</v>
      </c>
      <c r="M1109" t="s">
        <v>54</v>
      </c>
      <c r="N1109" t="s">
        <v>33</v>
      </c>
      <c r="O1109" t="s">
        <v>34</v>
      </c>
      <c r="P1109" t="s">
        <v>76</v>
      </c>
      <c r="Q1109">
        <v>282</v>
      </c>
      <c r="R1109">
        <v>92.74</v>
      </c>
      <c r="S1109">
        <v>26152.68</v>
      </c>
      <c r="T1109">
        <v>13.16</v>
      </c>
      <c r="U1109">
        <v>23</v>
      </c>
      <c r="V1109">
        <v>24</v>
      </c>
      <c r="W1109">
        <v>251</v>
      </c>
      <c r="X1109" t="s">
        <v>188</v>
      </c>
      <c r="Y1109" t="s">
        <v>36</v>
      </c>
      <c r="Z1109">
        <v>2594.6999999999998</v>
      </c>
    </row>
    <row r="1110" spans="1:26" x14ac:dyDescent="0.25">
      <c r="A1110">
        <v>101108</v>
      </c>
      <c r="B1110" s="3">
        <v>45749</v>
      </c>
      <c r="C1110" s="3">
        <v>45750</v>
      </c>
      <c r="D1110" s="3">
        <v>45766</v>
      </c>
      <c r="E1110" t="s">
        <v>2909</v>
      </c>
      <c r="F1110" t="s">
        <v>38</v>
      </c>
      <c r="G1110" t="s">
        <v>83</v>
      </c>
      <c r="H1110" t="s">
        <v>2910</v>
      </c>
      <c r="I1110" t="s">
        <v>230</v>
      </c>
      <c r="J1110" t="s">
        <v>80</v>
      </c>
      <c r="K1110" t="s">
        <v>1342</v>
      </c>
      <c r="L1110" t="s">
        <v>212</v>
      </c>
      <c r="M1110" t="s">
        <v>38</v>
      </c>
      <c r="N1110" t="s">
        <v>74</v>
      </c>
      <c r="O1110" t="s">
        <v>75</v>
      </c>
      <c r="P1110" t="s">
        <v>76</v>
      </c>
      <c r="Q1110">
        <v>253</v>
      </c>
      <c r="R1110">
        <v>193.08</v>
      </c>
      <c r="S1110">
        <v>48849.24</v>
      </c>
      <c r="T1110">
        <v>9.36</v>
      </c>
      <c r="U1110">
        <v>16</v>
      </c>
      <c r="V1110">
        <v>17</v>
      </c>
      <c r="W1110">
        <v>1453</v>
      </c>
      <c r="X1110" t="s">
        <v>188</v>
      </c>
      <c r="Y1110" t="s">
        <v>36</v>
      </c>
      <c r="Z1110">
        <v>8498.5</v>
      </c>
    </row>
    <row r="1111" spans="1:26" x14ac:dyDescent="0.25">
      <c r="A1111">
        <v>101109</v>
      </c>
      <c r="B1111" s="3">
        <v>46009</v>
      </c>
      <c r="C1111" s="3">
        <v>46010</v>
      </c>
      <c r="D1111" s="3">
        <v>46011</v>
      </c>
      <c r="E1111" t="s">
        <v>2911</v>
      </c>
      <c r="F1111" t="s">
        <v>65</v>
      </c>
      <c r="G1111" t="s">
        <v>142</v>
      </c>
      <c r="H1111" t="s">
        <v>2912</v>
      </c>
      <c r="I1111" t="s">
        <v>207</v>
      </c>
      <c r="J1111" t="s">
        <v>80</v>
      </c>
      <c r="K1111" t="s">
        <v>1633</v>
      </c>
      <c r="L1111" t="s">
        <v>31</v>
      </c>
      <c r="M1111" t="s">
        <v>65</v>
      </c>
      <c r="N1111" t="s">
        <v>74</v>
      </c>
      <c r="O1111" t="s">
        <v>75</v>
      </c>
      <c r="P1111" t="s">
        <v>68</v>
      </c>
      <c r="Q1111">
        <v>243</v>
      </c>
      <c r="R1111">
        <v>292.07</v>
      </c>
      <c r="S1111">
        <v>70973.009999999995</v>
      </c>
      <c r="T1111">
        <v>32.78</v>
      </c>
      <c r="U1111">
        <v>1</v>
      </c>
      <c r="V1111">
        <v>2</v>
      </c>
      <c r="W1111">
        <v>1393</v>
      </c>
      <c r="X1111" t="s">
        <v>3741</v>
      </c>
      <c r="Y1111" t="s">
        <v>36</v>
      </c>
      <c r="Z1111">
        <v>12184.16</v>
      </c>
    </row>
    <row r="1112" spans="1:26" x14ac:dyDescent="0.25">
      <c r="A1112">
        <v>101110</v>
      </c>
      <c r="B1112" s="3">
        <v>45940</v>
      </c>
      <c r="C1112" s="3">
        <v>45941</v>
      </c>
      <c r="D1112" s="3">
        <v>45966</v>
      </c>
      <c r="E1112" t="s">
        <v>2913</v>
      </c>
      <c r="F1112" t="s">
        <v>54</v>
      </c>
      <c r="G1112" t="s">
        <v>225</v>
      </c>
      <c r="H1112" t="s">
        <v>2914</v>
      </c>
      <c r="I1112" t="s">
        <v>246</v>
      </c>
      <c r="J1112" t="s">
        <v>29</v>
      </c>
      <c r="K1112" t="s">
        <v>2841</v>
      </c>
      <c r="L1112" t="s">
        <v>122</v>
      </c>
      <c r="M1112" t="s">
        <v>25</v>
      </c>
      <c r="N1112" t="s">
        <v>55</v>
      </c>
      <c r="O1112" t="s">
        <v>56</v>
      </c>
      <c r="P1112" t="s">
        <v>76</v>
      </c>
      <c r="Q1112">
        <v>69</v>
      </c>
      <c r="R1112">
        <v>51.35</v>
      </c>
      <c r="S1112">
        <v>3543.15</v>
      </c>
      <c r="T1112">
        <v>9.2799999999999994</v>
      </c>
      <c r="U1112">
        <v>25</v>
      </c>
      <c r="V1112">
        <v>26</v>
      </c>
      <c r="W1112">
        <v>2816</v>
      </c>
      <c r="X1112" t="s">
        <v>3742</v>
      </c>
      <c r="Y1112" t="s">
        <v>188</v>
      </c>
      <c r="Z1112">
        <v>703.93</v>
      </c>
    </row>
    <row r="1113" spans="1:26" x14ac:dyDescent="0.25">
      <c r="A1113">
        <v>101111</v>
      </c>
      <c r="B1113" s="3">
        <v>45793</v>
      </c>
      <c r="C1113" s="3">
        <v>45797</v>
      </c>
      <c r="D1113" s="3">
        <v>45805</v>
      </c>
      <c r="E1113" t="s">
        <v>2915</v>
      </c>
      <c r="F1113" t="s">
        <v>25</v>
      </c>
      <c r="G1113" t="s">
        <v>172</v>
      </c>
      <c r="H1113" t="s">
        <v>818</v>
      </c>
      <c r="I1113" t="s">
        <v>61</v>
      </c>
      <c r="J1113" t="s">
        <v>62</v>
      </c>
      <c r="K1113" t="s">
        <v>2371</v>
      </c>
      <c r="L1113" t="s">
        <v>118</v>
      </c>
      <c r="M1113" t="s">
        <v>54</v>
      </c>
      <c r="N1113" t="s">
        <v>203</v>
      </c>
      <c r="O1113" t="s">
        <v>204</v>
      </c>
      <c r="P1113" t="s">
        <v>123</v>
      </c>
      <c r="Q1113">
        <v>225</v>
      </c>
      <c r="R1113">
        <v>28.38</v>
      </c>
      <c r="S1113">
        <v>6385.5</v>
      </c>
      <c r="T1113">
        <v>16.16</v>
      </c>
      <c r="U1113">
        <v>8</v>
      </c>
      <c r="V1113">
        <v>12</v>
      </c>
      <c r="W1113">
        <v>4230</v>
      </c>
      <c r="X1113" t="s">
        <v>188</v>
      </c>
      <c r="Y1113" t="s">
        <v>36</v>
      </c>
      <c r="Z1113">
        <v>1034.8399999999999</v>
      </c>
    </row>
    <row r="1114" spans="1:26" x14ac:dyDescent="0.25">
      <c r="A1114">
        <v>101112</v>
      </c>
      <c r="B1114" s="3">
        <v>45959</v>
      </c>
      <c r="C1114" s="3">
        <v>45960</v>
      </c>
      <c r="D1114" s="3">
        <v>45967</v>
      </c>
      <c r="E1114" t="s">
        <v>2916</v>
      </c>
      <c r="F1114" t="s">
        <v>25</v>
      </c>
      <c r="G1114" t="s">
        <v>221</v>
      </c>
      <c r="H1114" t="s">
        <v>2917</v>
      </c>
      <c r="I1114" t="s">
        <v>72</v>
      </c>
      <c r="J1114" t="s">
        <v>42</v>
      </c>
      <c r="K1114" t="s">
        <v>1573</v>
      </c>
      <c r="L1114" t="s">
        <v>44</v>
      </c>
      <c r="M1114" t="s">
        <v>65</v>
      </c>
      <c r="N1114" t="s">
        <v>203</v>
      </c>
      <c r="O1114" t="s">
        <v>204</v>
      </c>
      <c r="P1114" t="s">
        <v>35</v>
      </c>
      <c r="Q1114">
        <v>435</v>
      </c>
      <c r="R1114">
        <v>266.77999999999997</v>
      </c>
      <c r="S1114">
        <v>116049.3</v>
      </c>
      <c r="T1114">
        <v>24.81</v>
      </c>
      <c r="U1114">
        <v>7</v>
      </c>
      <c r="V1114">
        <v>8</v>
      </c>
      <c r="W1114">
        <v>535</v>
      </c>
      <c r="X1114" t="s">
        <v>188</v>
      </c>
      <c r="Y1114" t="s">
        <v>36</v>
      </c>
      <c r="Z1114">
        <v>9557.24</v>
      </c>
    </row>
    <row r="1115" spans="1:26" x14ac:dyDescent="0.25">
      <c r="A1115">
        <v>101113</v>
      </c>
      <c r="B1115" s="3">
        <v>45306</v>
      </c>
      <c r="C1115" s="3">
        <v>45309</v>
      </c>
      <c r="D1115" s="3">
        <v>45310</v>
      </c>
      <c r="E1115" t="s">
        <v>2627</v>
      </c>
      <c r="F1115" t="s">
        <v>54</v>
      </c>
      <c r="G1115" t="s">
        <v>193</v>
      </c>
      <c r="H1115" t="s">
        <v>2918</v>
      </c>
      <c r="I1115" t="s">
        <v>41</v>
      </c>
      <c r="J1115" t="s">
        <v>42</v>
      </c>
      <c r="K1115" t="s">
        <v>2919</v>
      </c>
      <c r="L1115" t="s">
        <v>113</v>
      </c>
      <c r="M1115" t="s">
        <v>65</v>
      </c>
      <c r="N1115" t="s">
        <v>45</v>
      </c>
      <c r="O1115" t="s">
        <v>46</v>
      </c>
      <c r="P1115" t="s">
        <v>68</v>
      </c>
      <c r="Q1115">
        <v>401</v>
      </c>
      <c r="R1115">
        <v>93.29</v>
      </c>
      <c r="S1115">
        <v>37409.29</v>
      </c>
      <c r="T1115">
        <v>54.5</v>
      </c>
      <c r="U1115">
        <v>1</v>
      </c>
      <c r="V1115">
        <v>4</v>
      </c>
      <c r="W1115">
        <v>789</v>
      </c>
      <c r="X1115" t="s">
        <v>3741</v>
      </c>
      <c r="Y1115" t="s">
        <v>36</v>
      </c>
      <c r="Z1115">
        <v>3560.64</v>
      </c>
    </row>
    <row r="1116" spans="1:26" x14ac:dyDescent="0.25">
      <c r="A1116">
        <v>101114</v>
      </c>
      <c r="B1116" s="3">
        <v>45532</v>
      </c>
      <c r="C1116" s="3">
        <v>45534</v>
      </c>
      <c r="D1116" s="3">
        <v>45544</v>
      </c>
      <c r="E1116" t="s">
        <v>2920</v>
      </c>
      <c r="F1116" t="s">
        <v>25</v>
      </c>
      <c r="G1116" t="s">
        <v>244</v>
      </c>
      <c r="H1116" t="s">
        <v>2921</v>
      </c>
      <c r="I1116" t="s">
        <v>139</v>
      </c>
      <c r="J1116" t="s">
        <v>42</v>
      </c>
      <c r="K1116" t="s">
        <v>1071</v>
      </c>
      <c r="L1116" t="s">
        <v>64</v>
      </c>
      <c r="M1116" t="s">
        <v>32</v>
      </c>
      <c r="N1116" t="s">
        <v>33</v>
      </c>
      <c r="O1116" t="s">
        <v>34</v>
      </c>
      <c r="P1116" t="s">
        <v>123</v>
      </c>
      <c r="Q1116">
        <v>416</v>
      </c>
      <c r="R1116">
        <v>193.55</v>
      </c>
      <c r="S1116">
        <v>80516.800000000003</v>
      </c>
      <c r="T1116">
        <v>20.8</v>
      </c>
      <c r="U1116">
        <v>10</v>
      </c>
      <c r="V1116">
        <v>12</v>
      </c>
      <c r="W1116">
        <v>1434</v>
      </c>
      <c r="X1116" t="s">
        <v>188</v>
      </c>
      <c r="Y1116" t="s">
        <v>36</v>
      </c>
      <c r="Z1116">
        <v>6981.91</v>
      </c>
    </row>
    <row r="1117" spans="1:26" x14ac:dyDescent="0.25">
      <c r="A1117">
        <v>101115</v>
      </c>
      <c r="B1117" s="3">
        <v>45695</v>
      </c>
      <c r="C1117" s="3">
        <v>45700</v>
      </c>
      <c r="D1117" s="3">
        <v>45702</v>
      </c>
      <c r="E1117" t="s">
        <v>1694</v>
      </c>
      <c r="F1117" t="s">
        <v>32</v>
      </c>
      <c r="G1117" t="s">
        <v>273</v>
      </c>
      <c r="H1117" t="s">
        <v>2922</v>
      </c>
      <c r="I1117" t="s">
        <v>207</v>
      </c>
      <c r="J1117" t="s">
        <v>80</v>
      </c>
      <c r="K1117" t="s">
        <v>2692</v>
      </c>
      <c r="L1117" t="s">
        <v>187</v>
      </c>
      <c r="M1117" t="s">
        <v>65</v>
      </c>
      <c r="N1117" t="s">
        <v>92</v>
      </c>
      <c r="O1117" t="s">
        <v>93</v>
      </c>
      <c r="P1117" t="s">
        <v>68</v>
      </c>
      <c r="Q1117">
        <v>120</v>
      </c>
      <c r="R1117">
        <v>333.12</v>
      </c>
      <c r="S1117">
        <v>39974.400000000001</v>
      </c>
      <c r="T1117">
        <v>36.29</v>
      </c>
      <c r="U1117">
        <v>2</v>
      </c>
      <c r="V1117">
        <v>7</v>
      </c>
      <c r="W1117">
        <v>1569</v>
      </c>
      <c r="X1117" t="s">
        <v>3741</v>
      </c>
      <c r="Y1117" t="s">
        <v>36</v>
      </c>
      <c r="Z1117">
        <v>11043.11</v>
      </c>
    </row>
    <row r="1118" spans="1:26" x14ac:dyDescent="0.25">
      <c r="A1118">
        <v>101116</v>
      </c>
      <c r="B1118" s="3">
        <v>45868</v>
      </c>
      <c r="C1118" s="3">
        <v>45872</v>
      </c>
      <c r="D1118" s="3">
        <v>45892</v>
      </c>
      <c r="E1118" t="s">
        <v>2923</v>
      </c>
      <c r="F1118" t="s">
        <v>25</v>
      </c>
      <c r="G1118" t="s">
        <v>244</v>
      </c>
      <c r="H1118" t="s">
        <v>2924</v>
      </c>
      <c r="I1118" t="s">
        <v>416</v>
      </c>
      <c r="J1118" t="s">
        <v>80</v>
      </c>
      <c r="K1118" t="s">
        <v>452</v>
      </c>
      <c r="L1118" t="s">
        <v>98</v>
      </c>
      <c r="M1118" t="s">
        <v>38</v>
      </c>
      <c r="N1118" t="s">
        <v>102</v>
      </c>
      <c r="O1118" t="s">
        <v>103</v>
      </c>
      <c r="P1118" t="s">
        <v>76</v>
      </c>
      <c r="Q1118">
        <v>29</v>
      </c>
      <c r="R1118">
        <v>60.23</v>
      </c>
      <c r="S1118">
        <v>1746.67</v>
      </c>
      <c r="T1118">
        <v>8.5500000000000007</v>
      </c>
      <c r="U1118">
        <v>20</v>
      </c>
      <c r="V1118">
        <v>24</v>
      </c>
      <c r="W1118">
        <v>1324</v>
      </c>
      <c r="X1118" t="s">
        <v>3742</v>
      </c>
      <c r="Y1118" t="s">
        <v>188</v>
      </c>
      <c r="Z1118">
        <v>297.18</v>
      </c>
    </row>
    <row r="1119" spans="1:26" x14ac:dyDescent="0.25">
      <c r="A1119">
        <v>101117</v>
      </c>
      <c r="B1119" s="3">
        <v>45983</v>
      </c>
      <c r="C1119" s="3">
        <v>45984</v>
      </c>
      <c r="D1119" s="3">
        <v>46001</v>
      </c>
      <c r="E1119" t="s">
        <v>2925</v>
      </c>
      <c r="F1119" t="s">
        <v>32</v>
      </c>
      <c r="G1119" t="s">
        <v>110</v>
      </c>
      <c r="H1119" t="s">
        <v>2926</v>
      </c>
      <c r="I1119" t="s">
        <v>116</v>
      </c>
      <c r="J1119" t="s">
        <v>62</v>
      </c>
      <c r="K1119" t="s">
        <v>1003</v>
      </c>
      <c r="L1119" t="s">
        <v>212</v>
      </c>
      <c r="M1119" t="s">
        <v>38</v>
      </c>
      <c r="N1119" t="s">
        <v>66</v>
      </c>
      <c r="O1119" t="s">
        <v>67</v>
      </c>
      <c r="P1119" t="s">
        <v>123</v>
      </c>
      <c r="Q1119">
        <v>23</v>
      </c>
      <c r="R1119">
        <v>28.33</v>
      </c>
      <c r="S1119">
        <v>651.59</v>
      </c>
      <c r="T1119">
        <v>11.25</v>
      </c>
      <c r="U1119">
        <v>17</v>
      </c>
      <c r="V1119">
        <v>18</v>
      </c>
      <c r="W1119">
        <v>2345</v>
      </c>
      <c r="X1119" t="s">
        <v>3742</v>
      </c>
      <c r="Y1119" t="s">
        <v>188</v>
      </c>
      <c r="Z1119">
        <v>99.31</v>
      </c>
    </row>
    <row r="1120" spans="1:26" x14ac:dyDescent="0.25">
      <c r="A1120">
        <v>101118</v>
      </c>
      <c r="B1120" s="3">
        <v>45310</v>
      </c>
      <c r="C1120" s="3">
        <v>45311</v>
      </c>
      <c r="D1120" s="3">
        <v>45316</v>
      </c>
      <c r="E1120" t="s">
        <v>2927</v>
      </c>
      <c r="F1120" t="s">
        <v>38</v>
      </c>
      <c r="G1120" t="s">
        <v>49</v>
      </c>
      <c r="H1120" t="s">
        <v>2928</v>
      </c>
      <c r="I1120" t="s">
        <v>126</v>
      </c>
      <c r="J1120" t="s">
        <v>42</v>
      </c>
      <c r="K1120" t="s">
        <v>759</v>
      </c>
      <c r="L1120" t="s">
        <v>98</v>
      </c>
      <c r="M1120" t="s">
        <v>38</v>
      </c>
      <c r="N1120" t="s">
        <v>45</v>
      </c>
      <c r="O1120" t="s">
        <v>46</v>
      </c>
      <c r="P1120" t="s">
        <v>35</v>
      </c>
      <c r="Q1120">
        <v>368</v>
      </c>
      <c r="R1120">
        <v>300.2</v>
      </c>
      <c r="S1120">
        <v>110473.60000000001</v>
      </c>
      <c r="T1120">
        <v>16.97</v>
      </c>
      <c r="U1120">
        <v>5</v>
      </c>
      <c r="V1120">
        <v>6</v>
      </c>
      <c r="W1120">
        <v>1652</v>
      </c>
      <c r="X1120" t="s">
        <v>3741</v>
      </c>
      <c r="Y1120" t="s">
        <v>36</v>
      </c>
      <c r="Z1120">
        <v>8976.98</v>
      </c>
    </row>
    <row r="1121" spans="1:26" x14ac:dyDescent="0.25">
      <c r="A1121">
        <v>101119</v>
      </c>
      <c r="B1121" s="3">
        <v>45403</v>
      </c>
      <c r="C1121" s="3">
        <v>45405</v>
      </c>
      <c r="D1121" s="3">
        <v>45408</v>
      </c>
      <c r="E1121" t="s">
        <v>2929</v>
      </c>
      <c r="F1121" t="s">
        <v>32</v>
      </c>
      <c r="G1121" t="s">
        <v>180</v>
      </c>
      <c r="H1121" t="s">
        <v>2930</v>
      </c>
      <c r="I1121" t="s">
        <v>149</v>
      </c>
      <c r="J1121" t="s">
        <v>42</v>
      </c>
      <c r="K1121" t="s">
        <v>2931</v>
      </c>
      <c r="L1121" t="s">
        <v>212</v>
      </c>
      <c r="M1121" t="s">
        <v>65</v>
      </c>
      <c r="N1121" t="s">
        <v>102</v>
      </c>
      <c r="O1121" t="s">
        <v>103</v>
      </c>
      <c r="P1121" t="s">
        <v>68</v>
      </c>
      <c r="Q1121">
        <v>41</v>
      </c>
      <c r="R1121">
        <v>308.55</v>
      </c>
      <c r="S1121">
        <v>12650.55</v>
      </c>
      <c r="T1121">
        <v>31.17</v>
      </c>
      <c r="U1121">
        <v>3</v>
      </c>
      <c r="V1121">
        <v>5</v>
      </c>
      <c r="W1121">
        <v>1589</v>
      </c>
      <c r="X1121" t="s">
        <v>3742</v>
      </c>
      <c r="Y1121" t="s">
        <v>57</v>
      </c>
      <c r="Z1121">
        <v>1550.14</v>
      </c>
    </row>
    <row r="1122" spans="1:26" x14ac:dyDescent="0.25">
      <c r="A1122">
        <v>101120</v>
      </c>
      <c r="B1122" s="3">
        <v>45377</v>
      </c>
      <c r="C1122" s="3">
        <v>45380</v>
      </c>
      <c r="D1122" s="3">
        <v>45388</v>
      </c>
      <c r="E1122" t="s">
        <v>2903</v>
      </c>
      <c r="F1122" t="s">
        <v>25</v>
      </c>
      <c r="G1122" t="s">
        <v>233</v>
      </c>
      <c r="H1122" t="s">
        <v>2932</v>
      </c>
      <c r="I1122" t="s">
        <v>139</v>
      </c>
      <c r="J1122" t="s">
        <v>42</v>
      </c>
      <c r="K1122" t="s">
        <v>602</v>
      </c>
      <c r="L1122" t="s">
        <v>91</v>
      </c>
      <c r="M1122" t="s">
        <v>54</v>
      </c>
      <c r="N1122" t="s">
        <v>107</v>
      </c>
      <c r="O1122" t="s">
        <v>108</v>
      </c>
      <c r="P1122" t="s">
        <v>123</v>
      </c>
      <c r="Q1122">
        <v>119</v>
      </c>
      <c r="R1122">
        <v>306.24</v>
      </c>
      <c r="S1122">
        <v>36442.559999999998</v>
      </c>
      <c r="T1122">
        <v>13.58</v>
      </c>
      <c r="U1122">
        <v>8</v>
      </c>
      <c r="V1122">
        <v>11</v>
      </c>
      <c r="W1122">
        <v>700</v>
      </c>
      <c r="X1122" t="s">
        <v>3742</v>
      </c>
      <c r="Y1122" t="s">
        <v>47</v>
      </c>
      <c r="Z1122">
        <v>-54.64</v>
      </c>
    </row>
    <row r="1123" spans="1:26" x14ac:dyDescent="0.25">
      <c r="A1123">
        <v>101121</v>
      </c>
      <c r="B1123" s="3">
        <v>45858</v>
      </c>
      <c r="C1123" s="3">
        <v>45859</v>
      </c>
      <c r="D1123" s="3">
        <v>45865</v>
      </c>
      <c r="E1123" t="s">
        <v>2933</v>
      </c>
      <c r="F1123" t="s">
        <v>38</v>
      </c>
      <c r="G1123" t="s">
        <v>39</v>
      </c>
      <c r="H1123" t="s">
        <v>2934</v>
      </c>
      <c r="I1123" t="s">
        <v>207</v>
      </c>
      <c r="J1123" t="s">
        <v>80</v>
      </c>
      <c r="K1123" t="s">
        <v>195</v>
      </c>
      <c r="L1123" t="s">
        <v>118</v>
      </c>
      <c r="M1123" t="s">
        <v>25</v>
      </c>
      <c r="N1123" t="s">
        <v>45</v>
      </c>
      <c r="O1123" t="s">
        <v>46</v>
      </c>
      <c r="P1123" t="s">
        <v>35</v>
      </c>
      <c r="Q1123">
        <v>146</v>
      </c>
      <c r="R1123">
        <v>53.13</v>
      </c>
      <c r="S1123">
        <v>7756.98</v>
      </c>
      <c r="T1123">
        <v>16.61</v>
      </c>
      <c r="U1123">
        <v>6</v>
      </c>
      <c r="V1123">
        <v>7</v>
      </c>
      <c r="W1123">
        <v>1697</v>
      </c>
      <c r="X1123" t="s">
        <v>3741</v>
      </c>
      <c r="Y1123" t="s">
        <v>36</v>
      </c>
      <c r="Z1123">
        <v>1480.26</v>
      </c>
    </row>
    <row r="1124" spans="1:26" x14ac:dyDescent="0.25">
      <c r="A1124">
        <v>101122</v>
      </c>
      <c r="B1124" s="3">
        <v>45556</v>
      </c>
      <c r="C1124" s="3">
        <v>45561</v>
      </c>
      <c r="D1124" s="3">
        <v>45570</v>
      </c>
      <c r="E1124" t="s">
        <v>2935</v>
      </c>
      <c r="F1124" t="s">
        <v>65</v>
      </c>
      <c r="G1124" t="s">
        <v>154</v>
      </c>
      <c r="H1124" t="s">
        <v>2936</v>
      </c>
      <c r="I1124" t="s">
        <v>51</v>
      </c>
      <c r="J1124" t="s">
        <v>52</v>
      </c>
      <c r="K1124" t="s">
        <v>2714</v>
      </c>
      <c r="L1124" t="s">
        <v>64</v>
      </c>
      <c r="M1124" t="s">
        <v>25</v>
      </c>
      <c r="N1124" t="s">
        <v>203</v>
      </c>
      <c r="O1124" t="s">
        <v>204</v>
      </c>
      <c r="P1124" t="s">
        <v>35</v>
      </c>
      <c r="Q1124">
        <v>475</v>
      </c>
      <c r="R1124">
        <v>20.32</v>
      </c>
      <c r="S1124">
        <v>9652</v>
      </c>
      <c r="T1124">
        <v>25.94</v>
      </c>
      <c r="U1124">
        <v>9</v>
      </c>
      <c r="V1124">
        <v>14</v>
      </c>
      <c r="W1124">
        <v>2375</v>
      </c>
      <c r="X1124" t="s">
        <v>188</v>
      </c>
      <c r="Y1124" t="s">
        <v>36</v>
      </c>
      <c r="Z1124">
        <v>1160.81</v>
      </c>
    </row>
    <row r="1125" spans="1:26" x14ac:dyDescent="0.25">
      <c r="A1125">
        <v>101123</v>
      </c>
      <c r="B1125" s="3">
        <v>45697</v>
      </c>
      <c r="C1125" s="3">
        <v>45698</v>
      </c>
      <c r="D1125" s="3">
        <v>45710</v>
      </c>
      <c r="E1125" t="s">
        <v>2937</v>
      </c>
      <c r="F1125" t="s">
        <v>65</v>
      </c>
      <c r="G1125" t="s">
        <v>70</v>
      </c>
      <c r="H1125" t="s">
        <v>2938</v>
      </c>
      <c r="I1125" t="s">
        <v>198</v>
      </c>
      <c r="J1125" t="s">
        <v>52</v>
      </c>
      <c r="K1125" t="s">
        <v>2555</v>
      </c>
      <c r="L1125" t="s">
        <v>31</v>
      </c>
      <c r="M1125" t="s">
        <v>54</v>
      </c>
      <c r="N1125" t="s">
        <v>33</v>
      </c>
      <c r="O1125" t="s">
        <v>34</v>
      </c>
      <c r="P1125" t="s">
        <v>76</v>
      </c>
      <c r="Q1125">
        <v>313</v>
      </c>
      <c r="R1125">
        <v>21.6</v>
      </c>
      <c r="S1125">
        <v>6760.8</v>
      </c>
      <c r="T1125">
        <v>13.72</v>
      </c>
      <c r="U1125">
        <v>12</v>
      </c>
      <c r="V1125">
        <v>13</v>
      </c>
      <c r="W1125">
        <v>660</v>
      </c>
      <c r="X1125" t="s">
        <v>188</v>
      </c>
      <c r="Y1125" t="s">
        <v>36</v>
      </c>
      <c r="Z1125">
        <v>777.39</v>
      </c>
    </row>
    <row r="1126" spans="1:26" x14ac:dyDescent="0.25">
      <c r="A1126">
        <v>101124</v>
      </c>
      <c r="B1126" s="3">
        <v>45425</v>
      </c>
      <c r="C1126" s="3">
        <v>45427</v>
      </c>
      <c r="D1126" s="3">
        <v>45451</v>
      </c>
      <c r="E1126" t="s">
        <v>2939</v>
      </c>
      <c r="F1126" t="s">
        <v>32</v>
      </c>
      <c r="G1126" t="s">
        <v>273</v>
      </c>
      <c r="H1126" t="s">
        <v>2940</v>
      </c>
      <c r="I1126" t="s">
        <v>278</v>
      </c>
      <c r="J1126" t="s">
        <v>29</v>
      </c>
      <c r="K1126" t="s">
        <v>957</v>
      </c>
      <c r="L1126" t="s">
        <v>44</v>
      </c>
      <c r="M1126" t="s">
        <v>25</v>
      </c>
      <c r="N1126" t="s">
        <v>151</v>
      </c>
      <c r="O1126" t="s">
        <v>152</v>
      </c>
      <c r="P1126" t="s">
        <v>76</v>
      </c>
      <c r="Q1126">
        <v>250</v>
      </c>
      <c r="R1126">
        <v>29.92</v>
      </c>
      <c r="S1126">
        <v>7480</v>
      </c>
      <c r="T1126">
        <v>12.58</v>
      </c>
      <c r="U1126">
        <v>24</v>
      </c>
      <c r="V1126">
        <v>26</v>
      </c>
      <c r="W1126">
        <v>2641</v>
      </c>
      <c r="X1126" t="s">
        <v>188</v>
      </c>
      <c r="Y1126" t="s">
        <v>36</v>
      </c>
      <c r="Z1126">
        <v>2200.1999999999998</v>
      </c>
    </row>
    <row r="1127" spans="1:26" x14ac:dyDescent="0.25">
      <c r="A1127">
        <v>101125</v>
      </c>
      <c r="B1127" s="3">
        <v>45486</v>
      </c>
      <c r="C1127" s="3">
        <v>45491</v>
      </c>
      <c r="D1127" s="3">
        <v>45502</v>
      </c>
      <c r="E1127" t="s">
        <v>2941</v>
      </c>
      <c r="F1127" t="s">
        <v>54</v>
      </c>
      <c r="G1127" t="s">
        <v>158</v>
      </c>
      <c r="H1127" t="s">
        <v>2942</v>
      </c>
      <c r="I1127" t="s">
        <v>134</v>
      </c>
      <c r="J1127" t="s">
        <v>52</v>
      </c>
      <c r="K1127" t="s">
        <v>532</v>
      </c>
      <c r="L1127" t="s">
        <v>98</v>
      </c>
      <c r="M1127" t="s">
        <v>32</v>
      </c>
      <c r="N1127" t="s">
        <v>33</v>
      </c>
      <c r="O1127" t="s">
        <v>34</v>
      </c>
      <c r="P1127" t="s">
        <v>123</v>
      </c>
      <c r="Q1127">
        <v>343</v>
      </c>
      <c r="R1127">
        <v>26.63</v>
      </c>
      <c r="S1127">
        <v>9134.09</v>
      </c>
      <c r="T1127">
        <v>19.03</v>
      </c>
      <c r="U1127">
        <v>11</v>
      </c>
      <c r="V1127">
        <v>16</v>
      </c>
      <c r="W1127">
        <v>3010</v>
      </c>
      <c r="X1127" t="s">
        <v>3742</v>
      </c>
      <c r="Y1127" t="s">
        <v>57</v>
      </c>
      <c r="Z1127">
        <v>1520.52</v>
      </c>
    </row>
    <row r="1128" spans="1:26" x14ac:dyDescent="0.25">
      <c r="A1128">
        <v>101126</v>
      </c>
      <c r="B1128" s="3">
        <v>45698</v>
      </c>
      <c r="C1128" s="3">
        <v>45701</v>
      </c>
      <c r="D1128" s="3">
        <v>45708</v>
      </c>
      <c r="E1128" t="s">
        <v>435</v>
      </c>
      <c r="F1128" t="s">
        <v>32</v>
      </c>
      <c r="G1128" t="s">
        <v>95</v>
      </c>
      <c r="H1128" t="s">
        <v>2943</v>
      </c>
      <c r="I1128" t="s">
        <v>139</v>
      </c>
      <c r="J1128" t="s">
        <v>42</v>
      </c>
      <c r="K1128" t="s">
        <v>1054</v>
      </c>
      <c r="L1128" t="s">
        <v>118</v>
      </c>
      <c r="M1128" t="s">
        <v>32</v>
      </c>
      <c r="N1128" t="s">
        <v>33</v>
      </c>
      <c r="O1128" t="s">
        <v>34</v>
      </c>
      <c r="P1128" t="s">
        <v>123</v>
      </c>
      <c r="Q1128">
        <v>198</v>
      </c>
      <c r="R1128">
        <v>449.08</v>
      </c>
      <c r="S1128">
        <v>88917.84</v>
      </c>
      <c r="T1128">
        <v>11.48</v>
      </c>
      <c r="U1128">
        <v>7</v>
      </c>
      <c r="V1128">
        <v>10</v>
      </c>
      <c r="W1128">
        <v>990</v>
      </c>
      <c r="X1128" t="s">
        <v>188</v>
      </c>
      <c r="Y1128" t="s">
        <v>36</v>
      </c>
      <c r="Z1128">
        <v>12848.91</v>
      </c>
    </row>
    <row r="1129" spans="1:26" x14ac:dyDescent="0.25">
      <c r="A1129">
        <v>101127</v>
      </c>
      <c r="B1129" s="3">
        <v>45997</v>
      </c>
      <c r="C1129" s="3">
        <v>46000</v>
      </c>
      <c r="D1129" s="3">
        <v>46009</v>
      </c>
      <c r="E1129" t="s">
        <v>2944</v>
      </c>
      <c r="F1129" t="s">
        <v>25</v>
      </c>
      <c r="G1129" t="s">
        <v>26</v>
      </c>
      <c r="H1129" t="s">
        <v>2945</v>
      </c>
      <c r="I1129" t="s">
        <v>79</v>
      </c>
      <c r="J1129" t="s">
        <v>80</v>
      </c>
      <c r="K1129" t="s">
        <v>2447</v>
      </c>
      <c r="L1129" t="s">
        <v>44</v>
      </c>
      <c r="M1129" t="s">
        <v>25</v>
      </c>
      <c r="N1129" t="s">
        <v>151</v>
      </c>
      <c r="O1129" t="s">
        <v>152</v>
      </c>
      <c r="P1129" t="s">
        <v>123</v>
      </c>
      <c r="Q1129">
        <v>138</v>
      </c>
      <c r="R1129">
        <v>160.04</v>
      </c>
      <c r="S1129">
        <v>22085.52</v>
      </c>
      <c r="T1129">
        <v>10.4</v>
      </c>
      <c r="U1129">
        <v>9</v>
      </c>
      <c r="V1129">
        <v>12</v>
      </c>
      <c r="W1129">
        <v>2132</v>
      </c>
      <c r="X1129" t="s">
        <v>188</v>
      </c>
      <c r="Y1129" t="s">
        <v>36</v>
      </c>
      <c r="Z1129">
        <v>1038.74</v>
      </c>
    </row>
    <row r="1130" spans="1:26" x14ac:dyDescent="0.25">
      <c r="A1130">
        <v>101128</v>
      </c>
      <c r="B1130" s="3">
        <v>45529</v>
      </c>
      <c r="C1130" s="3">
        <v>45529</v>
      </c>
      <c r="D1130" s="3">
        <v>45534</v>
      </c>
      <c r="E1130" t="s">
        <v>2946</v>
      </c>
      <c r="F1130" t="s">
        <v>54</v>
      </c>
      <c r="G1130" t="s">
        <v>165</v>
      </c>
      <c r="H1130" t="s">
        <v>2947</v>
      </c>
      <c r="I1130" t="s">
        <v>126</v>
      </c>
      <c r="J1130" t="s">
        <v>42</v>
      </c>
      <c r="K1130" t="s">
        <v>2224</v>
      </c>
      <c r="L1130" t="s">
        <v>187</v>
      </c>
      <c r="M1130" t="s">
        <v>54</v>
      </c>
      <c r="N1130" t="s">
        <v>151</v>
      </c>
      <c r="O1130" t="s">
        <v>152</v>
      </c>
      <c r="P1130" t="s">
        <v>35</v>
      </c>
      <c r="Q1130">
        <v>336</v>
      </c>
      <c r="R1130">
        <v>76.92</v>
      </c>
      <c r="S1130">
        <v>25845.119999999999</v>
      </c>
      <c r="T1130">
        <v>16.3</v>
      </c>
      <c r="U1130">
        <v>5</v>
      </c>
      <c r="V1130">
        <v>5</v>
      </c>
      <c r="W1130">
        <v>627</v>
      </c>
      <c r="X1130" t="s">
        <v>3741</v>
      </c>
      <c r="Y1130" t="s">
        <v>36</v>
      </c>
      <c r="Z1130">
        <v>3360.42</v>
      </c>
    </row>
    <row r="1131" spans="1:26" x14ac:dyDescent="0.25">
      <c r="A1131">
        <v>101129</v>
      </c>
      <c r="B1131" s="3">
        <v>46010</v>
      </c>
      <c r="C1131" s="3">
        <v>46011</v>
      </c>
      <c r="D1131" s="3">
        <v>46015</v>
      </c>
      <c r="E1131" t="s">
        <v>2948</v>
      </c>
      <c r="F1131" t="s">
        <v>38</v>
      </c>
      <c r="G1131" t="s">
        <v>39</v>
      </c>
      <c r="H1131" t="s">
        <v>2949</v>
      </c>
      <c r="I1131" t="s">
        <v>41</v>
      </c>
      <c r="J1131" t="s">
        <v>42</v>
      </c>
      <c r="K1131" t="s">
        <v>2037</v>
      </c>
      <c r="L1131" t="s">
        <v>187</v>
      </c>
      <c r="M1131" t="s">
        <v>38</v>
      </c>
      <c r="N1131" t="s">
        <v>151</v>
      </c>
      <c r="O1131" t="s">
        <v>152</v>
      </c>
      <c r="P1131" t="s">
        <v>68</v>
      </c>
      <c r="Q1131">
        <v>487</v>
      </c>
      <c r="R1131">
        <v>70.599999999999994</v>
      </c>
      <c r="S1131">
        <v>34382.199999999997</v>
      </c>
      <c r="T1131">
        <v>44.5</v>
      </c>
      <c r="U1131">
        <v>4</v>
      </c>
      <c r="V1131">
        <v>5</v>
      </c>
      <c r="W1131">
        <v>630</v>
      </c>
      <c r="X1131" t="s">
        <v>3741</v>
      </c>
      <c r="Y1131" t="s">
        <v>36</v>
      </c>
      <c r="Z1131">
        <v>6374.39</v>
      </c>
    </row>
    <row r="1132" spans="1:26" x14ac:dyDescent="0.25">
      <c r="A1132">
        <v>101130</v>
      </c>
      <c r="B1132" s="3">
        <v>45912</v>
      </c>
      <c r="C1132" s="3">
        <v>45916</v>
      </c>
      <c r="D1132" s="3">
        <v>45917</v>
      </c>
      <c r="E1132" t="s">
        <v>2950</v>
      </c>
      <c r="F1132" t="s">
        <v>54</v>
      </c>
      <c r="G1132" t="s">
        <v>129</v>
      </c>
      <c r="H1132" t="s">
        <v>2951</v>
      </c>
      <c r="I1132" t="s">
        <v>149</v>
      </c>
      <c r="J1132" t="s">
        <v>42</v>
      </c>
      <c r="K1132" t="s">
        <v>1627</v>
      </c>
      <c r="L1132" t="s">
        <v>91</v>
      </c>
      <c r="M1132" t="s">
        <v>32</v>
      </c>
      <c r="N1132" t="s">
        <v>55</v>
      </c>
      <c r="O1132" t="s">
        <v>56</v>
      </c>
      <c r="P1132" t="s">
        <v>68</v>
      </c>
      <c r="Q1132">
        <v>491</v>
      </c>
      <c r="R1132">
        <v>428.29</v>
      </c>
      <c r="S1132">
        <v>210290.39</v>
      </c>
      <c r="T1132">
        <v>60.33</v>
      </c>
      <c r="U1132">
        <v>1</v>
      </c>
      <c r="V1132">
        <v>5</v>
      </c>
      <c r="W1132">
        <v>938</v>
      </c>
      <c r="X1132" t="s">
        <v>3741</v>
      </c>
      <c r="Y1132" t="s">
        <v>36</v>
      </c>
      <c r="Z1132">
        <v>36569.79</v>
      </c>
    </row>
    <row r="1133" spans="1:26" x14ac:dyDescent="0.25">
      <c r="A1133">
        <v>101131</v>
      </c>
      <c r="B1133" s="3">
        <v>45774</v>
      </c>
      <c r="C1133" s="3">
        <v>45777</v>
      </c>
      <c r="D1133" s="3">
        <v>45783</v>
      </c>
      <c r="E1133" t="s">
        <v>2456</v>
      </c>
      <c r="F1133" t="s">
        <v>54</v>
      </c>
      <c r="G1133" t="s">
        <v>129</v>
      </c>
      <c r="H1133" t="s">
        <v>2952</v>
      </c>
      <c r="I1133" t="s">
        <v>182</v>
      </c>
      <c r="J1133" t="s">
        <v>80</v>
      </c>
      <c r="K1133" t="s">
        <v>888</v>
      </c>
      <c r="L1133" t="s">
        <v>212</v>
      </c>
      <c r="M1133" t="s">
        <v>38</v>
      </c>
      <c r="N1133" t="s">
        <v>33</v>
      </c>
      <c r="O1133" t="s">
        <v>34</v>
      </c>
      <c r="P1133" t="s">
        <v>35</v>
      </c>
      <c r="Q1133">
        <v>228</v>
      </c>
      <c r="R1133">
        <v>95.65</v>
      </c>
      <c r="S1133">
        <v>21808.2</v>
      </c>
      <c r="T1133">
        <v>18.940000000000001</v>
      </c>
      <c r="U1133">
        <v>6</v>
      </c>
      <c r="V1133">
        <v>9</v>
      </c>
      <c r="W1133">
        <v>1975</v>
      </c>
      <c r="X1133" t="s">
        <v>188</v>
      </c>
      <c r="Y1133" t="s">
        <v>36</v>
      </c>
      <c r="Z1133">
        <v>4474.07</v>
      </c>
    </row>
    <row r="1134" spans="1:26" x14ac:dyDescent="0.25">
      <c r="A1134">
        <v>101132</v>
      </c>
      <c r="B1134" s="3">
        <v>45298</v>
      </c>
      <c r="C1134" s="3">
        <v>45300</v>
      </c>
      <c r="D1134" s="3">
        <v>45302</v>
      </c>
      <c r="E1134" t="s">
        <v>2953</v>
      </c>
      <c r="F1134" t="s">
        <v>25</v>
      </c>
      <c r="G1134" t="s">
        <v>233</v>
      </c>
      <c r="H1134" t="s">
        <v>2954</v>
      </c>
      <c r="I1134" t="s">
        <v>134</v>
      </c>
      <c r="J1134" t="s">
        <v>52</v>
      </c>
      <c r="K1134" t="s">
        <v>1212</v>
      </c>
      <c r="L1134" t="s">
        <v>212</v>
      </c>
      <c r="M1134" t="s">
        <v>32</v>
      </c>
      <c r="N1134" t="s">
        <v>33</v>
      </c>
      <c r="O1134" t="s">
        <v>34</v>
      </c>
      <c r="P1134" t="s">
        <v>68</v>
      </c>
      <c r="Q1134">
        <v>419</v>
      </c>
      <c r="R1134">
        <v>82.45</v>
      </c>
      <c r="S1134">
        <v>34546.550000000003</v>
      </c>
      <c r="T1134">
        <v>55.66</v>
      </c>
      <c r="U1134">
        <v>2</v>
      </c>
      <c r="V1134">
        <v>4</v>
      </c>
      <c r="W1134">
        <v>4233</v>
      </c>
      <c r="X1134" t="s">
        <v>3741</v>
      </c>
      <c r="Y1134" t="s">
        <v>36</v>
      </c>
      <c r="Z1134">
        <v>5474.04</v>
      </c>
    </row>
    <row r="1135" spans="1:26" x14ac:dyDescent="0.25">
      <c r="A1135">
        <v>101133</v>
      </c>
      <c r="B1135" s="3">
        <v>46006</v>
      </c>
      <c r="C1135" s="3">
        <v>46010</v>
      </c>
      <c r="D1135" s="3">
        <v>46014</v>
      </c>
      <c r="E1135" t="s">
        <v>2955</v>
      </c>
      <c r="F1135" t="s">
        <v>25</v>
      </c>
      <c r="G1135" t="s">
        <v>221</v>
      </c>
      <c r="H1135" t="s">
        <v>2956</v>
      </c>
      <c r="I1135" t="s">
        <v>149</v>
      </c>
      <c r="J1135" t="s">
        <v>42</v>
      </c>
      <c r="K1135" t="s">
        <v>265</v>
      </c>
      <c r="L1135" t="s">
        <v>31</v>
      </c>
      <c r="M1135" t="s">
        <v>38</v>
      </c>
      <c r="N1135" t="s">
        <v>66</v>
      </c>
      <c r="O1135" t="s">
        <v>67</v>
      </c>
      <c r="P1135" t="s">
        <v>35</v>
      </c>
      <c r="Q1135">
        <v>172</v>
      </c>
      <c r="R1135">
        <v>223.49</v>
      </c>
      <c r="S1135">
        <v>38440.28</v>
      </c>
      <c r="T1135">
        <v>17.350000000000001</v>
      </c>
      <c r="U1135">
        <v>4</v>
      </c>
      <c r="V1135">
        <v>8</v>
      </c>
      <c r="W1135">
        <v>1150</v>
      </c>
      <c r="X1135" t="s">
        <v>188</v>
      </c>
      <c r="Y1135" t="s">
        <v>36</v>
      </c>
      <c r="Z1135">
        <v>4948.33</v>
      </c>
    </row>
    <row r="1136" spans="1:26" x14ac:dyDescent="0.25">
      <c r="A1136">
        <v>101134</v>
      </c>
      <c r="B1136" s="3">
        <v>45445</v>
      </c>
      <c r="C1136" s="3">
        <v>45449</v>
      </c>
      <c r="D1136" s="3">
        <v>45454</v>
      </c>
      <c r="E1136" t="s">
        <v>2957</v>
      </c>
      <c r="F1136" t="s">
        <v>65</v>
      </c>
      <c r="G1136" t="s">
        <v>154</v>
      </c>
      <c r="H1136" t="s">
        <v>2958</v>
      </c>
      <c r="I1136" t="s">
        <v>79</v>
      </c>
      <c r="J1136" t="s">
        <v>80</v>
      </c>
      <c r="K1136" t="s">
        <v>1292</v>
      </c>
      <c r="L1136" t="s">
        <v>113</v>
      </c>
      <c r="M1136" t="s">
        <v>32</v>
      </c>
      <c r="N1136" t="s">
        <v>45</v>
      </c>
      <c r="O1136" t="s">
        <v>46</v>
      </c>
      <c r="P1136" t="s">
        <v>68</v>
      </c>
      <c r="Q1136">
        <v>268</v>
      </c>
      <c r="R1136">
        <v>162.25</v>
      </c>
      <c r="S1136">
        <v>43483</v>
      </c>
      <c r="T1136">
        <v>45.88</v>
      </c>
      <c r="U1136">
        <v>5</v>
      </c>
      <c r="V1136">
        <v>9</v>
      </c>
      <c r="W1136">
        <v>1504</v>
      </c>
      <c r="X1136" t="s">
        <v>188</v>
      </c>
      <c r="Y1136" t="s">
        <v>36</v>
      </c>
      <c r="Z1136">
        <v>7714.11</v>
      </c>
    </row>
    <row r="1137" spans="1:26" x14ac:dyDescent="0.25">
      <c r="A1137">
        <v>101135</v>
      </c>
      <c r="B1137" s="3">
        <v>45416</v>
      </c>
      <c r="C1137" s="3">
        <v>45421</v>
      </c>
      <c r="D1137" s="3">
        <v>45431</v>
      </c>
      <c r="E1137" t="s">
        <v>48</v>
      </c>
      <c r="F1137" t="s">
        <v>25</v>
      </c>
      <c r="G1137" t="s">
        <v>172</v>
      </c>
      <c r="H1137" t="s">
        <v>2959</v>
      </c>
      <c r="I1137" t="s">
        <v>238</v>
      </c>
      <c r="J1137" t="s">
        <v>62</v>
      </c>
      <c r="K1137" t="s">
        <v>1327</v>
      </c>
      <c r="L1137" t="s">
        <v>212</v>
      </c>
      <c r="M1137" t="s">
        <v>54</v>
      </c>
      <c r="N1137" t="s">
        <v>102</v>
      </c>
      <c r="O1137" t="s">
        <v>103</v>
      </c>
      <c r="P1137" t="s">
        <v>76</v>
      </c>
      <c r="Q1137">
        <v>474</v>
      </c>
      <c r="R1137">
        <v>20.53</v>
      </c>
      <c r="S1137">
        <v>9731.2199999999993</v>
      </c>
      <c r="T1137">
        <v>16.66</v>
      </c>
      <c r="U1137">
        <v>10</v>
      </c>
      <c r="V1137">
        <v>15</v>
      </c>
      <c r="W1137">
        <v>592</v>
      </c>
      <c r="X1137" t="s">
        <v>188</v>
      </c>
      <c r="Y1137" t="s">
        <v>36</v>
      </c>
      <c r="Z1137">
        <v>595.84</v>
      </c>
    </row>
    <row r="1138" spans="1:26" x14ac:dyDescent="0.25">
      <c r="A1138">
        <v>101136</v>
      </c>
      <c r="B1138" s="3">
        <v>45509</v>
      </c>
      <c r="C1138" s="3">
        <v>45511</v>
      </c>
      <c r="D1138" s="3">
        <v>45515</v>
      </c>
      <c r="E1138" t="s">
        <v>2960</v>
      </c>
      <c r="F1138" t="s">
        <v>65</v>
      </c>
      <c r="G1138" t="s">
        <v>142</v>
      </c>
      <c r="H1138" t="s">
        <v>2961</v>
      </c>
      <c r="I1138" t="s">
        <v>85</v>
      </c>
      <c r="J1138" t="s">
        <v>52</v>
      </c>
      <c r="K1138" t="s">
        <v>2962</v>
      </c>
      <c r="L1138" t="s">
        <v>122</v>
      </c>
      <c r="M1138" t="s">
        <v>54</v>
      </c>
      <c r="N1138" t="s">
        <v>107</v>
      </c>
      <c r="O1138" t="s">
        <v>108</v>
      </c>
      <c r="P1138" t="s">
        <v>68</v>
      </c>
      <c r="Q1138">
        <v>99</v>
      </c>
      <c r="R1138">
        <v>25.76</v>
      </c>
      <c r="S1138">
        <v>2550.2399999999998</v>
      </c>
      <c r="T1138">
        <v>34.93</v>
      </c>
      <c r="U1138">
        <v>4</v>
      </c>
      <c r="V1138">
        <v>6</v>
      </c>
      <c r="W1138">
        <v>1491</v>
      </c>
      <c r="X1138" t="s">
        <v>3741</v>
      </c>
      <c r="Y1138" t="s">
        <v>36</v>
      </c>
      <c r="Z1138">
        <v>213.13</v>
      </c>
    </row>
    <row r="1139" spans="1:26" x14ac:dyDescent="0.25">
      <c r="A1139">
        <v>101137</v>
      </c>
      <c r="B1139" s="3">
        <v>45809</v>
      </c>
      <c r="C1139" s="3">
        <v>45810</v>
      </c>
      <c r="D1139" s="3">
        <v>45811</v>
      </c>
      <c r="E1139" t="s">
        <v>2963</v>
      </c>
      <c r="F1139" t="s">
        <v>65</v>
      </c>
      <c r="G1139" t="s">
        <v>154</v>
      </c>
      <c r="H1139" t="s">
        <v>2964</v>
      </c>
      <c r="I1139" t="s">
        <v>149</v>
      </c>
      <c r="J1139" t="s">
        <v>42</v>
      </c>
      <c r="K1139" t="s">
        <v>2965</v>
      </c>
      <c r="L1139" t="s">
        <v>212</v>
      </c>
      <c r="M1139" t="s">
        <v>32</v>
      </c>
      <c r="N1139" t="s">
        <v>151</v>
      </c>
      <c r="O1139" t="s">
        <v>152</v>
      </c>
      <c r="P1139" t="s">
        <v>68</v>
      </c>
      <c r="Q1139">
        <v>403</v>
      </c>
      <c r="R1139">
        <v>62.29</v>
      </c>
      <c r="S1139">
        <v>25102.87</v>
      </c>
      <c r="T1139">
        <v>54.63</v>
      </c>
      <c r="U1139">
        <v>1</v>
      </c>
      <c r="V1139">
        <v>2</v>
      </c>
      <c r="W1139">
        <v>457</v>
      </c>
      <c r="X1139" t="s">
        <v>3741</v>
      </c>
      <c r="Y1139" t="s">
        <v>36</v>
      </c>
      <c r="Z1139">
        <v>3401.05</v>
      </c>
    </row>
    <row r="1140" spans="1:26" x14ac:dyDescent="0.25">
      <c r="A1140">
        <v>101138</v>
      </c>
      <c r="B1140" s="3">
        <v>45687</v>
      </c>
      <c r="C1140" s="3">
        <v>45688</v>
      </c>
      <c r="D1140" s="3">
        <v>45704</v>
      </c>
      <c r="E1140" t="s">
        <v>1175</v>
      </c>
      <c r="F1140" t="s">
        <v>38</v>
      </c>
      <c r="G1140" t="s">
        <v>147</v>
      </c>
      <c r="H1140" t="s">
        <v>2966</v>
      </c>
      <c r="I1140" t="s">
        <v>72</v>
      </c>
      <c r="J1140" t="s">
        <v>42</v>
      </c>
      <c r="K1140" t="s">
        <v>2761</v>
      </c>
      <c r="L1140" t="s">
        <v>64</v>
      </c>
      <c r="M1140" t="s">
        <v>32</v>
      </c>
      <c r="N1140" t="s">
        <v>45</v>
      </c>
      <c r="O1140" t="s">
        <v>46</v>
      </c>
      <c r="P1140" t="s">
        <v>76</v>
      </c>
      <c r="Q1140">
        <v>459</v>
      </c>
      <c r="R1140">
        <v>343.32</v>
      </c>
      <c r="S1140">
        <v>157583.88</v>
      </c>
      <c r="T1140">
        <v>16.38</v>
      </c>
      <c r="U1140">
        <v>16</v>
      </c>
      <c r="V1140">
        <v>17</v>
      </c>
      <c r="W1140">
        <v>1036</v>
      </c>
      <c r="X1140" t="s">
        <v>188</v>
      </c>
      <c r="Y1140" t="s">
        <v>36</v>
      </c>
      <c r="Z1140">
        <v>17817.37</v>
      </c>
    </row>
    <row r="1141" spans="1:26" x14ac:dyDescent="0.25">
      <c r="A1141">
        <v>101139</v>
      </c>
      <c r="B1141" s="3">
        <v>45879</v>
      </c>
      <c r="C1141" s="3">
        <v>45879</v>
      </c>
      <c r="D1141" s="3">
        <v>45897</v>
      </c>
      <c r="E1141" t="s">
        <v>2124</v>
      </c>
      <c r="F1141" t="s">
        <v>25</v>
      </c>
      <c r="G1141" t="s">
        <v>169</v>
      </c>
      <c r="H1141" t="s">
        <v>2967</v>
      </c>
      <c r="I1141" t="s">
        <v>61</v>
      </c>
      <c r="J1141" t="s">
        <v>62</v>
      </c>
      <c r="K1141" t="s">
        <v>101</v>
      </c>
      <c r="L1141" t="s">
        <v>113</v>
      </c>
      <c r="M1141" t="s">
        <v>38</v>
      </c>
      <c r="N1141" t="s">
        <v>74</v>
      </c>
      <c r="O1141" t="s">
        <v>75</v>
      </c>
      <c r="P1141" t="s">
        <v>76</v>
      </c>
      <c r="Q1141">
        <v>369</v>
      </c>
      <c r="R1141">
        <v>20.260000000000002</v>
      </c>
      <c r="S1141">
        <v>7475.94</v>
      </c>
      <c r="T1141">
        <v>14.74</v>
      </c>
      <c r="U1141">
        <v>18</v>
      </c>
      <c r="V1141">
        <v>18</v>
      </c>
      <c r="W1141">
        <v>4626</v>
      </c>
      <c r="X1141" t="s">
        <v>188</v>
      </c>
      <c r="Y1141" t="s">
        <v>36</v>
      </c>
      <c r="Z1141">
        <v>923.48</v>
      </c>
    </row>
    <row r="1142" spans="1:26" x14ac:dyDescent="0.25">
      <c r="A1142">
        <v>101140</v>
      </c>
      <c r="B1142" s="3">
        <v>45683</v>
      </c>
      <c r="C1142" s="3">
        <v>45685</v>
      </c>
      <c r="D1142" s="3">
        <v>45687</v>
      </c>
      <c r="E1142" t="s">
        <v>2968</v>
      </c>
      <c r="F1142" t="s">
        <v>38</v>
      </c>
      <c r="G1142" t="s">
        <v>83</v>
      </c>
      <c r="H1142" t="s">
        <v>2969</v>
      </c>
      <c r="I1142" t="s">
        <v>207</v>
      </c>
      <c r="J1142" t="s">
        <v>80</v>
      </c>
      <c r="K1142" t="s">
        <v>1938</v>
      </c>
      <c r="L1142" t="s">
        <v>122</v>
      </c>
      <c r="M1142" t="s">
        <v>25</v>
      </c>
      <c r="N1142" t="s">
        <v>92</v>
      </c>
      <c r="O1142" t="s">
        <v>93</v>
      </c>
      <c r="P1142" t="s">
        <v>68</v>
      </c>
      <c r="Q1142">
        <v>239</v>
      </c>
      <c r="R1142">
        <v>333.8</v>
      </c>
      <c r="S1142">
        <v>79778.2</v>
      </c>
      <c r="T1142">
        <v>44</v>
      </c>
      <c r="U1142">
        <v>2</v>
      </c>
      <c r="V1142">
        <v>4</v>
      </c>
      <c r="W1142">
        <v>1552</v>
      </c>
      <c r="X1142" t="s">
        <v>3741</v>
      </c>
      <c r="Y1142" t="s">
        <v>36</v>
      </c>
      <c r="Z1142">
        <v>19061.54</v>
      </c>
    </row>
    <row r="1143" spans="1:26" x14ac:dyDescent="0.25">
      <c r="A1143">
        <v>101141</v>
      </c>
      <c r="B1143" s="3">
        <v>45491</v>
      </c>
      <c r="C1143" s="3">
        <v>45492</v>
      </c>
      <c r="D1143" s="3">
        <v>45502</v>
      </c>
      <c r="E1143" t="s">
        <v>2353</v>
      </c>
      <c r="F1143" t="s">
        <v>54</v>
      </c>
      <c r="G1143" t="s">
        <v>193</v>
      </c>
      <c r="H1143" t="s">
        <v>2970</v>
      </c>
      <c r="I1143" t="s">
        <v>126</v>
      </c>
      <c r="J1143" t="s">
        <v>42</v>
      </c>
      <c r="K1143" t="s">
        <v>425</v>
      </c>
      <c r="L1143" t="s">
        <v>31</v>
      </c>
      <c r="M1143" t="s">
        <v>54</v>
      </c>
      <c r="N1143" t="s">
        <v>55</v>
      </c>
      <c r="O1143" t="s">
        <v>56</v>
      </c>
      <c r="P1143" t="s">
        <v>35</v>
      </c>
      <c r="Q1143">
        <v>348</v>
      </c>
      <c r="R1143">
        <v>132.84</v>
      </c>
      <c r="S1143">
        <v>46228.32</v>
      </c>
      <c r="T1143">
        <v>16.55</v>
      </c>
      <c r="U1143">
        <v>10</v>
      </c>
      <c r="V1143">
        <v>11</v>
      </c>
      <c r="W1143">
        <v>1339</v>
      </c>
      <c r="X1143" t="s">
        <v>188</v>
      </c>
      <c r="Y1143" t="s">
        <v>36</v>
      </c>
      <c r="Z1143">
        <v>4768.3100000000004</v>
      </c>
    </row>
    <row r="1144" spans="1:26" x14ac:dyDescent="0.25">
      <c r="A1144">
        <v>101142</v>
      </c>
      <c r="B1144" s="3">
        <v>45748</v>
      </c>
      <c r="C1144" s="3">
        <v>45749</v>
      </c>
      <c r="D1144" s="3">
        <v>45761</v>
      </c>
      <c r="E1144" t="s">
        <v>2971</v>
      </c>
      <c r="F1144" t="s">
        <v>32</v>
      </c>
      <c r="G1144" t="s">
        <v>137</v>
      </c>
      <c r="H1144" t="s">
        <v>2972</v>
      </c>
      <c r="I1144" t="s">
        <v>177</v>
      </c>
      <c r="J1144" t="s">
        <v>29</v>
      </c>
      <c r="K1144" t="s">
        <v>2311</v>
      </c>
      <c r="L1144" t="s">
        <v>31</v>
      </c>
      <c r="M1144" t="s">
        <v>54</v>
      </c>
      <c r="N1144" t="s">
        <v>66</v>
      </c>
      <c r="O1144" t="s">
        <v>67</v>
      </c>
      <c r="P1144" t="s">
        <v>76</v>
      </c>
      <c r="Q1144">
        <v>278</v>
      </c>
      <c r="R1144">
        <v>109.16</v>
      </c>
      <c r="S1144">
        <v>30346.48</v>
      </c>
      <c r="T1144">
        <v>13.09</v>
      </c>
      <c r="U1144">
        <v>12</v>
      </c>
      <c r="V1144">
        <v>13</v>
      </c>
      <c r="W1144">
        <v>2107</v>
      </c>
      <c r="X1144" t="s">
        <v>3742</v>
      </c>
      <c r="Y1144" t="s">
        <v>57</v>
      </c>
      <c r="Z1144">
        <v>6791.35</v>
      </c>
    </row>
    <row r="1145" spans="1:26" x14ac:dyDescent="0.25">
      <c r="A1145">
        <v>101143</v>
      </c>
      <c r="B1145" s="3">
        <v>45369</v>
      </c>
      <c r="C1145" s="3">
        <v>45373</v>
      </c>
      <c r="D1145" s="3">
        <v>45382</v>
      </c>
      <c r="E1145" t="s">
        <v>2973</v>
      </c>
      <c r="F1145" t="s">
        <v>65</v>
      </c>
      <c r="G1145" t="s">
        <v>70</v>
      </c>
      <c r="H1145" t="s">
        <v>2974</v>
      </c>
      <c r="I1145" t="s">
        <v>139</v>
      </c>
      <c r="J1145" t="s">
        <v>42</v>
      </c>
      <c r="K1145" t="s">
        <v>2975</v>
      </c>
      <c r="L1145" t="s">
        <v>187</v>
      </c>
      <c r="M1145" t="s">
        <v>38</v>
      </c>
      <c r="N1145" t="s">
        <v>33</v>
      </c>
      <c r="O1145" t="s">
        <v>34</v>
      </c>
      <c r="P1145" t="s">
        <v>35</v>
      </c>
      <c r="Q1145">
        <v>479</v>
      </c>
      <c r="R1145">
        <v>233.4</v>
      </c>
      <c r="S1145">
        <v>111798.6</v>
      </c>
      <c r="T1145">
        <v>26.05</v>
      </c>
      <c r="U1145">
        <v>9</v>
      </c>
      <c r="V1145">
        <v>13</v>
      </c>
      <c r="W1145">
        <v>1124</v>
      </c>
      <c r="X1145" t="s">
        <v>188</v>
      </c>
      <c r="Y1145" t="s">
        <v>36</v>
      </c>
      <c r="Z1145">
        <v>8938.7099999999991</v>
      </c>
    </row>
    <row r="1146" spans="1:26" x14ac:dyDescent="0.25">
      <c r="A1146">
        <v>101144</v>
      </c>
      <c r="B1146" s="3">
        <v>45672</v>
      </c>
      <c r="C1146" s="3">
        <v>45672</v>
      </c>
      <c r="D1146" s="3">
        <v>45688</v>
      </c>
      <c r="E1146" t="s">
        <v>440</v>
      </c>
      <c r="F1146" t="s">
        <v>65</v>
      </c>
      <c r="G1146" t="s">
        <v>154</v>
      </c>
      <c r="H1146" t="s">
        <v>2976</v>
      </c>
      <c r="I1146" t="s">
        <v>116</v>
      </c>
      <c r="J1146" t="s">
        <v>62</v>
      </c>
      <c r="K1146" t="s">
        <v>2977</v>
      </c>
      <c r="L1146" t="s">
        <v>64</v>
      </c>
      <c r="M1146" t="s">
        <v>25</v>
      </c>
      <c r="N1146" t="s">
        <v>151</v>
      </c>
      <c r="O1146" t="s">
        <v>152</v>
      </c>
      <c r="P1146" t="s">
        <v>76</v>
      </c>
      <c r="Q1146">
        <v>19</v>
      </c>
      <c r="R1146">
        <v>28.26</v>
      </c>
      <c r="S1146">
        <v>536.94000000000005</v>
      </c>
      <c r="T1146">
        <v>8.3699999999999992</v>
      </c>
      <c r="U1146">
        <v>16</v>
      </c>
      <c r="V1146">
        <v>16</v>
      </c>
      <c r="W1146">
        <v>1635</v>
      </c>
      <c r="X1146" t="s">
        <v>188</v>
      </c>
      <c r="Y1146" t="s">
        <v>36</v>
      </c>
      <c r="Z1146">
        <v>34.85</v>
      </c>
    </row>
    <row r="1147" spans="1:26" x14ac:dyDescent="0.25">
      <c r="A1147">
        <v>101145</v>
      </c>
      <c r="B1147" s="3">
        <v>45807</v>
      </c>
      <c r="C1147" s="3">
        <v>45812</v>
      </c>
      <c r="D1147" s="3">
        <v>45823</v>
      </c>
      <c r="E1147" t="s">
        <v>2978</v>
      </c>
      <c r="F1147" t="s">
        <v>32</v>
      </c>
      <c r="G1147" t="s">
        <v>95</v>
      </c>
      <c r="H1147" t="s">
        <v>2979</v>
      </c>
      <c r="I1147" t="s">
        <v>191</v>
      </c>
      <c r="J1147" t="s">
        <v>62</v>
      </c>
      <c r="K1147" t="s">
        <v>1608</v>
      </c>
      <c r="L1147" t="s">
        <v>98</v>
      </c>
      <c r="M1147" t="s">
        <v>32</v>
      </c>
      <c r="N1147" t="s">
        <v>74</v>
      </c>
      <c r="O1147" t="s">
        <v>75</v>
      </c>
      <c r="P1147" t="s">
        <v>76</v>
      </c>
      <c r="Q1147">
        <v>133</v>
      </c>
      <c r="R1147">
        <v>25.68</v>
      </c>
      <c r="S1147">
        <v>3415.44</v>
      </c>
      <c r="T1147">
        <v>7.74</v>
      </c>
      <c r="U1147">
        <v>11</v>
      </c>
      <c r="V1147">
        <v>16</v>
      </c>
      <c r="W1147">
        <v>923</v>
      </c>
      <c r="X1147" t="s">
        <v>188</v>
      </c>
      <c r="Y1147" t="s">
        <v>36</v>
      </c>
      <c r="Z1147">
        <v>206.95</v>
      </c>
    </row>
    <row r="1148" spans="1:26" x14ac:dyDescent="0.25">
      <c r="A1148">
        <v>101146</v>
      </c>
      <c r="B1148" s="3">
        <v>45428</v>
      </c>
      <c r="C1148" s="3">
        <v>45428</v>
      </c>
      <c r="D1148" s="3">
        <v>45450</v>
      </c>
      <c r="E1148" t="s">
        <v>2980</v>
      </c>
      <c r="F1148" t="s">
        <v>32</v>
      </c>
      <c r="G1148" t="s">
        <v>273</v>
      </c>
      <c r="H1148" t="s">
        <v>2981</v>
      </c>
      <c r="I1148" t="s">
        <v>126</v>
      </c>
      <c r="J1148" t="s">
        <v>42</v>
      </c>
      <c r="K1148" t="s">
        <v>288</v>
      </c>
      <c r="L1148" t="s">
        <v>98</v>
      </c>
      <c r="M1148" t="s">
        <v>25</v>
      </c>
      <c r="N1148" t="s">
        <v>151</v>
      </c>
      <c r="O1148" t="s">
        <v>152</v>
      </c>
      <c r="P1148" t="s">
        <v>76</v>
      </c>
      <c r="Q1148">
        <v>306</v>
      </c>
      <c r="R1148">
        <v>322.77</v>
      </c>
      <c r="S1148">
        <v>98767.62</v>
      </c>
      <c r="T1148">
        <v>13.6</v>
      </c>
      <c r="U1148">
        <v>22</v>
      </c>
      <c r="V1148">
        <v>22</v>
      </c>
      <c r="W1148">
        <v>779</v>
      </c>
      <c r="X1148" t="s">
        <v>188</v>
      </c>
      <c r="Y1148" t="s">
        <v>36</v>
      </c>
      <c r="Z1148">
        <v>8587.14</v>
      </c>
    </row>
    <row r="1149" spans="1:26" x14ac:dyDescent="0.25">
      <c r="A1149">
        <v>101147</v>
      </c>
      <c r="B1149" s="3">
        <v>45332</v>
      </c>
      <c r="C1149" s="3">
        <v>45334</v>
      </c>
      <c r="D1149" s="3">
        <v>45345</v>
      </c>
      <c r="E1149" t="s">
        <v>2982</v>
      </c>
      <c r="F1149" t="s">
        <v>54</v>
      </c>
      <c r="G1149" t="s">
        <v>158</v>
      </c>
      <c r="H1149" t="s">
        <v>2983</v>
      </c>
      <c r="I1149" t="s">
        <v>28</v>
      </c>
      <c r="J1149" t="s">
        <v>29</v>
      </c>
      <c r="K1149" t="s">
        <v>2984</v>
      </c>
      <c r="L1149" t="s">
        <v>98</v>
      </c>
      <c r="M1149" t="s">
        <v>54</v>
      </c>
      <c r="N1149" t="s">
        <v>45</v>
      </c>
      <c r="O1149" t="s">
        <v>46</v>
      </c>
      <c r="P1149" t="s">
        <v>76</v>
      </c>
      <c r="Q1149">
        <v>156</v>
      </c>
      <c r="R1149">
        <v>66.09</v>
      </c>
      <c r="S1149">
        <v>10310.040000000001</v>
      </c>
      <c r="T1149">
        <v>8.0500000000000007</v>
      </c>
      <c r="U1149">
        <v>11</v>
      </c>
      <c r="V1149">
        <v>13</v>
      </c>
      <c r="W1149">
        <v>1574</v>
      </c>
      <c r="X1149" t="s">
        <v>188</v>
      </c>
      <c r="Y1149" t="s">
        <v>36</v>
      </c>
      <c r="Z1149">
        <v>2958.96</v>
      </c>
    </row>
    <row r="1150" spans="1:26" x14ac:dyDescent="0.25">
      <c r="A1150">
        <v>101148</v>
      </c>
      <c r="B1150" s="3">
        <v>45973</v>
      </c>
      <c r="C1150" s="3">
        <v>45978</v>
      </c>
      <c r="D1150" s="3">
        <v>45983</v>
      </c>
      <c r="E1150" t="s">
        <v>2985</v>
      </c>
      <c r="F1150" t="s">
        <v>65</v>
      </c>
      <c r="G1150" t="s">
        <v>142</v>
      </c>
      <c r="H1150" t="s">
        <v>2986</v>
      </c>
      <c r="I1150" t="s">
        <v>116</v>
      </c>
      <c r="J1150" t="s">
        <v>62</v>
      </c>
      <c r="K1150" t="s">
        <v>1788</v>
      </c>
      <c r="L1150" t="s">
        <v>212</v>
      </c>
      <c r="M1150" t="s">
        <v>54</v>
      </c>
      <c r="N1150" t="s">
        <v>33</v>
      </c>
      <c r="O1150" t="s">
        <v>34</v>
      </c>
      <c r="P1150" t="s">
        <v>68</v>
      </c>
      <c r="Q1150">
        <v>274</v>
      </c>
      <c r="R1150">
        <v>35.57</v>
      </c>
      <c r="S1150">
        <v>9746.18</v>
      </c>
      <c r="T1150">
        <v>46.27</v>
      </c>
      <c r="U1150">
        <v>5</v>
      </c>
      <c r="V1150">
        <v>10</v>
      </c>
      <c r="W1150">
        <v>2277</v>
      </c>
      <c r="X1150" t="s">
        <v>188</v>
      </c>
      <c r="Y1150" t="s">
        <v>36</v>
      </c>
      <c r="Z1150">
        <v>815.16</v>
      </c>
    </row>
    <row r="1151" spans="1:26" x14ac:dyDescent="0.25">
      <c r="A1151">
        <v>101149</v>
      </c>
      <c r="B1151" s="3">
        <v>45647</v>
      </c>
      <c r="C1151" s="3">
        <v>45648</v>
      </c>
      <c r="D1151" s="3">
        <v>45651</v>
      </c>
      <c r="E1151" t="s">
        <v>2987</v>
      </c>
      <c r="F1151" t="s">
        <v>32</v>
      </c>
      <c r="G1151" t="s">
        <v>273</v>
      </c>
      <c r="H1151" t="s">
        <v>2988</v>
      </c>
      <c r="I1151" t="s">
        <v>191</v>
      </c>
      <c r="J1151" t="s">
        <v>62</v>
      </c>
      <c r="K1151" t="s">
        <v>1683</v>
      </c>
      <c r="L1151" t="s">
        <v>118</v>
      </c>
      <c r="M1151" t="s">
        <v>54</v>
      </c>
      <c r="N1151" t="s">
        <v>74</v>
      </c>
      <c r="O1151" t="s">
        <v>75</v>
      </c>
      <c r="P1151" t="s">
        <v>35</v>
      </c>
      <c r="Q1151">
        <v>346</v>
      </c>
      <c r="R1151">
        <v>5.92</v>
      </c>
      <c r="S1151">
        <v>2048.3200000000002</v>
      </c>
      <c r="T1151">
        <v>22.28</v>
      </c>
      <c r="U1151">
        <v>3</v>
      </c>
      <c r="V1151">
        <v>4</v>
      </c>
      <c r="W1151">
        <v>4516</v>
      </c>
      <c r="X1151" t="s">
        <v>3741</v>
      </c>
      <c r="Y1151" t="s">
        <v>36</v>
      </c>
      <c r="Z1151">
        <v>290.77</v>
      </c>
    </row>
    <row r="1152" spans="1:26" x14ac:dyDescent="0.25">
      <c r="A1152">
        <v>101150</v>
      </c>
      <c r="B1152" s="3">
        <v>45405</v>
      </c>
      <c r="C1152" s="3">
        <v>45407</v>
      </c>
      <c r="D1152" s="3">
        <v>45409</v>
      </c>
      <c r="E1152" t="s">
        <v>2989</v>
      </c>
      <c r="F1152" t="s">
        <v>38</v>
      </c>
      <c r="G1152" t="s">
        <v>39</v>
      </c>
      <c r="H1152" t="s">
        <v>2990</v>
      </c>
      <c r="I1152" t="s">
        <v>89</v>
      </c>
      <c r="J1152" t="s">
        <v>62</v>
      </c>
      <c r="K1152" t="s">
        <v>117</v>
      </c>
      <c r="L1152" t="s">
        <v>212</v>
      </c>
      <c r="M1152" t="s">
        <v>38</v>
      </c>
      <c r="N1152" t="s">
        <v>45</v>
      </c>
      <c r="O1152" t="s">
        <v>46</v>
      </c>
      <c r="P1152" t="s">
        <v>68</v>
      </c>
      <c r="Q1152">
        <v>221</v>
      </c>
      <c r="R1152">
        <v>19.32</v>
      </c>
      <c r="S1152">
        <v>4269.72</v>
      </c>
      <c r="T1152">
        <v>31.73</v>
      </c>
      <c r="U1152">
        <v>2</v>
      </c>
      <c r="V1152">
        <v>4</v>
      </c>
      <c r="W1152">
        <v>1347</v>
      </c>
      <c r="X1152" t="s">
        <v>3741</v>
      </c>
      <c r="Y1152" t="s">
        <v>36</v>
      </c>
      <c r="Z1152">
        <v>651.33000000000004</v>
      </c>
    </row>
    <row r="1153" spans="1:26" x14ac:dyDescent="0.25">
      <c r="A1153">
        <v>101151</v>
      </c>
      <c r="B1153" s="3">
        <v>45720</v>
      </c>
      <c r="C1153" s="3">
        <v>45724</v>
      </c>
      <c r="D1153" s="3">
        <v>45726</v>
      </c>
      <c r="E1153" t="s">
        <v>2991</v>
      </c>
      <c r="F1153" t="s">
        <v>32</v>
      </c>
      <c r="G1153" t="s">
        <v>95</v>
      </c>
      <c r="H1153" t="s">
        <v>2992</v>
      </c>
      <c r="I1153" t="s">
        <v>89</v>
      </c>
      <c r="J1153" t="s">
        <v>62</v>
      </c>
      <c r="K1153" t="s">
        <v>1292</v>
      </c>
      <c r="L1153" t="s">
        <v>98</v>
      </c>
      <c r="M1153" t="s">
        <v>32</v>
      </c>
      <c r="N1153" t="s">
        <v>102</v>
      </c>
      <c r="O1153" t="s">
        <v>103</v>
      </c>
      <c r="P1153" t="s">
        <v>68</v>
      </c>
      <c r="Q1153">
        <v>273</v>
      </c>
      <c r="R1153">
        <v>15.47</v>
      </c>
      <c r="S1153">
        <v>4223.3100000000004</v>
      </c>
      <c r="T1153">
        <v>34.22</v>
      </c>
      <c r="U1153">
        <v>2</v>
      </c>
      <c r="V1153">
        <v>6</v>
      </c>
      <c r="W1153">
        <v>4674</v>
      </c>
      <c r="X1153" t="s">
        <v>3741</v>
      </c>
      <c r="Y1153" t="s">
        <v>36</v>
      </c>
      <c r="Z1153">
        <v>525.28</v>
      </c>
    </row>
    <row r="1154" spans="1:26" x14ac:dyDescent="0.25">
      <c r="A1154">
        <v>101152</v>
      </c>
      <c r="B1154" s="3">
        <v>45355</v>
      </c>
      <c r="C1154" s="3">
        <v>45356</v>
      </c>
      <c r="D1154" s="3">
        <v>45361</v>
      </c>
      <c r="E1154" t="s">
        <v>2993</v>
      </c>
      <c r="F1154" t="s">
        <v>32</v>
      </c>
      <c r="G1154" t="s">
        <v>255</v>
      </c>
      <c r="H1154" t="s">
        <v>2994</v>
      </c>
      <c r="I1154" t="s">
        <v>72</v>
      </c>
      <c r="J1154" t="s">
        <v>42</v>
      </c>
      <c r="K1154" t="s">
        <v>371</v>
      </c>
      <c r="L1154" t="s">
        <v>212</v>
      </c>
      <c r="M1154" t="s">
        <v>25</v>
      </c>
      <c r="N1154" t="s">
        <v>66</v>
      </c>
      <c r="O1154" t="s">
        <v>67</v>
      </c>
      <c r="P1154" t="s">
        <v>123</v>
      </c>
      <c r="Q1154">
        <v>452</v>
      </c>
      <c r="R1154">
        <v>400.26</v>
      </c>
      <c r="S1154">
        <v>180917.52</v>
      </c>
      <c r="T1154">
        <v>21.68</v>
      </c>
      <c r="U1154">
        <v>5</v>
      </c>
      <c r="V1154">
        <v>6</v>
      </c>
      <c r="W1154">
        <v>493</v>
      </c>
      <c r="X1154" t="s">
        <v>3741</v>
      </c>
      <c r="Y1154" t="s">
        <v>36</v>
      </c>
      <c r="Z1154">
        <v>4814.76</v>
      </c>
    </row>
    <row r="1155" spans="1:26" x14ac:dyDescent="0.25">
      <c r="A1155">
        <v>101153</v>
      </c>
      <c r="B1155" s="3">
        <v>45452</v>
      </c>
      <c r="C1155" s="3">
        <v>45455</v>
      </c>
      <c r="D1155" s="3">
        <v>45461</v>
      </c>
      <c r="E1155" t="s">
        <v>2995</v>
      </c>
      <c r="F1155" t="s">
        <v>38</v>
      </c>
      <c r="G1155" t="s">
        <v>83</v>
      </c>
      <c r="H1155" t="s">
        <v>2996</v>
      </c>
      <c r="I1155" t="s">
        <v>79</v>
      </c>
      <c r="J1155" t="s">
        <v>80</v>
      </c>
      <c r="K1155" t="s">
        <v>553</v>
      </c>
      <c r="L1155" t="s">
        <v>113</v>
      </c>
      <c r="M1155" t="s">
        <v>32</v>
      </c>
      <c r="N1155" t="s">
        <v>74</v>
      </c>
      <c r="O1155" t="s">
        <v>75</v>
      </c>
      <c r="P1155" t="s">
        <v>123</v>
      </c>
      <c r="Q1155">
        <v>304</v>
      </c>
      <c r="R1155">
        <v>266.44</v>
      </c>
      <c r="S1155">
        <v>80997.759999999995</v>
      </c>
      <c r="T1155">
        <v>18.079999999999998</v>
      </c>
      <c r="U1155">
        <v>6</v>
      </c>
      <c r="V1155">
        <v>9</v>
      </c>
      <c r="W1155">
        <v>1085</v>
      </c>
      <c r="X1155" t="s">
        <v>188</v>
      </c>
      <c r="Y1155" t="s">
        <v>36</v>
      </c>
      <c r="Z1155">
        <v>14437.18</v>
      </c>
    </row>
    <row r="1156" spans="1:26" x14ac:dyDescent="0.25">
      <c r="A1156">
        <v>101154</v>
      </c>
      <c r="B1156" s="3">
        <v>45541</v>
      </c>
      <c r="C1156" s="3">
        <v>45544</v>
      </c>
      <c r="D1156" s="3">
        <v>45545</v>
      </c>
      <c r="E1156" t="s">
        <v>2997</v>
      </c>
      <c r="F1156" t="s">
        <v>38</v>
      </c>
      <c r="G1156" t="s">
        <v>39</v>
      </c>
      <c r="H1156" t="s">
        <v>2998</v>
      </c>
      <c r="I1156" t="s">
        <v>182</v>
      </c>
      <c r="J1156" t="s">
        <v>80</v>
      </c>
      <c r="K1156" t="s">
        <v>2999</v>
      </c>
      <c r="L1156" t="s">
        <v>98</v>
      </c>
      <c r="M1156" t="s">
        <v>38</v>
      </c>
      <c r="N1156" t="s">
        <v>203</v>
      </c>
      <c r="O1156" t="s">
        <v>204</v>
      </c>
      <c r="P1156" t="s">
        <v>68</v>
      </c>
      <c r="Q1156">
        <v>247</v>
      </c>
      <c r="R1156">
        <v>284.19</v>
      </c>
      <c r="S1156">
        <v>70194.929999999993</v>
      </c>
      <c r="T1156">
        <v>32.979999999999997</v>
      </c>
      <c r="U1156">
        <v>1</v>
      </c>
      <c r="V1156">
        <v>4</v>
      </c>
      <c r="W1156">
        <v>146</v>
      </c>
      <c r="X1156" t="s">
        <v>3741</v>
      </c>
      <c r="Y1156" t="s">
        <v>36</v>
      </c>
      <c r="Z1156">
        <v>18692.82</v>
      </c>
    </row>
    <row r="1157" spans="1:26" x14ac:dyDescent="0.25">
      <c r="A1157">
        <v>101155</v>
      </c>
      <c r="B1157" s="3">
        <v>45536</v>
      </c>
      <c r="C1157" s="3">
        <v>45538</v>
      </c>
      <c r="D1157" s="3">
        <v>45544</v>
      </c>
      <c r="E1157" t="s">
        <v>3000</v>
      </c>
      <c r="F1157" t="s">
        <v>32</v>
      </c>
      <c r="G1157" t="s">
        <v>273</v>
      </c>
      <c r="H1157" t="s">
        <v>3001</v>
      </c>
      <c r="I1157" t="s">
        <v>61</v>
      </c>
      <c r="J1157" t="s">
        <v>62</v>
      </c>
      <c r="K1157" t="s">
        <v>731</v>
      </c>
      <c r="L1157" t="s">
        <v>31</v>
      </c>
      <c r="M1157" t="s">
        <v>54</v>
      </c>
      <c r="N1157" t="s">
        <v>45</v>
      </c>
      <c r="O1157" t="s">
        <v>46</v>
      </c>
      <c r="P1157" t="s">
        <v>35</v>
      </c>
      <c r="Q1157">
        <v>278</v>
      </c>
      <c r="R1157">
        <v>14.91</v>
      </c>
      <c r="S1157">
        <v>4144.9799999999996</v>
      </c>
      <c r="T1157">
        <v>20.36</v>
      </c>
      <c r="U1157">
        <v>6</v>
      </c>
      <c r="V1157">
        <v>8</v>
      </c>
      <c r="W1157">
        <v>3437</v>
      </c>
      <c r="X1157" t="s">
        <v>188</v>
      </c>
      <c r="Y1157" t="s">
        <v>36</v>
      </c>
      <c r="Z1157">
        <v>393.78</v>
      </c>
    </row>
    <row r="1158" spans="1:26" x14ac:dyDescent="0.25">
      <c r="A1158">
        <v>101156</v>
      </c>
      <c r="B1158" s="3">
        <v>45527</v>
      </c>
      <c r="C1158" s="3">
        <v>45528</v>
      </c>
      <c r="D1158" s="3">
        <v>45530</v>
      </c>
      <c r="E1158" t="s">
        <v>3002</v>
      </c>
      <c r="F1158" t="s">
        <v>54</v>
      </c>
      <c r="G1158" t="s">
        <v>129</v>
      </c>
      <c r="H1158" t="s">
        <v>3003</v>
      </c>
      <c r="I1158" t="s">
        <v>85</v>
      </c>
      <c r="J1158" t="s">
        <v>52</v>
      </c>
      <c r="K1158" t="s">
        <v>524</v>
      </c>
      <c r="L1158" t="s">
        <v>64</v>
      </c>
      <c r="M1158" t="s">
        <v>65</v>
      </c>
      <c r="N1158" t="s">
        <v>102</v>
      </c>
      <c r="O1158" t="s">
        <v>103</v>
      </c>
      <c r="P1158" t="s">
        <v>68</v>
      </c>
      <c r="Q1158">
        <v>241</v>
      </c>
      <c r="R1158">
        <v>84.68</v>
      </c>
      <c r="S1158">
        <v>20407.88</v>
      </c>
      <c r="T1158">
        <v>44.13</v>
      </c>
      <c r="U1158">
        <v>2</v>
      </c>
      <c r="V1158">
        <v>3</v>
      </c>
      <c r="W1158">
        <v>1871</v>
      </c>
      <c r="X1158" t="s">
        <v>3741</v>
      </c>
      <c r="Y1158" t="s">
        <v>36</v>
      </c>
      <c r="Z1158">
        <v>2422.64</v>
      </c>
    </row>
    <row r="1159" spans="1:26" x14ac:dyDescent="0.25">
      <c r="A1159">
        <v>101157</v>
      </c>
      <c r="B1159" s="3">
        <v>45382</v>
      </c>
      <c r="C1159" s="3">
        <v>45383</v>
      </c>
      <c r="D1159" s="3">
        <v>45390</v>
      </c>
      <c r="E1159" t="s">
        <v>2839</v>
      </c>
      <c r="F1159" t="s">
        <v>32</v>
      </c>
      <c r="G1159" t="s">
        <v>180</v>
      </c>
      <c r="H1159" t="s">
        <v>3004</v>
      </c>
      <c r="I1159" t="s">
        <v>139</v>
      </c>
      <c r="J1159" t="s">
        <v>42</v>
      </c>
      <c r="K1159" t="s">
        <v>1071</v>
      </c>
      <c r="L1159" t="s">
        <v>113</v>
      </c>
      <c r="M1159" t="s">
        <v>38</v>
      </c>
      <c r="N1159" t="s">
        <v>74</v>
      </c>
      <c r="O1159" t="s">
        <v>75</v>
      </c>
      <c r="P1159" t="s">
        <v>35</v>
      </c>
      <c r="Q1159">
        <v>142</v>
      </c>
      <c r="R1159">
        <v>416.03</v>
      </c>
      <c r="S1159">
        <v>59076.26</v>
      </c>
      <c r="T1159">
        <v>16.5</v>
      </c>
      <c r="U1159">
        <v>7</v>
      </c>
      <c r="V1159">
        <v>8</v>
      </c>
      <c r="W1159">
        <v>1271</v>
      </c>
      <c r="X1159" t="s">
        <v>3742</v>
      </c>
      <c r="Y1159" t="s">
        <v>47</v>
      </c>
      <c r="Z1159">
        <v>-206.28</v>
      </c>
    </row>
    <row r="1160" spans="1:26" x14ac:dyDescent="0.25">
      <c r="A1160">
        <v>101158</v>
      </c>
      <c r="B1160" s="3">
        <v>45434</v>
      </c>
      <c r="C1160" s="3">
        <v>45435</v>
      </c>
      <c r="D1160" s="3">
        <v>45454</v>
      </c>
      <c r="E1160" t="s">
        <v>3005</v>
      </c>
      <c r="F1160" t="s">
        <v>38</v>
      </c>
      <c r="G1160" t="s">
        <v>217</v>
      </c>
      <c r="H1160" t="s">
        <v>3006</v>
      </c>
      <c r="I1160" t="s">
        <v>79</v>
      </c>
      <c r="J1160" t="s">
        <v>80</v>
      </c>
      <c r="K1160" t="s">
        <v>1530</v>
      </c>
      <c r="L1160" t="s">
        <v>212</v>
      </c>
      <c r="M1160" t="s">
        <v>65</v>
      </c>
      <c r="N1160" t="s">
        <v>203</v>
      </c>
      <c r="O1160" t="s">
        <v>204</v>
      </c>
      <c r="P1160" t="s">
        <v>76</v>
      </c>
      <c r="Q1160">
        <v>500</v>
      </c>
      <c r="R1160">
        <v>93.31</v>
      </c>
      <c r="S1160">
        <v>46655</v>
      </c>
      <c r="T1160">
        <v>17.13</v>
      </c>
      <c r="U1160">
        <v>19</v>
      </c>
      <c r="V1160">
        <v>20</v>
      </c>
      <c r="W1160">
        <v>1280</v>
      </c>
      <c r="X1160" t="s">
        <v>188</v>
      </c>
      <c r="Y1160" t="s">
        <v>36</v>
      </c>
      <c r="Z1160">
        <v>9638.86</v>
      </c>
    </row>
    <row r="1161" spans="1:26" x14ac:dyDescent="0.25">
      <c r="A1161">
        <v>101159</v>
      </c>
      <c r="B1161" s="3">
        <v>45715</v>
      </c>
      <c r="C1161" s="3">
        <v>45717</v>
      </c>
      <c r="D1161" s="3">
        <v>45723</v>
      </c>
      <c r="E1161" t="s">
        <v>3007</v>
      </c>
      <c r="F1161" t="s">
        <v>54</v>
      </c>
      <c r="G1161" t="s">
        <v>129</v>
      </c>
      <c r="H1161" t="s">
        <v>3008</v>
      </c>
      <c r="I1161" t="s">
        <v>207</v>
      </c>
      <c r="J1161" t="s">
        <v>80</v>
      </c>
      <c r="K1161" t="s">
        <v>167</v>
      </c>
      <c r="L1161" t="s">
        <v>113</v>
      </c>
      <c r="M1161" t="s">
        <v>65</v>
      </c>
      <c r="N1161" t="s">
        <v>107</v>
      </c>
      <c r="O1161" t="s">
        <v>108</v>
      </c>
      <c r="P1161" t="s">
        <v>123</v>
      </c>
      <c r="Q1161">
        <v>26</v>
      </c>
      <c r="R1161">
        <v>104.6</v>
      </c>
      <c r="S1161">
        <v>2719.6</v>
      </c>
      <c r="T1161">
        <v>11.32</v>
      </c>
      <c r="U1161">
        <v>6</v>
      </c>
      <c r="V1161">
        <v>8</v>
      </c>
      <c r="W1161">
        <v>701</v>
      </c>
      <c r="X1161" t="s">
        <v>188</v>
      </c>
      <c r="Y1161" t="s">
        <v>36</v>
      </c>
      <c r="Z1161">
        <v>507.57</v>
      </c>
    </row>
    <row r="1162" spans="1:26" x14ac:dyDescent="0.25">
      <c r="A1162">
        <v>101160</v>
      </c>
      <c r="B1162" s="3">
        <v>45496</v>
      </c>
      <c r="C1162" s="3">
        <v>45499</v>
      </c>
      <c r="D1162" s="3">
        <v>45511</v>
      </c>
      <c r="E1162" t="s">
        <v>2973</v>
      </c>
      <c r="F1162" t="s">
        <v>25</v>
      </c>
      <c r="G1162" t="s">
        <v>244</v>
      </c>
      <c r="H1162" t="s">
        <v>3009</v>
      </c>
      <c r="I1162" t="s">
        <v>230</v>
      </c>
      <c r="J1162" t="s">
        <v>80</v>
      </c>
      <c r="K1162" t="s">
        <v>596</v>
      </c>
      <c r="L1162" t="s">
        <v>98</v>
      </c>
      <c r="M1162" t="s">
        <v>25</v>
      </c>
      <c r="N1162" t="s">
        <v>74</v>
      </c>
      <c r="O1162" t="s">
        <v>75</v>
      </c>
      <c r="P1162" t="s">
        <v>123</v>
      </c>
      <c r="Q1162">
        <v>162</v>
      </c>
      <c r="R1162">
        <v>311.64999999999998</v>
      </c>
      <c r="S1162">
        <v>50487.3</v>
      </c>
      <c r="T1162">
        <v>10.84</v>
      </c>
      <c r="U1162">
        <v>12</v>
      </c>
      <c r="V1162">
        <v>15</v>
      </c>
      <c r="W1162">
        <v>1155</v>
      </c>
      <c r="X1162" t="s">
        <v>188</v>
      </c>
      <c r="Y1162" t="s">
        <v>36</v>
      </c>
      <c r="Z1162">
        <v>8893.43</v>
      </c>
    </row>
    <row r="1163" spans="1:26" x14ac:dyDescent="0.25">
      <c r="A1163">
        <v>101161</v>
      </c>
      <c r="B1163" s="3">
        <v>45881</v>
      </c>
      <c r="C1163" s="3">
        <v>45883</v>
      </c>
      <c r="D1163" s="3">
        <v>45885</v>
      </c>
      <c r="E1163" t="s">
        <v>3010</v>
      </c>
      <c r="F1163" t="s">
        <v>65</v>
      </c>
      <c r="G1163" t="s">
        <v>142</v>
      </c>
      <c r="H1163" t="s">
        <v>3011</v>
      </c>
      <c r="I1163" t="s">
        <v>144</v>
      </c>
      <c r="J1163" t="s">
        <v>52</v>
      </c>
      <c r="K1163" t="s">
        <v>271</v>
      </c>
      <c r="L1163" t="s">
        <v>44</v>
      </c>
      <c r="M1163" t="s">
        <v>65</v>
      </c>
      <c r="N1163" t="s">
        <v>45</v>
      </c>
      <c r="O1163" t="s">
        <v>46</v>
      </c>
      <c r="P1163" t="s">
        <v>35</v>
      </c>
      <c r="Q1163">
        <v>255</v>
      </c>
      <c r="R1163">
        <v>48.8</v>
      </c>
      <c r="S1163">
        <v>12444</v>
      </c>
      <c r="T1163">
        <v>14.6</v>
      </c>
      <c r="U1163">
        <v>2</v>
      </c>
      <c r="V1163">
        <v>4</v>
      </c>
      <c r="W1163">
        <v>4366</v>
      </c>
      <c r="X1163" t="s">
        <v>3741</v>
      </c>
      <c r="Y1163" t="s">
        <v>36</v>
      </c>
      <c r="Z1163">
        <v>1970.41</v>
      </c>
    </row>
    <row r="1164" spans="1:26" x14ac:dyDescent="0.25">
      <c r="A1164">
        <v>101162</v>
      </c>
      <c r="B1164" s="3">
        <v>45892</v>
      </c>
      <c r="C1164" s="3">
        <v>45892</v>
      </c>
      <c r="D1164" s="3">
        <v>45905</v>
      </c>
      <c r="E1164" t="s">
        <v>2012</v>
      </c>
      <c r="F1164" t="s">
        <v>25</v>
      </c>
      <c r="G1164" t="s">
        <v>172</v>
      </c>
      <c r="H1164" t="s">
        <v>3012</v>
      </c>
      <c r="I1164" t="s">
        <v>246</v>
      </c>
      <c r="J1164" t="s">
        <v>29</v>
      </c>
      <c r="K1164" t="s">
        <v>2506</v>
      </c>
      <c r="L1164" t="s">
        <v>118</v>
      </c>
      <c r="M1164" t="s">
        <v>32</v>
      </c>
      <c r="N1164" t="s">
        <v>74</v>
      </c>
      <c r="O1164" t="s">
        <v>75</v>
      </c>
      <c r="P1164" t="s">
        <v>35</v>
      </c>
      <c r="Q1164">
        <v>193</v>
      </c>
      <c r="R1164">
        <v>82.21</v>
      </c>
      <c r="S1164">
        <v>15866.53</v>
      </c>
      <c r="T1164">
        <v>17.95</v>
      </c>
      <c r="U1164">
        <v>13</v>
      </c>
      <c r="V1164">
        <v>13</v>
      </c>
      <c r="W1164">
        <v>2192</v>
      </c>
      <c r="X1164" t="s">
        <v>3742</v>
      </c>
      <c r="Y1164" t="s">
        <v>188</v>
      </c>
      <c r="Z1164">
        <v>1952.72</v>
      </c>
    </row>
    <row r="1165" spans="1:26" x14ac:dyDescent="0.25">
      <c r="A1165">
        <v>101163</v>
      </c>
      <c r="B1165" s="3">
        <v>45545</v>
      </c>
      <c r="C1165" s="3">
        <v>45547</v>
      </c>
      <c r="D1165" s="3">
        <v>45568</v>
      </c>
      <c r="E1165" t="s">
        <v>3013</v>
      </c>
      <c r="F1165" t="s">
        <v>65</v>
      </c>
      <c r="G1165" t="s">
        <v>154</v>
      </c>
      <c r="H1165" t="s">
        <v>3014</v>
      </c>
      <c r="I1165" t="s">
        <v>278</v>
      </c>
      <c r="J1165" t="s">
        <v>29</v>
      </c>
      <c r="K1165" t="s">
        <v>3015</v>
      </c>
      <c r="L1165" t="s">
        <v>31</v>
      </c>
      <c r="M1165" t="s">
        <v>38</v>
      </c>
      <c r="N1165" t="s">
        <v>66</v>
      </c>
      <c r="O1165" t="s">
        <v>67</v>
      </c>
      <c r="P1165" t="s">
        <v>76</v>
      </c>
      <c r="Q1165">
        <v>414</v>
      </c>
      <c r="R1165">
        <v>32.729999999999997</v>
      </c>
      <c r="S1165">
        <v>13550.22</v>
      </c>
      <c r="T1165">
        <v>15.56</v>
      </c>
      <c r="U1165">
        <v>21</v>
      </c>
      <c r="V1165">
        <v>23</v>
      </c>
      <c r="W1165">
        <v>1390</v>
      </c>
      <c r="X1165" t="s">
        <v>188</v>
      </c>
      <c r="Y1165" t="s">
        <v>36</v>
      </c>
      <c r="Z1165">
        <v>3853.96</v>
      </c>
    </row>
    <row r="1166" spans="1:26" x14ac:dyDescent="0.25">
      <c r="A1166">
        <v>101164</v>
      </c>
      <c r="B1166" s="3">
        <v>45867</v>
      </c>
      <c r="C1166" s="3">
        <v>45870</v>
      </c>
      <c r="D1166" s="3">
        <v>45873</v>
      </c>
      <c r="E1166" t="s">
        <v>3016</v>
      </c>
      <c r="F1166" t="s">
        <v>25</v>
      </c>
      <c r="G1166" t="s">
        <v>59</v>
      </c>
      <c r="H1166" t="s">
        <v>3017</v>
      </c>
      <c r="I1166" t="s">
        <v>278</v>
      </c>
      <c r="J1166" t="s">
        <v>29</v>
      </c>
      <c r="K1166" t="s">
        <v>3018</v>
      </c>
      <c r="L1166" t="s">
        <v>64</v>
      </c>
      <c r="M1166" t="s">
        <v>54</v>
      </c>
      <c r="N1166" t="s">
        <v>203</v>
      </c>
      <c r="O1166" t="s">
        <v>204</v>
      </c>
      <c r="P1166" t="s">
        <v>68</v>
      </c>
      <c r="Q1166">
        <v>432</v>
      </c>
      <c r="R1166">
        <v>104.75</v>
      </c>
      <c r="S1166">
        <v>45252</v>
      </c>
      <c r="T1166">
        <v>56.51</v>
      </c>
      <c r="U1166">
        <v>3</v>
      </c>
      <c r="V1166">
        <v>6</v>
      </c>
      <c r="W1166">
        <v>2773</v>
      </c>
      <c r="X1166" t="s">
        <v>3742</v>
      </c>
      <c r="Y1166" t="s">
        <v>57</v>
      </c>
      <c r="Z1166">
        <v>12752.09</v>
      </c>
    </row>
    <row r="1167" spans="1:26" x14ac:dyDescent="0.25">
      <c r="A1167">
        <v>101165</v>
      </c>
      <c r="B1167" s="3">
        <v>45895</v>
      </c>
      <c r="C1167" s="3">
        <v>45896</v>
      </c>
      <c r="D1167" s="3">
        <v>45902</v>
      </c>
      <c r="E1167" t="s">
        <v>3019</v>
      </c>
      <c r="F1167" t="s">
        <v>54</v>
      </c>
      <c r="G1167" t="s">
        <v>225</v>
      </c>
      <c r="H1167" t="s">
        <v>3020</v>
      </c>
      <c r="I1167" t="s">
        <v>61</v>
      </c>
      <c r="J1167" t="s">
        <v>62</v>
      </c>
      <c r="K1167" t="s">
        <v>3021</v>
      </c>
      <c r="L1167" t="s">
        <v>31</v>
      </c>
      <c r="M1167" t="s">
        <v>32</v>
      </c>
      <c r="N1167" t="s">
        <v>45</v>
      </c>
      <c r="O1167" t="s">
        <v>46</v>
      </c>
      <c r="P1167" t="s">
        <v>35</v>
      </c>
      <c r="Q1167">
        <v>120</v>
      </c>
      <c r="R1167">
        <v>22.16</v>
      </c>
      <c r="S1167">
        <v>2659.2</v>
      </c>
      <c r="T1167">
        <v>15.88</v>
      </c>
      <c r="U1167">
        <v>6</v>
      </c>
      <c r="V1167">
        <v>7</v>
      </c>
      <c r="W1167">
        <v>2066</v>
      </c>
      <c r="X1167" t="s">
        <v>3741</v>
      </c>
      <c r="Y1167" t="s">
        <v>36</v>
      </c>
      <c r="Z1167">
        <v>357.34</v>
      </c>
    </row>
    <row r="1168" spans="1:26" x14ac:dyDescent="0.25">
      <c r="A1168">
        <v>101166</v>
      </c>
      <c r="B1168" s="3">
        <v>45471</v>
      </c>
      <c r="C1168" s="3">
        <v>45475</v>
      </c>
      <c r="D1168" s="3">
        <v>45485</v>
      </c>
      <c r="E1168" t="s">
        <v>3022</v>
      </c>
      <c r="F1168" t="s">
        <v>32</v>
      </c>
      <c r="G1168" t="s">
        <v>110</v>
      </c>
      <c r="H1168" t="s">
        <v>3023</v>
      </c>
      <c r="I1168" t="s">
        <v>144</v>
      </c>
      <c r="J1168" t="s">
        <v>52</v>
      </c>
      <c r="K1168" t="s">
        <v>1057</v>
      </c>
      <c r="L1168" t="s">
        <v>113</v>
      </c>
      <c r="M1168" t="s">
        <v>54</v>
      </c>
      <c r="N1168" t="s">
        <v>74</v>
      </c>
      <c r="O1168" t="s">
        <v>75</v>
      </c>
      <c r="P1168" t="s">
        <v>123</v>
      </c>
      <c r="Q1168">
        <v>154</v>
      </c>
      <c r="R1168">
        <v>65.739999999999995</v>
      </c>
      <c r="S1168">
        <v>10123.959999999999</v>
      </c>
      <c r="T1168">
        <v>14.43</v>
      </c>
      <c r="U1168">
        <v>10</v>
      </c>
      <c r="V1168">
        <v>14</v>
      </c>
      <c r="W1168">
        <v>936</v>
      </c>
      <c r="X1168" t="s">
        <v>188</v>
      </c>
      <c r="Y1168" t="s">
        <v>36</v>
      </c>
      <c r="Z1168">
        <v>1220.22</v>
      </c>
    </row>
    <row r="1169" spans="1:26" x14ac:dyDescent="0.25">
      <c r="A1169">
        <v>101167</v>
      </c>
      <c r="B1169" s="3">
        <v>45959</v>
      </c>
      <c r="C1169" s="3">
        <v>45962</v>
      </c>
      <c r="D1169" s="3">
        <v>45971</v>
      </c>
      <c r="E1169" t="s">
        <v>3024</v>
      </c>
      <c r="F1169" t="s">
        <v>65</v>
      </c>
      <c r="G1169" t="s">
        <v>70</v>
      </c>
      <c r="H1169" t="s">
        <v>3025</v>
      </c>
      <c r="I1169" t="s">
        <v>182</v>
      </c>
      <c r="J1169" t="s">
        <v>80</v>
      </c>
      <c r="K1169" t="s">
        <v>2416</v>
      </c>
      <c r="L1169" t="s">
        <v>31</v>
      </c>
      <c r="M1169" t="s">
        <v>54</v>
      </c>
      <c r="N1169" t="s">
        <v>92</v>
      </c>
      <c r="O1169" t="s">
        <v>93</v>
      </c>
      <c r="P1169" t="s">
        <v>35</v>
      </c>
      <c r="Q1169">
        <v>351</v>
      </c>
      <c r="R1169">
        <v>138.01</v>
      </c>
      <c r="S1169">
        <v>48441.51</v>
      </c>
      <c r="T1169">
        <v>22.42</v>
      </c>
      <c r="U1169">
        <v>9</v>
      </c>
      <c r="V1169">
        <v>12</v>
      </c>
      <c r="W1169">
        <v>1704</v>
      </c>
      <c r="X1169" t="s">
        <v>188</v>
      </c>
      <c r="Y1169" t="s">
        <v>36</v>
      </c>
      <c r="Z1169">
        <v>9323.94</v>
      </c>
    </row>
    <row r="1170" spans="1:26" x14ac:dyDescent="0.25">
      <c r="A1170">
        <v>101168</v>
      </c>
      <c r="B1170" s="3">
        <v>45366</v>
      </c>
      <c r="C1170" s="3">
        <v>45369</v>
      </c>
      <c r="D1170" s="3">
        <v>45373</v>
      </c>
      <c r="E1170" t="s">
        <v>3026</v>
      </c>
      <c r="F1170" t="s">
        <v>65</v>
      </c>
      <c r="G1170" t="s">
        <v>70</v>
      </c>
      <c r="H1170" t="s">
        <v>3027</v>
      </c>
      <c r="I1170" t="s">
        <v>85</v>
      </c>
      <c r="J1170" t="s">
        <v>52</v>
      </c>
      <c r="K1170" t="s">
        <v>745</v>
      </c>
      <c r="L1170" t="s">
        <v>98</v>
      </c>
      <c r="M1170" t="s">
        <v>25</v>
      </c>
      <c r="N1170" t="s">
        <v>92</v>
      </c>
      <c r="O1170" t="s">
        <v>93</v>
      </c>
      <c r="P1170" t="s">
        <v>35</v>
      </c>
      <c r="Q1170">
        <v>352</v>
      </c>
      <c r="R1170">
        <v>61.76</v>
      </c>
      <c r="S1170">
        <v>21739.52</v>
      </c>
      <c r="T1170">
        <v>22.45</v>
      </c>
      <c r="U1170">
        <v>4</v>
      </c>
      <c r="V1170">
        <v>7</v>
      </c>
      <c r="W1170">
        <v>3082</v>
      </c>
      <c r="X1170" t="s">
        <v>3741</v>
      </c>
      <c r="Y1170" t="s">
        <v>36</v>
      </c>
      <c r="Z1170">
        <v>3303.1</v>
      </c>
    </row>
    <row r="1171" spans="1:26" x14ac:dyDescent="0.25">
      <c r="A1171">
        <v>101169</v>
      </c>
      <c r="B1171" s="3">
        <v>45913</v>
      </c>
      <c r="C1171" s="3">
        <v>45914</v>
      </c>
      <c r="D1171" s="3">
        <v>45918</v>
      </c>
      <c r="E1171" t="s">
        <v>3028</v>
      </c>
      <c r="F1171" t="s">
        <v>65</v>
      </c>
      <c r="G1171" t="s">
        <v>70</v>
      </c>
      <c r="H1171" t="s">
        <v>3029</v>
      </c>
      <c r="I1171" t="s">
        <v>182</v>
      </c>
      <c r="J1171" t="s">
        <v>80</v>
      </c>
      <c r="K1171" t="s">
        <v>1576</v>
      </c>
      <c r="L1171" t="s">
        <v>91</v>
      </c>
      <c r="M1171" t="s">
        <v>38</v>
      </c>
      <c r="N1171" t="s">
        <v>107</v>
      </c>
      <c r="O1171" t="s">
        <v>108</v>
      </c>
      <c r="P1171" t="s">
        <v>68</v>
      </c>
      <c r="Q1171">
        <v>285</v>
      </c>
      <c r="R1171">
        <v>332.69</v>
      </c>
      <c r="S1171">
        <v>94816.65</v>
      </c>
      <c r="T1171">
        <v>46.98</v>
      </c>
      <c r="U1171">
        <v>4</v>
      </c>
      <c r="V1171">
        <v>5</v>
      </c>
      <c r="W1171">
        <v>1754</v>
      </c>
      <c r="X1171" t="s">
        <v>3742</v>
      </c>
      <c r="Y1171" t="s">
        <v>57</v>
      </c>
      <c r="Z1171">
        <v>25119.47</v>
      </c>
    </row>
    <row r="1172" spans="1:26" x14ac:dyDescent="0.25">
      <c r="A1172">
        <v>101170</v>
      </c>
      <c r="B1172" s="3">
        <v>45484</v>
      </c>
      <c r="C1172" s="3">
        <v>45484</v>
      </c>
      <c r="D1172" s="3">
        <v>45488</v>
      </c>
      <c r="E1172" t="s">
        <v>1224</v>
      </c>
      <c r="F1172" t="s">
        <v>38</v>
      </c>
      <c r="G1172" t="s">
        <v>217</v>
      </c>
      <c r="H1172" t="s">
        <v>3030</v>
      </c>
      <c r="I1172" t="s">
        <v>198</v>
      </c>
      <c r="J1172" t="s">
        <v>52</v>
      </c>
      <c r="K1172" t="s">
        <v>2792</v>
      </c>
      <c r="L1172" t="s">
        <v>122</v>
      </c>
      <c r="M1172" t="s">
        <v>32</v>
      </c>
      <c r="N1172" t="s">
        <v>74</v>
      </c>
      <c r="O1172" t="s">
        <v>75</v>
      </c>
      <c r="P1172" t="s">
        <v>68</v>
      </c>
      <c r="Q1172">
        <v>260</v>
      </c>
      <c r="R1172">
        <v>12.71</v>
      </c>
      <c r="S1172">
        <v>3304.6</v>
      </c>
      <c r="T1172">
        <v>45.36</v>
      </c>
      <c r="U1172">
        <v>4</v>
      </c>
      <c r="V1172">
        <v>4</v>
      </c>
      <c r="W1172">
        <v>1060</v>
      </c>
      <c r="X1172" t="s">
        <v>3741</v>
      </c>
      <c r="Y1172" t="s">
        <v>36</v>
      </c>
      <c r="Z1172">
        <v>388.93</v>
      </c>
    </row>
    <row r="1173" spans="1:26" x14ac:dyDescent="0.25">
      <c r="A1173">
        <v>101171</v>
      </c>
      <c r="B1173" s="3">
        <v>45994</v>
      </c>
      <c r="C1173" s="3">
        <v>45994</v>
      </c>
      <c r="D1173" s="3">
        <v>46002</v>
      </c>
      <c r="E1173" t="s">
        <v>3031</v>
      </c>
      <c r="F1173" t="s">
        <v>54</v>
      </c>
      <c r="G1173" t="s">
        <v>193</v>
      </c>
      <c r="H1173" t="s">
        <v>3032</v>
      </c>
      <c r="I1173" t="s">
        <v>416</v>
      </c>
      <c r="J1173" t="s">
        <v>80</v>
      </c>
      <c r="K1173" t="s">
        <v>2475</v>
      </c>
      <c r="L1173" t="s">
        <v>118</v>
      </c>
      <c r="M1173" t="s">
        <v>54</v>
      </c>
      <c r="N1173" t="s">
        <v>45</v>
      </c>
      <c r="O1173" t="s">
        <v>46</v>
      </c>
      <c r="P1173" t="s">
        <v>123</v>
      </c>
      <c r="Q1173">
        <v>452</v>
      </c>
      <c r="R1173">
        <v>212.78</v>
      </c>
      <c r="S1173">
        <v>96176.56</v>
      </c>
      <c r="T1173">
        <v>16.059999999999999</v>
      </c>
      <c r="U1173">
        <v>8</v>
      </c>
      <c r="V1173">
        <v>8</v>
      </c>
      <c r="W1173">
        <v>1828</v>
      </c>
      <c r="X1173" t="s">
        <v>188</v>
      </c>
      <c r="Y1173" t="s">
        <v>36</v>
      </c>
      <c r="Z1173">
        <v>19054.169999999998</v>
      </c>
    </row>
    <row r="1174" spans="1:26" x14ac:dyDescent="0.25">
      <c r="A1174">
        <v>101172</v>
      </c>
      <c r="B1174" s="3">
        <v>45503</v>
      </c>
      <c r="C1174" s="3">
        <v>45503</v>
      </c>
      <c r="D1174" s="3">
        <v>45518</v>
      </c>
      <c r="E1174" t="s">
        <v>3033</v>
      </c>
      <c r="F1174" t="s">
        <v>25</v>
      </c>
      <c r="G1174" t="s">
        <v>169</v>
      </c>
      <c r="H1174" t="s">
        <v>3034</v>
      </c>
      <c r="I1174" t="s">
        <v>51</v>
      </c>
      <c r="J1174" t="s">
        <v>52</v>
      </c>
      <c r="K1174" t="s">
        <v>3035</v>
      </c>
      <c r="L1174" t="s">
        <v>98</v>
      </c>
      <c r="M1174" t="s">
        <v>25</v>
      </c>
      <c r="N1174" t="s">
        <v>66</v>
      </c>
      <c r="O1174" t="s">
        <v>67</v>
      </c>
      <c r="P1174" t="s">
        <v>123</v>
      </c>
      <c r="Q1174">
        <v>457</v>
      </c>
      <c r="R1174">
        <v>56.28</v>
      </c>
      <c r="S1174">
        <v>25719.96</v>
      </c>
      <c r="T1174">
        <v>16.149999999999999</v>
      </c>
      <c r="U1174">
        <v>15</v>
      </c>
      <c r="V1174">
        <v>15</v>
      </c>
      <c r="W1174">
        <v>2145</v>
      </c>
      <c r="X1174" t="s">
        <v>3742</v>
      </c>
      <c r="Y1174" t="s">
        <v>188</v>
      </c>
      <c r="Z1174">
        <v>3148.22</v>
      </c>
    </row>
    <row r="1175" spans="1:26" x14ac:dyDescent="0.25">
      <c r="A1175">
        <v>101173</v>
      </c>
      <c r="B1175" s="3">
        <v>45331</v>
      </c>
      <c r="C1175" s="3">
        <v>45334</v>
      </c>
      <c r="D1175" s="3">
        <v>45343</v>
      </c>
      <c r="E1175" t="s">
        <v>3036</v>
      </c>
      <c r="F1175" t="s">
        <v>38</v>
      </c>
      <c r="G1175" t="s">
        <v>49</v>
      </c>
      <c r="H1175" t="s">
        <v>3037</v>
      </c>
      <c r="I1175" t="s">
        <v>149</v>
      </c>
      <c r="J1175" t="s">
        <v>42</v>
      </c>
      <c r="K1175" t="s">
        <v>613</v>
      </c>
      <c r="L1175" t="s">
        <v>113</v>
      </c>
      <c r="M1175" t="s">
        <v>25</v>
      </c>
      <c r="N1175" t="s">
        <v>66</v>
      </c>
      <c r="O1175" t="s">
        <v>67</v>
      </c>
      <c r="P1175" t="s">
        <v>35</v>
      </c>
      <c r="Q1175">
        <v>221</v>
      </c>
      <c r="R1175">
        <v>285.14999999999998</v>
      </c>
      <c r="S1175">
        <v>63018.15</v>
      </c>
      <c r="T1175">
        <v>18.739999999999998</v>
      </c>
      <c r="U1175">
        <v>9</v>
      </c>
      <c r="V1175">
        <v>12</v>
      </c>
      <c r="W1175">
        <v>577</v>
      </c>
      <c r="X1175" t="s">
        <v>188</v>
      </c>
      <c r="Y1175" t="s">
        <v>36</v>
      </c>
      <c r="Z1175">
        <v>11095.13</v>
      </c>
    </row>
    <row r="1176" spans="1:26" x14ac:dyDescent="0.25">
      <c r="A1176">
        <v>101174</v>
      </c>
      <c r="B1176" s="3">
        <v>45361</v>
      </c>
      <c r="C1176" s="3">
        <v>45363</v>
      </c>
      <c r="D1176" s="3">
        <v>45376</v>
      </c>
      <c r="E1176" t="s">
        <v>3038</v>
      </c>
      <c r="F1176" t="s">
        <v>25</v>
      </c>
      <c r="G1176" t="s">
        <v>233</v>
      </c>
      <c r="H1176" t="s">
        <v>3039</v>
      </c>
      <c r="I1176" t="s">
        <v>28</v>
      </c>
      <c r="J1176" t="s">
        <v>29</v>
      </c>
      <c r="K1176" t="s">
        <v>117</v>
      </c>
      <c r="L1176" t="s">
        <v>31</v>
      </c>
      <c r="M1176" t="s">
        <v>65</v>
      </c>
      <c r="N1176" t="s">
        <v>102</v>
      </c>
      <c r="O1176" t="s">
        <v>103</v>
      </c>
      <c r="P1176" t="s">
        <v>76</v>
      </c>
      <c r="Q1176">
        <v>245</v>
      </c>
      <c r="R1176">
        <v>80.709999999999994</v>
      </c>
      <c r="S1176">
        <v>19773.95</v>
      </c>
      <c r="T1176">
        <v>12.48</v>
      </c>
      <c r="U1176">
        <v>13</v>
      </c>
      <c r="V1176">
        <v>15</v>
      </c>
      <c r="W1176">
        <v>2167</v>
      </c>
      <c r="X1176" t="s">
        <v>188</v>
      </c>
      <c r="Y1176" t="s">
        <v>36</v>
      </c>
      <c r="Z1176">
        <v>2535.0500000000002</v>
      </c>
    </row>
    <row r="1177" spans="1:26" x14ac:dyDescent="0.25">
      <c r="A1177">
        <v>101175</v>
      </c>
      <c r="B1177" s="3">
        <v>45467</v>
      </c>
      <c r="C1177" s="3">
        <v>45467</v>
      </c>
      <c r="D1177" s="3">
        <v>45476</v>
      </c>
      <c r="E1177" t="s">
        <v>3040</v>
      </c>
      <c r="F1177" t="s">
        <v>54</v>
      </c>
      <c r="G1177" t="s">
        <v>158</v>
      </c>
      <c r="H1177" t="s">
        <v>3041</v>
      </c>
      <c r="I1177" t="s">
        <v>368</v>
      </c>
      <c r="J1177" t="s">
        <v>29</v>
      </c>
      <c r="K1177" t="s">
        <v>858</v>
      </c>
      <c r="L1177" t="s">
        <v>187</v>
      </c>
      <c r="M1177" t="s">
        <v>32</v>
      </c>
      <c r="N1177" t="s">
        <v>74</v>
      </c>
      <c r="O1177" t="s">
        <v>75</v>
      </c>
      <c r="P1177" t="s">
        <v>35</v>
      </c>
      <c r="Q1177">
        <v>323</v>
      </c>
      <c r="R1177">
        <v>32.200000000000003</v>
      </c>
      <c r="S1177">
        <v>10400.6</v>
      </c>
      <c r="T1177">
        <v>21.63</v>
      </c>
      <c r="U1177">
        <v>9</v>
      </c>
      <c r="V1177">
        <v>9</v>
      </c>
      <c r="W1177">
        <v>2480</v>
      </c>
      <c r="X1177" t="s">
        <v>188</v>
      </c>
      <c r="Y1177" t="s">
        <v>36</v>
      </c>
      <c r="Z1177">
        <v>435.73</v>
      </c>
    </row>
    <row r="1178" spans="1:26" x14ac:dyDescent="0.25">
      <c r="A1178">
        <v>101176</v>
      </c>
      <c r="B1178" s="3">
        <v>45749</v>
      </c>
      <c r="C1178" s="3">
        <v>45751</v>
      </c>
      <c r="D1178" s="3">
        <v>45756</v>
      </c>
      <c r="E1178" t="s">
        <v>3042</v>
      </c>
      <c r="F1178" t="s">
        <v>54</v>
      </c>
      <c r="G1178" t="s">
        <v>193</v>
      </c>
      <c r="H1178" t="s">
        <v>3043</v>
      </c>
      <c r="I1178" t="s">
        <v>126</v>
      </c>
      <c r="J1178" t="s">
        <v>42</v>
      </c>
      <c r="K1178" t="s">
        <v>1653</v>
      </c>
      <c r="L1178" t="s">
        <v>118</v>
      </c>
      <c r="M1178" t="s">
        <v>54</v>
      </c>
      <c r="N1178" t="s">
        <v>92</v>
      </c>
      <c r="O1178" t="s">
        <v>93</v>
      </c>
      <c r="P1178" t="s">
        <v>123</v>
      </c>
      <c r="Q1178">
        <v>17</v>
      </c>
      <c r="R1178">
        <v>355.61</v>
      </c>
      <c r="S1178">
        <v>6045.37</v>
      </c>
      <c r="T1178">
        <v>8.23</v>
      </c>
      <c r="U1178">
        <v>5</v>
      </c>
      <c r="V1178">
        <v>7</v>
      </c>
      <c r="W1178">
        <v>1272</v>
      </c>
      <c r="X1178" t="s">
        <v>3742</v>
      </c>
      <c r="Y1178" t="s">
        <v>47</v>
      </c>
      <c r="Z1178">
        <v>-243.34</v>
      </c>
    </row>
    <row r="1179" spans="1:26" x14ac:dyDescent="0.25">
      <c r="A1179">
        <v>101177</v>
      </c>
      <c r="B1179" s="3">
        <v>45849</v>
      </c>
      <c r="C1179" s="3">
        <v>45850</v>
      </c>
      <c r="D1179" s="3">
        <v>45860</v>
      </c>
      <c r="E1179" t="s">
        <v>3044</v>
      </c>
      <c r="F1179" t="s">
        <v>54</v>
      </c>
      <c r="G1179" t="s">
        <v>193</v>
      </c>
      <c r="H1179" t="s">
        <v>3045</v>
      </c>
      <c r="I1179" t="s">
        <v>191</v>
      </c>
      <c r="J1179" t="s">
        <v>62</v>
      </c>
      <c r="K1179" t="s">
        <v>882</v>
      </c>
      <c r="L1179" t="s">
        <v>98</v>
      </c>
      <c r="M1179" t="s">
        <v>54</v>
      </c>
      <c r="N1179" t="s">
        <v>92</v>
      </c>
      <c r="O1179" t="s">
        <v>93</v>
      </c>
      <c r="P1179" t="s">
        <v>35</v>
      </c>
      <c r="Q1179">
        <v>475</v>
      </c>
      <c r="R1179">
        <v>18.559999999999999</v>
      </c>
      <c r="S1179">
        <v>8816</v>
      </c>
      <c r="T1179">
        <v>19.22</v>
      </c>
      <c r="U1179">
        <v>10</v>
      </c>
      <c r="V1179">
        <v>11</v>
      </c>
      <c r="W1179">
        <v>3933</v>
      </c>
      <c r="X1179" t="s">
        <v>188</v>
      </c>
      <c r="Y1179" t="s">
        <v>36</v>
      </c>
      <c r="Z1179">
        <v>1549.15</v>
      </c>
    </row>
    <row r="1180" spans="1:26" x14ac:dyDescent="0.25">
      <c r="A1180">
        <v>101178</v>
      </c>
      <c r="B1180" s="3">
        <v>45445</v>
      </c>
      <c r="C1180" s="3">
        <v>45445</v>
      </c>
      <c r="D1180" s="3">
        <v>45462</v>
      </c>
      <c r="E1180" t="s">
        <v>3046</v>
      </c>
      <c r="F1180" t="s">
        <v>38</v>
      </c>
      <c r="G1180" t="s">
        <v>147</v>
      </c>
      <c r="H1180" t="s">
        <v>3047</v>
      </c>
      <c r="I1180" t="s">
        <v>368</v>
      </c>
      <c r="J1180" t="s">
        <v>29</v>
      </c>
      <c r="K1180" t="s">
        <v>322</v>
      </c>
      <c r="L1180" t="s">
        <v>31</v>
      </c>
      <c r="M1180" t="s">
        <v>38</v>
      </c>
      <c r="N1180" t="s">
        <v>92</v>
      </c>
      <c r="O1180" t="s">
        <v>93</v>
      </c>
      <c r="P1180" t="s">
        <v>76</v>
      </c>
      <c r="Q1180">
        <v>491</v>
      </c>
      <c r="R1180">
        <v>19.420000000000002</v>
      </c>
      <c r="S1180">
        <v>9535.2199999999993</v>
      </c>
      <c r="T1180">
        <v>12.57</v>
      </c>
      <c r="U1180">
        <v>17</v>
      </c>
      <c r="V1180">
        <v>17</v>
      </c>
      <c r="W1180">
        <v>1883</v>
      </c>
      <c r="X1180" t="s">
        <v>3742</v>
      </c>
      <c r="Y1180" t="s">
        <v>188</v>
      </c>
      <c r="Z1180">
        <v>1590.64</v>
      </c>
    </row>
    <row r="1181" spans="1:26" x14ac:dyDescent="0.25">
      <c r="A1181">
        <v>101179</v>
      </c>
      <c r="B1181" s="3">
        <v>45946</v>
      </c>
      <c r="C1181" s="3">
        <v>45949</v>
      </c>
      <c r="D1181" s="3">
        <v>45952</v>
      </c>
      <c r="E1181" t="s">
        <v>3048</v>
      </c>
      <c r="F1181" t="s">
        <v>32</v>
      </c>
      <c r="G1181" t="s">
        <v>364</v>
      </c>
      <c r="H1181" t="s">
        <v>3049</v>
      </c>
      <c r="I1181" t="s">
        <v>61</v>
      </c>
      <c r="J1181" t="s">
        <v>62</v>
      </c>
      <c r="K1181" t="s">
        <v>2047</v>
      </c>
      <c r="L1181" t="s">
        <v>44</v>
      </c>
      <c r="M1181" t="s">
        <v>54</v>
      </c>
      <c r="N1181" t="s">
        <v>55</v>
      </c>
      <c r="O1181" t="s">
        <v>56</v>
      </c>
      <c r="P1181" t="s">
        <v>68</v>
      </c>
      <c r="Q1181">
        <v>160</v>
      </c>
      <c r="R1181">
        <v>39.090000000000003</v>
      </c>
      <c r="S1181">
        <v>6254.4</v>
      </c>
      <c r="T1181">
        <v>38.880000000000003</v>
      </c>
      <c r="U1181">
        <v>3</v>
      </c>
      <c r="V1181">
        <v>6</v>
      </c>
      <c r="W1181">
        <v>762</v>
      </c>
      <c r="X1181" t="s">
        <v>3741</v>
      </c>
      <c r="Y1181" t="s">
        <v>36</v>
      </c>
      <c r="Z1181">
        <v>921.52</v>
      </c>
    </row>
    <row r="1182" spans="1:26" x14ac:dyDescent="0.25">
      <c r="A1182">
        <v>101180</v>
      </c>
      <c r="B1182" s="3">
        <v>45529</v>
      </c>
      <c r="C1182" s="3">
        <v>45532</v>
      </c>
      <c r="D1182" s="3">
        <v>45555</v>
      </c>
      <c r="E1182" t="s">
        <v>3050</v>
      </c>
      <c r="F1182" t="s">
        <v>38</v>
      </c>
      <c r="G1182" t="s">
        <v>83</v>
      </c>
      <c r="H1182" t="s">
        <v>3051</v>
      </c>
      <c r="I1182" t="s">
        <v>51</v>
      </c>
      <c r="J1182" t="s">
        <v>52</v>
      </c>
      <c r="K1182" t="s">
        <v>242</v>
      </c>
      <c r="L1182" t="s">
        <v>113</v>
      </c>
      <c r="M1182" t="s">
        <v>54</v>
      </c>
      <c r="N1182" t="s">
        <v>55</v>
      </c>
      <c r="O1182" t="s">
        <v>56</v>
      </c>
      <c r="P1182" t="s">
        <v>76</v>
      </c>
      <c r="Q1182">
        <v>145</v>
      </c>
      <c r="R1182">
        <v>25.51</v>
      </c>
      <c r="S1182">
        <v>3698.95</v>
      </c>
      <c r="T1182">
        <v>10.66</v>
      </c>
      <c r="U1182">
        <v>23</v>
      </c>
      <c r="V1182">
        <v>26</v>
      </c>
      <c r="W1182">
        <v>2683</v>
      </c>
      <c r="X1182" t="s">
        <v>3742</v>
      </c>
      <c r="Y1182" t="s">
        <v>57</v>
      </c>
      <c r="Z1182">
        <v>471.65</v>
      </c>
    </row>
    <row r="1183" spans="1:26" x14ac:dyDescent="0.25">
      <c r="A1183">
        <v>101181</v>
      </c>
      <c r="B1183" s="3">
        <v>45851</v>
      </c>
      <c r="C1183" s="3">
        <v>45855</v>
      </c>
      <c r="D1183" s="3">
        <v>45862</v>
      </c>
      <c r="E1183" t="s">
        <v>3052</v>
      </c>
      <c r="F1183" t="s">
        <v>25</v>
      </c>
      <c r="G1183" t="s">
        <v>169</v>
      </c>
      <c r="H1183" t="s">
        <v>3053</v>
      </c>
      <c r="I1183" t="s">
        <v>207</v>
      </c>
      <c r="J1183" t="s">
        <v>80</v>
      </c>
      <c r="K1183" t="s">
        <v>223</v>
      </c>
      <c r="L1183" t="s">
        <v>98</v>
      </c>
      <c r="M1183" t="s">
        <v>54</v>
      </c>
      <c r="N1183" t="s">
        <v>55</v>
      </c>
      <c r="O1183" t="s">
        <v>56</v>
      </c>
      <c r="P1183" t="s">
        <v>35</v>
      </c>
      <c r="Q1183">
        <v>409</v>
      </c>
      <c r="R1183">
        <v>263.43</v>
      </c>
      <c r="S1183">
        <v>107742.87</v>
      </c>
      <c r="T1183">
        <v>24.07</v>
      </c>
      <c r="U1183">
        <v>7</v>
      </c>
      <c r="V1183">
        <v>11</v>
      </c>
      <c r="W1183">
        <v>137</v>
      </c>
      <c r="X1183" t="s">
        <v>188</v>
      </c>
      <c r="Y1183" t="s">
        <v>36</v>
      </c>
      <c r="Z1183">
        <v>17218.310000000001</v>
      </c>
    </row>
    <row r="1184" spans="1:26" x14ac:dyDescent="0.25">
      <c r="A1184">
        <v>101182</v>
      </c>
      <c r="B1184" s="3">
        <v>45461</v>
      </c>
      <c r="C1184" s="3">
        <v>45465</v>
      </c>
      <c r="D1184" s="3">
        <v>45480</v>
      </c>
      <c r="E1184" t="s">
        <v>3054</v>
      </c>
      <c r="F1184" t="s">
        <v>54</v>
      </c>
      <c r="G1184" t="s">
        <v>193</v>
      </c>
      <c r="H1184" t="s">
        <v>3055</v>
      </c>
      <c r="I1184" t="s">
        <v>116</v>
      </c>
      <c r="J1184" t="s">
        <v>62</v>
      </c>
      <c r="K1184" t="s">
        <v>150</v>
      </c>
      <c r="L1184" t="s">
        <v>91</v>
      </c>
      <c r="M1184" t="s">
        <v>54</v>
      </c>
      <c r="N1184" t="s">
        <v>203</v>
      </c>
      <c r="O1184" t="s">
        <v>204</v>
      </c>
      <c r="P1184" t="s">
        <v>76</v>
      </c>
      <c r="Q1184">
        <v>417</v>
      </c>
      <c r="R1184">
        <v>44.2</v>
      </c>
      <c r="S1184">
        <v>18431.400000000001</v>
      </c>
      <c r="T1184">
        <v>11.57</v>
      </c>
      <c r="U1184">
        <v>15</v>
      </c>
      <c r="V1184">
        <v>19</v>
      </c>
      <c r="W1184">
        <v>1229</v>
      </c>
      <c r="X1184" t="s">
        <v>188</v>
      </c>
      <c r="Y1184" t="s">
        <v>36</v>
      </c>
      <c r="Z1184">
        <v>2539.4699999999998</v>
      </c>
    </row>
    <row r="1185" spans="1:26" x14ac:dyDescent="0.25">
      <c r="A1185">
        <v>101183</v>
      </c>
      <c r="B1185" s="3">
        <v>45554</v>
      </c>
      <c r="C1185" s="3">
        <v>45555</v>
      </c>
      <c r="D1185" s="3">
        <v>45570</v>
      </c>
      <c r="E1185" t="s">
        <v>3056</v>
      </c>
      <c r="F1185" t="s">
        <v>38</v>
      </c>
      <c r="G1185" t="s">
        <v>217</v>
      </c>
      <c r="H1185" t="s">
        <v>3057</v>
      </c>
      <c r="I1185" t="s">
        <v>416</v>
      </c>
      <c r="J1185" t="s">
        <v>80</v>
      </c>
      <c r="K1185" t="s">
        <v>3058</v>
      </c>
      <c r="L1185" t="s">
        <v>31</v>
      </c>
      <c r="M1185" t="s">
        <v>32</v>
      </c>
      <c r="N1185" t="s">
        <v>107</v>
      </c>
      <c r="O1185" t="s">
        <v>108</v>
      </c>
      <c r="P1185" t="s">
        <v>76</v>
      </c>
      <c r="Q1185">
        <v>361</v>
      </c>
      <c r="R1185">
        <v>140.97999999999999</v>
      </c>
      <c r="S1185">
        <v>50893.78</v>
      </c>
      <c r="T1185">
        <v>14.6</v>
      </c>
      <c r="U1185">
        <v>15</v>
      </c>
      <c r="V1185">
        <v>16</v>
      </c>
      <c r="W1185">
        <v>147</v>
      </c>
      <c r="X1185" t="s">
        <v>188</v>
      </c>
      <c r="Y1185" t="s">
        <v>36</v>
      </c>
      <c r="Z1185">
        <v>8002.55</v>
      </c>
    </row>
    <row r="1186" spans="1:26" x14ac:dyDescent="0.25">
      <c r="A1186">
        <v>101184</v>
      </c>
      <c r="B1186" s="3">
        <v>45386</v>
      </c>
      <c r="C1186" s="3">
        <v>45387</v>
      </c>
      <c r="D1186" s="3">
        <v>45391</v>
      </c>
      <c r="E1186" t="s">
        <v>3059</v>
      </c>
      <c r="F1186" t="s">
        <v>25</v>
      </c>
      <c r="G1186" t="s">
        <v>26</v>
      </c>
      <c r="H1186" t="s">
        <v>3060</v>
      </c>
      <c r="I1186" t="s">
        <v>61</v>
      </c>
      <c r="J1186" t="s">
        <v>62</v>
      </c>
      <c r="K1186" t="s">
        <v>300</v>
      </c>
      <c r="L1186" t="s">
        <v>91</v>
      </c>
      <c r="M1186" t="s">
        <v>38</v>
      </c>
      <c r="N1186" t="s">
        <v>33</v>
      </c>
      <c r="O1186" t="s">
        <v>34</v>
      </c>
      <c r="P1186" t="s">
        <v>68</v>
      </c>
      <c r="Q1186">
        <v>96</v>
      </c>
      <c r="R1186">
        <v>47.2</v>
      </c>
      <c r="S1186">
        <v>4531.2</v>
      </c>
      <c r="T1186">
        <v>34.729999999999997</v>
      </c>
      <c r="U1186">
        <v>4</v>
      </c>
      <c r="V1186">
        <v>5</v>
      </c>
      <c r="W1186">
        <v>4621</v>
      </c>
      <c r="X1186" t="s">
        <v>3741</v>
      </c>
      <c r="Y1186" t="s">
        <v>36</v>
      </c>
      <c r="Z1186">
        <v>480.53</v>
      </c>
    </row>
    <row r="1187" spans="1:26" x14ac:dyDescent="0.25">
      <c r="A1187">
        <v>101185</v>
      </c>
      <c r="B1187" s="3">
        <v>45587</v>
      </c>
      <c r="C1187" s="3">
        <v>45592</v>
      </c>
      <c r="D1187" s="3">
        <v>45597</v>
      </c>
      <c r="E1187" t="s">
        <v>3061</v>
      </c>
      <c r="F1187" t="s">
        <v>25</v>
      </c>
      <c r="G1187" t="s">
        <v>59</v>
      </c>
      <c r="H1187" t="s">
        <v>3062</v>
      </c>
      <c r="I1187" t="s">
        <v>149</v>
      </c>
      <c r="J1187" t="s">
        <v>42</v>
      </c>
      <c r="K1187" t="s">
        <v>3063</v>
      </c>
      <c r="L1187" t="s">
        <v>64</v>
      </c>
      <c r="M1187" t="s">
        <v>54</v>
      </c>
      <c r="N1187" t="s">
        <v>92</v>
      </c>
      <c r="O1187" t="s">
        <v>93</v>
      </c>
      <c r="P1187" t="s">
        <v>68</v>
      </c>
      <c r="Q1187">
        <v>187</v>
      </c>
      <c r="R1187">
        <v>359.62</v>
      </c>
      <c r="S1187">
        <v>67248.94</v>
      </c>
      <c r="T1187">
        <v>40.630000000000003</v>
      </c>
      <c r="U1187">
        <v>5</v>
      </c>
      <c r="V1187">
        <v>10</v>
      </c>
      <c r="W1187">
        <v>701</v>
      </c>
      <c r="X1187" t="s">
        <v>188</v>
      </c>
      <c r="Y1187" t="s">
        <v>36</v>
      </c>
      <c r="Z1187">
        <v>8522.52</v>
      </c>
    </row>
    <row r="1188" spans="1:26" x14ac:dyDescent="0.25">
      <c r="A1188">
        <v>101186</v>
      </c>
      <c r="B1188" s="3">
        <v>45503</v>
      </c>
      <c r="C1188" s="3">
        <v>45505</v>
      </c>
      <c r="D1188" s="3">
        <v>45515</v>
      </c>
      <c r="E1188" t="s">
        <v>3064</v>
      </c>
      <c r="F1188" t="s">
        <v>65</v>
      </c>
      <c r="G1188" t="s">
        <v>70</v>
      </c>
      <c r="H1188" t="s">
        <v>3065</v>
      </c>
      <c r="I1188" t="s">
        <v>198</v>
      </c>
      <c r="J1188" t="s">
        <v>52</v>
      </c>
      <c r="K1188" t="s">
        <v>1388</v>
      </c>
      <c r="L1188" t="s">
        <v>113</v>
      </c>
      <c r="M1188" t="s">
        <v>25</v>
      </c>
      <c r="N1188" t="s">
        <v>33</v>
      </c>
      <c r="O1188" t="s">
        <v>34</v>
      </c>
      <c r="P1188" t="s">
        <v>76</v>
      </c>
      <c r="Q1188">
        <v>59</v>
      </c>
      <c r="R1188">
        <v>71.02</v>
      </c>
      <c r="S1188">
        <v>4190.18</v>
      </c>
      <c r="T1188">
        <v>9.09</v>
      </c>
      <c r="U1188">
        <v>10</v>
      </c>
      <c r="V1188">
        <v>12</v>
      </c>
      <c r="W1188">
        <v>2744</v>
      </c>
      <c r="X1188" t="s">
        <v>3742</v>
      </c>
      <c r="Y1188" t="s">
        <v>57</v>
      </c>
      <c r="Z1188">
        <v>688.19</v>
      </c>
    </row>
    <row r="1189" spans="1:26" x14ac:dyDescent="0.25">
      <c r="A1189">
        <v>101187</v>
      </c>
      <c r="B1189" s="3">
        <v>45514</v>
      </c>
      <c r="C1189" s="3">
        <v>45517</v>
      </c>
      <c r="D1189" s="3">
        <v>45529</v>
      </c>
      <c r="E1189" t="s">
        <v>2040</v>
      </c>
      <c r="F1189" t="s">
        <v>54</v>
      </c>
      <c r="G1189" t="s">
        <v>165</v>
      </c>
      <c r="H1189" t="s">
        <v>3066</v>
      </c>
      <c r="I1189" t="s">
        <v>230</v>
      </c>
      <c r="J1189" t="s">
        <v>80</v>
      </c>
      <c r="K1189" t="s">
        <v>2652</v>
      </c>
      <c r="L1189" t="s">
        <v>91</v>
      </c>
      <c r="M1189" t="s">
        <v>25</v>
      </c>
      <c r="N1189" t="s">
        <v>151</v>
      </c>
      <c r="O1189" t="s">
        <v>152</v>
      </c>
      <c r="P1189" t="s">
        <v>123</v>
      </c>
      <c r="Q1189">
        <v>421</v>
      </c>
      <c r="R1189">
        <v>101.83</v>
      </c>
      <c r="S1189">
        <v>42870.43</v>
      </c>
      <c r="T1189">
        <v>20.92</v>
      </c>
      <c r="U1189">
        <v>12</v>
      </c>
      <c r="V1189">
        <v>15</v>
      </c>
      <c r="W1189">
        <v>1325</v>
      </c>
      <c r="X1189" t="s">
        <v>188</v>
      </c>
      <c r="Y1189" t="s">
        <v>36</v>
      </c>
      <c r="Z1189">
        <v>10669.34</v>
      </c>
    </row>
    <row r="1190" spans="1:26" x14ac:dyDescent="0.25">
      <c r="A1190">
        <v>101188</v>
      </c>
      <c r="B1190" s="3">
        <v>45828</v>
      </c>
      <c r="C1190" s="3">
        <v>45833</v>
      </c>
      <c r="D1190" s="3">
        <v>45837</v>
      </c>
      <c r="E1190" t="s">
        <v>3067</v>
      </c>
      <c r="F1190" t="s">
        <v>25</v>
      </c>
      <c r="G1190" t="s">
        <v>26</v>
      </c>
      <c r="H1190" t="s">
        <v>3068</v>
      </c>
      <c r="I1190" t="s">
        <v>238</v>
      </c>
      <c r="J1190" t="s">
        <v>62</v>
      </c>
      <c r="K1190" t="s">
        <v>2498</v>
      </c>
      <c r="L1190" t="s">
        <v>113</v>
      </c>
      <c r="M1190" t="s">
        <v>54</v>
      </c>
      <c r="N1190" t="s">
        <v>92</v>
      </c>
      <c r="O1190" t="s">
        <v>93</v>
      </c>
      <c r="P1190" t="s">
        <v>68</v>
      </c>
      <c r="Q1190">
        <v>76</v>
      </c>
      <c r="R1190">
        <v>25.9</v>
      </c>
      <c r="S1190">
        <v>1968.4</v>
      </c>
      <c r="T1190">
        <v>33.44</v>
      </c>
      <c r="U1190">
        <v>4</v>
      </c>
      <c r="V1190">
        <v>9</v>
      </c>
      <c r="W1190">
        <v>3209</v>
      </c>
      <c r="X1190" t="s">
        <v>188</v>
      </c>
      <c r="Y1190" t="s">
        <v>36</v>
      </c>
      <c r="Z1190">
        <v>274.16000000000003</v>
      </c>
    </row>
    <row r="1191" spans="1:26" x14ac:dyDescent="0.25">
      <c r="A1191">
        <v>101189</v>
      </c>
      <c r="B1191" s="3">
        <v>45982</v>
      </c>
      <c r="C1191" s="3">
        <v>45986</v>
      </c>
      <c r="D1191" s="3">
        <v>45989</v>
      </c>
      <c r="E1191" t="s">
        <v>3069</v>
      </c>
      <c r="F1191" t="s">
        <v>25</v>
      </c>
      <c r="G1191" t="s">
        <v>221</v>
      </c>
      <c r="H1191" t="s">
        <v>3070</v>
      </c>
      <c r="I1191" t="s">
        <v>61</v>
      </c>
      <c r="J1191" t="s">
        <v>62</v>
      </c>
      <c r="K1191" t="s">
        <v>135</v>
      </c>
      <c r="L1191" t="s">
        <v>122</v>
      </c>
      <c r="M1191" t="s">
        <v>54</v>
      </c>
      <c r="N1191" t="s">
        <v>107</v>
      </c>
      <c r="O1191" t="s">
        <v>108</v>
      </c>
      <c r="P1191" t="s">
        <v>35</v>
      </c>
      <c r="Q1191">
        <v>429</v>
      </c>
      <c r="R1191">
        <v>48.82</v>
      </c>
      <c r="S1191">
        <v>20943.78</v>
      </c>
      <c r="T1191">
        <v>24.64</v>
      </c>
      <c r="U1191">
        <v>3</v>
      </c>
      <c r="V1191">
        <v>7</v>
      </c>
      <c r="W1191">
        <v>2695</v>
      </c>
      <c r="X1191" t="s">
        <v>3742</v>
      </c>
      <c r="Y1191" t="s">
        <v>57</v>
      </c>
      <c r="Z1191">
        <v>2485.91</v>
      </c>
    </row>
    <row r="1192" spans="1:26" x14ac:dyDescent="0.25">
      <c r="A1192">
        <v>101190</v>
      </c>
      <c r="B1192" s="3">
        <v>45518</v>
      </c>
      <c r="C1192" s="3">
        <v>45523</v>
      </c>
      <c r="D1192" s="3">
        <v>45544</v>
      </c>
      <c r="E1192" t="s">
        <v>3071</v>
      </c>
      <c r="F1192" t="s">
        <v>32</v>
      </c>
      <c r="G1192" t="s">
        <v>180</v>
      </c>
      <c r="H1192" t="s">
        <v>3072</v>
      </c>
      <c r="I1192" t="s">
        <v>149</v>
      </c>
      <c r="J1192" t="s">
        <v>42</v>
      </c>
      <c r="K1192" t="s">
        <v>300</v>
      </c>
      <c r="L1192" t="s">
        <v>44</v>
      </c>
      <c r="M1192" t="s">
        <v>32</v>
      </c>
      <c r="N1192" t="s">
        <v>107</v>
      </c>
      <c r="O1192" t="s">
        <v>108</v>
      </c>
      <c r="P1192" t="s">
        <v>76</v>
      </c>
      <c r="Q1192">
        <v>224</v>
      </c>
      <c r="R1192">
        <v>328.16</v>
      </c>
      <c r="S1192">
        <v>73507.839999999997</v>
      </c>
      <c r="T1192">
        <v>8.9600000000000009</v>
      </c>
      <c r="U1192">
        <v>21</v>
      </c>
      <c r="V1192">
        <v>26</v>
      </c>
      <c r="W1192">
        <v>1154</v>
      </c>
      <c r="X1192" t="s">
        <v>188</v>
      </c>
      <c r="Y1192" t="s">
        <v>36</v>
      </c>
      <c r="Z1192">
        <v>7061.44</v>
      </c>
    </row>
    <row r="1193" spans="1:26" x14ac:dyDescent="0.25">
      <c r="A1193">
        <v>101191</v>
      </c>
      <c r="B1193" s="3">
        <v>45707</v>
      </c>
      <c r="C1193" s="3">
        <v>45709</v>
      </c>
      <c r="D1193" s="3">
        <v>45718</v>
      </c>
      <c r="E1193" t="s">
        <v>3073</v>
      </c>
      <c r="F1193" t="s">
        <v>38</v>
      </c>
      <c r="G1193" t="s">
        <v>39</v>
      </c>
      <c r="H1193" t="s">
        <v>3074</v>
      </c>
      <c r="I1193" t="s">
        <v>89</v>
      </c>
      <c r="J1193" t="s">
        <v>62</v>
      </c>
      <c r="K1193" t="s">
        <v>1543</v>
      </c>
      <c r="L1193" t="s">
        <v>187</v>
      </c>
      <c r="M1193" t="s">
        <v>65</v>
      </c>
      <c r="N1193" t="s">
        <v>66</v>
      </c>
      <c r="O1193" t="s">
        <v>67</v>
      </c>
      <c r="P1193" t="s">
        <v>35</v>
      </c>
      <c r="Q1193">
        <v>220</v>
      </c>
      <c r="R1193">
        <v>37.729999999999997</v>
      </c>
      <c r="S1193">
        <v>8300.6</v>
      </c>
      <c r="T1193">
        <v>18.71</v>
      </c>
      <c r="U1193">
        <v>9</v>
      </c>
      <c r="V1193">
        <v>11</v>
      </c>
      <c r="W1193">
        <v>4453</v>
      </c>
      <c r="X1193" t="s">
        <v>188</v>
      </c>
      <c r="Y1193" t="s">
        <v>36</v>
      </c>
      <c r="Z1193">
        <v>1283.56</v>
      </c>
    </row>
    <row r="1194" spans="1:26" x14ac:dyDescent="0.25">
      <c r="A1194">
        <v>101192</v>
      </c>
      <c r="B1194" s="3">
        <v>45456</v>
      </c>
      <c r="C1194" s="3">
        <v>45458</v>
      </c>
      <c r="D1194" s="3">
        <v>45471</v>
      </c>
      <c r="E1194" t="s">
        <v>3075</v>
      </c>
      <c r="F1194" t="s">
        <v>65</v>
      </c>
      <c r="G1194" t="s">
        <v>70</v>
      </c>
      <c r="H1194" t="s">
        <v>3076</v>
      </c>
      <c r="I1194" t="s">
        <v>89</v>
      </c>
      <c r="J1194" t="s">
        <v>62</v>
      </c>
      <c r="K1194" t="s">
        <v>3077</v>
      </c>
      <c r="L1194" t="s">
        <v>118</v>
      </c>
      <c r="M1194" t="s">
        <v>32</v>
      </c>
      <c r="N1194" t="s">
        <v>92</v>
      </c>
      <c r="O1194" t="s">
        <v>93</v>
      </c>
      <c r="P1194" t="s">
        <v>123</v>
      </c>
      <c r="Q1194">
        <v>413</v>
      </c>
      <c r="R1194">
        <v>8.25</v>
      </c>
      <c r="S1194">
        <v>3407.25</v>
      </c>
      <c r="T1194">
        <v>20.73</v>
      </c>
      <c r="U1194">
        <v>13</v>
      </c>
      <c r="V1194">
        <v>15</v>
      </c>
      <c r="W1194">
        <v>3342</v>
      </c>
      <c r="X1194" t="s">
        <v>188</v>
      </c>
      <c r="Y1194" t="s">
        <v>36</v>
      </c>
      <c r="Z1194">
        <v>510.32</v>
      </c>
    </row>
    <row r="1195" spans="1:26" x14ac:dyDescent="0.25">
      <c r="A1195">
        <v>101193</v>
      </c>
      <c r="B1195" s="3">
        <v>45512</v>
      </c>
      <c r="C1195" s="3">
        <v>45513</v>
      </c>
      <c r="D1195" s="3">
        <v>45522</v>
      </c>
      <c r="E1195" t="s">
        <v>3078</v>
      </c>
      <c r="F1195" t="s">
        <v>38</v>
      </c>
      <c r="G1195" t="s">
        <v>217</v>
      </c>
      <c r="H1195" t="s">
        <v>3079</v>
      </c>
      <c r="I1195" t="s">
        <v>207</v>
      </c>
      <c r="J1195" t="s">
        <v>80</v>
      </c>
      <c r="K1195" t="s">
        <v>1591</v>
      </c>
      <c r="L1195" t="s">
        <v>113</v>
      </c>
      <c r="M1195" t="s">
        <v>25</v>
      </c>
      <c r="N1195" t="s">
        <v>55</v>
      </c>
      <c r="O1195" t="s">
        <v>56</v>
      </c>
      <c r="P1195" t="s">
        <v>35</v>
      </c>
      <c r="Q1195">
        <v>270</v>
      </c>
      <c r="R1195">
        <v>44.42</v>
      </c>
      <c r="S1195">
        <v>11993.4</v>
      </c>
      <c r="T1195">
        <v>20.13</v>
      </c>
      <c r="U1195">
        <v>9</v>
      </c>
      <c r="V1195">
        <v>10</v>
      </c>
      <c r="W1195">
        <v>1201</v>
      </c>
      <c r="X1195" t="s">
        <v>188</v>
      </c>
      <c r="Y1195" t="s">
        <v>36</v>
      </c>
      <c r="Z1195">
        <v>2012.52</v>
      </c>
    </row>
    <row r="1196" spans="1:26" x14ac:dyDescent="0.25">
      <c r="A1196">
        <v>101194</v>
      </c>
      <c r="B1196" s="3">
        <v>45329</v>
      </c>
      <c r="C1196" s="3">
        <v>45331</v>
      </c>
      <c r="D1196" s="3">
        <v>45337</v>
      </c>
      <c r="E1196" t="s">
        <v>3080</v>
      </c>
      <c r="F1196" t="s">
        <v>25</v>
      </c>
      <c r="G1196" t="s">
        <v>59</v>
      </c>
      <c r="H1196" t="s">
        <v>3081</v>
      </c>
      <c r="I1196" t="s">
        <v>230</v>
      </c>
      <c r="J1196" t="s">
        <v>80</v>
      </c>
      <c r="K1196" t="s">
        <v>1416</v>
      </c>
      <c r="L1196" t="s">
        <v>31</v>
      </c>
      <c r="M1196" t="s">
        <v>65</v>
      </c>
      <c r="N1196" t="s">
        <v>45</v>
      </c>
      <c r="O1196" t="s">
        <v>46</v>
      </c>
      <c r="P1196" t="s">
        <v>35</v>
      </c>
      <c r="Q1196">
        <v>433</v>
      </c>
      <c r="R1196">
        <v>334.82</v>
      </c>
      <c r="S1196">
        <v>144977.06</v>
      </c>
      <c r="T1196">
        <v>24.75</v>
      </c>
      <c r="U1196">
        <v>6</v>
      </c>
      <c r="V1196">
        <v>8</v>
      </c>
      <c r="W1196">
        <v>1005</v>
      </c>
      <c r="X1196" t="s">
        <v>188</v>
      </c>
      <c r="Y1196" t="s">
        <v>36</v>
      </c>
      <c r="Z1196">
        <v>32798.79</v>
      </c>
    </row>
    <row r="1197" spans="1:26" x14ac:dyDescent="0.25">
      <c r="A1197">
        <v>101195</v>
      </c>
      <c r="B1197" s="3">
        <v>45653</v>
      </c>
      <c r="C1197" s="3">
        <v>45658</v>
      </c>
      <c r="D1197" s="3">
        <v>45683</v>
      </c>
      <c r="E1197" t="s">
        <v>2824</v>
      </c>
      <c r="F1197" t="s">
        <v>25</v>
      </c>
      <c r="G1197" t="s">
        <v>172</v>
      </c>
      <c r="H1197" t="s">
        <v>3082</v>
      </c>
      <c r="I1197" t="s">
        <v>416</v>
      </c>
      <c r="J1197" t="s">
        <v>80</v>
      </c>
      <c r="K1197" t="s">
        <v>3083</v>
      </c>
      <c r="L1197" t="s">
        <v>187</v>
      </c>
      <c r="M1197" t="s">
        <v>65</v>
      </c>
      <c r="N1197" t="s">
        <v>45</v>
      </c>
      <c r="O1197" t="s">
        <v>46</v>
      </c>
      <c r="P1197" t="s">
        <v>76</v>
      </c>
      <c r="Q1197">
        <v>221</v>
      </c>
      <c r="R1197">
        <v>251.68</v>
      </c>
      <c r="S1197">
        <v>55621.279999999999</v>
      </c>
      <c r="T1197">
        <v>12.05</v>
      </c>
      <c r="U1197">
        <v>25</v>
      </c>
      <c r="V1197">
        <v>30</v>
      </c>
      <c r="W1197">
        <v>1294</v>
      </c>
      <c r="X1197" t="s">
        <v>188</v>
      </c>
      <c r="Y1197" t="s">
        <v>36</v>
      </c>
      <c r="Z1197">
        <v>14948.1</v>
      </c>
    </row>
    <row r="1198" spans="1:26" x14ac:dyDescent="0.25">
      <c r="A1198">
        <v>101196</v>
      </c>
      <c r="B1198" s="3">
        <v>45708</v>
      </c>
      <c r="C1198" s="3">
        <v>45710</v>
      </c>
      <c r="D1198" s="3">
        <v>45718</v>
      </c>
      <c r="E1198" t="s">
        <v>3084</v>
      </c>
      <c r="F1198" t="s">
        <v>32</v>
      </c>
      <c r="G1198" t="s">
        <v>364</v>
      </c>
      <c r="H1198" t="s">
        <v>3085</v>
      </c>
      <c r="I1198" t="s">
        <v>191</v>
      </c>
      <c r="J1198" t="s">
        <v>62</v>
      </c>
      <c r="K1198" t="s">
        <v>1471</v>
      </c>
      <c r="L1198" t="s">
        <v>187</v>
      </c>
      <c r="M1198" t="s">
        <v>54</v>
      </c>
      <c r="N1198" t="s">
        <v>102</v>
      </c>
      <c r="O1198" t="s">
        <v>103</v>
      </c>
      <c r="P1198" t="s">
        <v>35</v>
      </c>
      <c r="Q1198">
        <v>498</v>
      </c>
      <c r="R1198">
        <v>16.47</v>
      </c>
      <c r="S1198">
        <v>8202.06</v>
      </c>
      <c r="T1198">
        <v>26.59</v>
      </c>
      <c r="U1198">
        <v>8</v>
      </c>
      <c r="V1198">
        <v>10</v>
      </c>
      <c r="W1198">
        <v>3046</v>
      </c>
      <c r="X1198" t="s">
        <v>188</v>
      </c>
      <c r="Y1198" t="s">
        <v>36</v>
      </c>
      <c r="Z1198">
        <v>1131.94</v>
      </c>
    </row>
    <row r="1199" spans="1:26" x14ac:dyDescent="0.25">
      <c r="A1199">
        <v>101197</v>
      </c>
      <c r="B1199" s="3">
        <v>45549</v>
      </c>
      <c r="C1199" s="3">
        <v>45549</v>
      </c>
      <c r="D1199" s="3">
        <v>45553</v>
      </c>
      <c r="E1199" t="s">
        <v>3086</v>
      </c>
      <c r="F1199" t="s">
        <v>65</v>
      </c>
      <c r="G1199" t="s">
        <v>154</v>
      </c>
      <c r="H1199" t="s">
        <v>3087</v>
      </c>
      <c r="I1199" t="s">
        <v>85</v>
      </c>
      <c r="J1199" t="s">
        <v>52</v>
      </c>
      <c r="K1199" t="s">
        <v>3088</v>
      </c>
      <c r="L1199" t="s">
        <v>212</v>
      </c>
      <c r="M1199" t="s">
        <v>32</v>
      </c>
      <c r="N1199" t="s">
        <v>102</v>
      </c>
      <c r="O1199" t="s">
        <v>103</v>
      </c>
      <c r="P1199" t="s">
        <v>35</v>
      </c>
      <c r="Q1199">
        <v>447</v>
      </c>
      <c r="R1199">
        <v>24.24</v>
      </c>
      <c r="S1199">
        <v>10835.28</v>
      </c>
      <c r="T1199">
        <v>25.15</v>
      </c>
      <c r="U1199">
        <v>4</v>
      </c>
      <c r="V1199">
        <v>4</v>
      </c>
      <c r="W1199">
        <v>2875</v>
      </c>
      <c r="X1199" t="s">
        <v>3741</v>
      </c>
      <c r="Y1199" t="s">
        <v>36</v>
      </c>
      <c r="Z1199">
        <v>1801.6</v>
      </c>
    </row>
    <row r="1200" spans="1:26" x14ac:dyDescent="0.25">
      <c r="A1200">
        <v>101198</v>
      </c>
      <c r="B1200" s="3">
        <v>45504</v>
      </c>
      <c r="C1200" s="3">
        <v>45508</v>
      </c>
      <c r="D1200" s="3">
        <v>45519</v>
      </c>
      <c r="E1200" t="s">
        <v>1001</v>
      </c>
      <c r="F1200" t="s">
        <v>54</v>
      </c>
      <c r="G1200" t="s">
        <v>158</v>
      </c>
      <c r="H1200" t="s">
        <v>3089</v>
      </c>
      <c r="I1200" t="s">
        <v>191</v>
      </c>
      <c r="J1200" t="s">
        <v>62</v>
      </c>
      <c r="K1200" t="s">
        <v>3090</v>
      </c>
      <c r="L1200" t="s">
        <v>44</v>
      </c>
      <c r="M1200" t="s">
        <v>65</v>
      </c>
      <c r="N1200" t="s">
        <v>74</v>
      </c>
      <c r="O1200" t="s">
        <v>75</v>
      </c>
      <c r="P1200" t="s">
        <v>123</v>
      </c>
      <c r="Q1200">
        <v>147</v>
      </c>
      <c r="R1200">
        <v>23.71</v>
      </c>
      <c r="S1200">
        <v>3485.37</v>
      </c>
      <c r="T1200">
        <v>14.26</v>
      </c>
      <c r="U1200">
        <v>11</v>
      </c>
      <c r="V1200">
        <v>15</v>
      </c>
      <c r="W1200">
        <v>1760</v>
      </c>
      <c r="X1200" t="s">
        <v>3742</v>
      </c>
      <c r="Y1200" t="s">
        <v>57</v>
      </c>
      <c r="Z1200">
        <v>536.79</v>
      </c>
    </row>
    <row r="1201" spans="1:26" x14ac:dyDescent="0.25">
      <c r="A1201">
        <v>101199</v>
      </c>
      <c r="B1201" s="3">
        <v>45925</v>
      </c>
      <c r="C1201" s="3">
        <v>45925</v>
      </c>
      <c r="D1201" s="3">
        <v>45941</v>
      </c>
      <c r="E1201" t="s">
        <v>3091</v>
      </c>
      <c r="F1201" t="s">
        <v>25</v>
      </c>
      <c r="G1201" t="s">
        <v>233</v>
      </c>
      <c r="H1201" t="s">
        <v>3092</v>
      </c>
      <c r="I1201" t="s">
        <v>246</v>
      </c>
      <c r="J1201" t="s">
        <v>29</v>
      </c>
      <c r="K1201" t="s">
        <v>3093</v>
      </c>
      <c r="L1201" t="s">
        <v>91</v>
      </c>
      <c r="M1201" t="s">
        <v>32</v>
      </c>
      <c r="N1201" t="s">
        <v>92</v>
      </c>
      <c r="O1201" t="s">
        <v>93</v>
      </c>
      <c r="P1201" t="s">
        <v>76</v>
      </c>
      <c r="Q1201">
        <v>49</v>
      </c>
      <c r="R1201">
        <v>84.7</v>
      </c>
      <c r="S1201">
        <v>4150.3</v>
      </c>
      <c r="T1201">
        <v>8.91</v>
      </c>
      <c r="U1201">
        <v>16</v>
      </c>
      <c r="V1201">
        <v>16</v>
      </c>
      <c r="W1201">
        <v>1262</v>
      </c>
      <c r="X1201" t="s">
        <v>188</v>
      </c>
      <c r="Y1201" t="s">
        <v>36</v>
      </c>
      <c r="Z1201">
        <v>1054.3900000000001</v>
      </c>
    </row>
    <row r="1202" spans="1:26" x14ac:dyDescent="0.25">
      <c r="A1202">
        <v>101200</v>
      </c>
      <c r="B1202" s="3">
        <v>45686</v>
      </c>
      <c r="C1202" s="3">
        <v>45686</v>
      </c>
      <c r="D1202" s="3">
        <v>45708</v>
      </c>
      <c r="E1202" t="s">
        <v>3094</v>
      </c>
      <c r="F1202" t="s">
        <v>25</v>
      </c>
      <c r="G1202" t="s">
        <v>26</v>
      </c>
      <c r="H1202" t="s">
        <v>3095</v>
      </c>
      <c r="I1202" t="s">
        <v>368</v>
      </c>
      <c r="J1202" t="s">
        <v>29</v>
      </c>
      <c r="K1202" t="s">
        <v>2131</v>
      </c>
      <c r="L1202" t="s">
        <v>64</v>
      </c>
      <c r="M1202" t="s">
        <v>25</v>
      </c>
      <c r="N1202" t="s">
        <v>33</v>
      </c>
      <c r="O1202" t="s">
        <v>34</v>
      </c>
      <c r="P1202" t="s">
        <v>76</v>
      </c>
      <c r="Q1202">
        <v>297</v>
      </c>
      <c r="R1202">
        <v>115.49</v>
      </c>
      <c r="S1202">
        <v>34300.53</v>
      </c>
      <c r="T1202">
        <v>9.9499999999999993</v>
      </c>
      <c r="U1202">
        <v>22</v>
      </c>
      <c r="V1202">
        <v>22</v>
      </c>
      <c r="W1202">
        <v>2140</v>
      </c>
      <c r="X1202" t="s">
        <v>188</v>
      </c>
      <c r="Y1202" t="s">
        <v>36</v>
      </c>
      <c r="Z1202">
        <v>8242.07</v>
      </c>
    </row>
    <row r="1203" spans="1:26" x14ac:dyDescent="0.25">
      <c r="A1203">
        <v>101201</v>
      </c>
      <c r="B1203" s="3">
        <v>45836</v>
      </c>
      <c r="C1203" s="3">
        <v>45840</v>
      </c>
      <c r="D1203" s="3">
        <v>45864</v>
      </c>
      <c r="E1203" t="s">
        <v>3096</v>
      </c>
      <c r="F1203" t="s">
        <v>54</v>
      </c>
      <c r="G1203" t="s">
        <v>165</v>
      </c>
      <c r="H1203" t="s">
        <v>3097</v>
      </c>
      <c r="I1203" t="s">
        <v>51</v>
      </c>
      <c r="J1203" t="s">
        <v>52</v>
      </c>
      <c r="K1203" t="s">
        <v>3098</v>
      </c>
      <c r="L1203" t="s">
        <v>44</v>
      </c>
      <c r="M1203" t="s">
        <v>38</v>
      </c>
      <c r="N1203" t="s">
        <v>55</v>
      </c>
      <c r="O1203" t="s">
        <v>56</v>
      </c>
      <c r="P1203" t="s">
        <v>76</v>
      </c>
      <c r="Q1203">
        <v>94</v>
      </c>
      <c r="R1203">
        <v>37.76</v>
      </c>
      <c r="S1203">
        <v>3549.44</v>
      </c>
      <c r="T1203">
        <v>9.73</v>
      </c>
      <c r="U1203">
        <v>24</v>
      </c>
      <c r="V1203">
        <v>28</v>
      </c>
      <c r="W1203">
        <v>4328</v>
      </c>
      <c r="X1203" t="s">
        <v>188</v>
      </c>
      <c r="Y1203" t="s">
        <v>36</v>
      </c>
      <c r="Z1203">
        <v>508.44</v>
      </c>
    </row>
    <row r="1204" spans="1:26" x14ac:dyDescent="0.25">
      <c r="A1204">
        <v>101202</v>
      </c>
      <c r="B1204" s="3">
        <v>45749</v>
      </c>
      <c r="C1204" s="3">
        <v>45752</v>
      </c>
      <c r="D1204" s="3">
        <v>45776</v>
      </c>
      <c r="E1204" t="s">
        <v>3099</v>
      </c>
      <c r="F1204" t="s">
        <v>65</v>
      </c>
      <c r="G1204" t="s">
        <v>70</v>
      </c>
      <c r="H1204" t="s">
        <v>3100</v>
      </c>
      <c r="I1204" t="s">
        <v>134</v>
      </c>
      <c r="J1204" t="s">
        <v>52</v>
      </c>
      <c r="K1204" t="s">
        <v>610</v>
      </c>
      <c r="L1204" t="s">
        <v>91</v>
      </c>
      <c r="M1204" t="s">
        <v>32</v>
      </c>
      <c r="N1204" t="s">
        <v>74</v>
      </c>
      <c r="O1204" t="s">
        <v>75</v>
      </c>
      <c r="P1204" t="s">
        <v>76</v>
      </c>
      <c r="Q1204">
        <v>428</v>
      </c>
      <c r="R1204">
        <v>52.71</v>
      </c>
      <c r="S1204">
        <v>22559.88</v>
      </c>
      <c r="T1204">
        <v>15.82</v>
      </c>
      <c r="U1204">
        <v>24</v>
      </c>
      <c r="V1204">
        <v>27</v>
      </c>
      <c r="W1204">
        <v>1670</v>
      </c>
      <c r="X1204" t="s">
        <v>188</v>
      </c>
      <c r="Y1204" t="s">
        <v>36</v>
      </c>
      <c r="Z1204">
        <v>2136.0500000000002</v>
      </c>
    </row>
    <row r="1205" spans="1:26" x14ac:dyDescent="0.25">
      <c r="A1205">
        <v>101203</v>
      </c>
      <c r="B1205" s="3">
        <v>45772</v>
      </c>
      <c r="C1205" s="3">
        <v>45776</v>
      </c>
      <c r="D1205" s="3">
        <v>45796</v>
      </c>
      <c r="E1205" t="s">
        <v>3101</v>
      </c>
      <c r="F1205" t="s">
        <v>65</v>
      </c>
      <c r="G1205" t="s">
        <v>142</v>
      </c>
      <c r="H1205" t="s">
        <v>3102</v>
      </c>
      <c r="I1205" t="s">
        <v>416</v>
      </c>
      <c r="J1205" t="s">
        <v>80</v>
      </c>
      <c r="K1205" t="s">
        <v>3103</v>
      </c>
      <c r="L1205" t="s">
        <v>64</v>
      </c>
      <c r="M1205" t="s">
        <v>25</v>
      </c>
      <c r="N1205" t="s">
        <v>55</v>
      </c>
      <c r="O1205" t="s">
        <v>56</v>
      </c>
      <c r="P1205" t="s">
        <v>76</v>
      </c>
      <c r="Q1205">
        <v>313</v>
      </c>
      <c r="R1205">
        <v>299.49</v>
      </c>
      <c r="S1205">
        <v>93740.37</v>
      </c>
      <c r="T1205">
        <v>13.72</v>
      </c>
      <c r="U1205">
        <v>20</v>
      </c>
      <c r="V1205">
        <v>24</v>
      </c>
      <c r="W1205">
        <v>1875</v>
      </c>
      <c r="X1205" t="s">
        <v>188</v>
      </c>
      <c r="Y1205" t="s">
        <v>36</v>
      </c>
      <c r="Z1205">
        <v>23857.919999999998</v>
      </c>
    </row>
    <row r="1206" spans="1:26" x14ac:dyDescent="0.25">
      <c r="A1206">
        <v>101204</v>
      </c>
      <c r="B1206" s="3">
        <v>45676</v>
      </c>
      <c r="C1206" s="3">
        <v>45680</v>
      </c>
      <c r="D1206" s="3">
        <v>45693</v>
      </c>
      <c r="E1206" t="s">
        <v>3104</v>
      </c>
      <c r="F1206" t="s">
        <v>54</v>
      </c>
      <c r="G1206" t="s">
        <v>225</v>
      </c>
      <c r="H1206" t="s">
        <v>3105</v>
      </c>
      <c r="I1206" t="s">
        <v>116</v>
      </c>
      <c r="J1206" t="s">
        <v>62</v>
      </c>
      <c r="K1206" t="s">
        <v>331</v>
      </c>
      <c r="L1206" t="s">
        <v>212</v>
      </c>
      <c r="M1206" t="s">
        <v>25</v>
      </c>
      <c r="N1206" t="s">
        <v>45</v>
      </c>
      <c r="O1206" t="s">
        <v>46</v>
      </c>
      <c r="P1206" t="s">
        <v>123</v>
      </c>
      <c r="Q1206">
        <v>392</v>
      </c>
      <c r="R1206">
        <v>20.96</v>
      </c>
      <c r="S1206">
        <v>8216.32</v>
      </c>
      <c r="T1206">
        <v>20.22</v>
      </c>
      <c r="U1206">
        <v>13</v>
      </c>
      <c r="V1206">
        <v>17</v>
      </c>
      <c r="W1206">
        <v>4125</v>
      </c>
      <c r="X1206" t="s">
        <v>3742</v>
      </c>
      <c r="Y1206" t="s">
        <v>188</v>
      </c>
      <c r="Z1206">
        <v>816.6</v>
      </c>
    </row>
    <row r="1207" spans="1:26" x14ac:dyDescent="0.25">
      <c r="A1207">
        <v>101205</v>
      </c>
      <c r="B1207" s="3">
        <v>45921</v>
      </c>
      <c r="C1207" s="3">
        <v>45922</v>
      </c>
      <c r="D1207" s="3">
        <v>45926</v>
      </c>
      <c r="E1207" t="s">
        <v>3106</v>
      </c>
      <c r="F1207" t="s">
        <v>38</v>
      </c>
      <c r="G1207" t="s">
        <v>217</v>
      </c>
      <c r="H1207" t="s">
        <v>3107</v>
      </c>
      <c r="I1207" t="s">
        <v>28</v>
      </c>
      <c r="J1207" t="s">
        <v>29</v>
      </c>
      <c r="K1207" t="s">
        <v>3108</v>
      </c>
      <c r="L1207" t="s">
        <v>91</v>
      </c>
      <c r="M1207" t="s">
        <v>32</v>
      </c>
      <c r="N1207" t="s">
        <v>55</v>
      </c>
      <c r="O1207" t="s">
        <v>56</v>
      </c>
      <c r="P1207" t="s">
        <v>35</v>
      </c>
      <c r="Q1207">
        <v>255</v>
      </c>
      <c r="R1207">
        <v>114.67</v>
      </c>
      <c r="S1207">
        <v>29240.85</v>
      </c>
      <c r="T1207">
        <v>19.7</v>
      </c>
      <c r="U1207">
        <v>4</v>
      </c>
      <c r="V1207">
        <v>5</v>
      </c>
      <c r="W1207">
        <v>2274</v>
      </c>
      <c r="X1207" t="s">
        <v>3741</v>
      </c>
      <c r="Y1207" t="s">
        <v>36</v>
      </c>
      <c r="Z1207">
        <v>7764.71</v>
      </c>
    </row>
    <row r="1208" spans="1:26" x14ac:dyDescent="0.25">
      <c r="A1208">
        <v>101206</v>
      </c>
      <c r="B1208" s="3">
        <v>45932</v>
      </c>
      <c r="C1208" s="3">
        <v>45936</v>
      </c>
      <c r="D1208" s="3">
        <v>45943</v>
      </c>
      <c r="E1208" t="s">
        <v>3109</v>
      </c>
      <c r="F1208" t="s">
        <v>25</v>
      </c>
      <c r="G1208" t="s">
        <v>244</v>
      </c>
      <c r="H1208" t="s">
        <v>3110</v>
      </c>
      <c r="I1208" t="s">
        <v>177</v>
      </c>
      <c r="J1208" t="s">
        <v>29</v>
      </c>
      <c r="K1208" t="s">
        <v>1562</v>
      </c>
      <c r="L1208" t="s">
        <v>98</v>
      </c>
      <c r="M1208" t="s">
        <v>32</v>
      </c>
      <c r="N1208" t="s">
        <v>66</v>
      </c>
      <c r="O1208" t="s">
        <v>67</v>
      </c>
      <c r="P1208" t="s">
        <v>35</v>
      </c>
      <c r="Q1208">
        <v>343</v>
      </c>
      <c r="R1208">
        <v>73.39</v>
      </c>
      <c r="S1208">
        <v>25172.77</v>
      </c>
      <c r="T1208">
        <v>22.2</v>
      </c>
      <c r="U1208">
        <v>7</v>
      </c>
      <c r="V1208">
        <v>11</v>
      </c>
      <c r="W1208">
        <v>820</v>
      </c>
      <c r="X1208" t="s">
        <v>188</v>
      </c>
      <c r="Y1208" t="s">
        <v>36</v>
      </c>
      <c r="Z1208">
        <v>6620.58</v>
      </c>
    </row>
    <row r="1209" spans="1:26" x14ac:dyDescent="0.25">
      <c r="A1209">
        <v>101207</v>
      </c>
      <c r="B1209" s="3">
        <v>45480</v>
      </c>
      <c r="C1209" s="3">
        <v>45482</v>
      </c>
      <c r="D1209" s="3">
        <v>45488</v>
      </c>
      <c r="E1209" t="s">
        <v>3111</v>
      </c>
      <c r="F1209" t="s">
        <v>32</v>
      </c>
      <c r="G1209" t="s">
        <v>255</v>
      </c>
      <c r="H1209" t="s">
        <v>3112</v>
      </c>
      <c r="I1209" t="s">
        <v>126</v>
      </c>
      <c r="J1209" t="s">
        <v>42</v>
      </c>
      <c r="K1209" t="s">
        <v>3035</v>
      </c>
      <c r="L1209" t="s">
        <v>212</v>
      </c>
      <c r="M1209" t="s">
        <v>54</v>
      </c>
      <c r="N1209" t="s">
        <v>74</v>
      </c>
      <c r="O1209" t="s">
        <v>75</v>
      </c>
      <c r="P1209" t="s">
        <v>123</v>
      </c>
      <c r="Q1209">
        <v>288</v>
      </c>
      <c r="R1209">
        <v>123.96</v>
      </c>
      <c r="S1209">
        <v>35700.480000000003</v>
      </c>
      <c r="T1209">
        <v>17.690000000000001</v>
      </c>
      <c r="U1209">
        <v>6</v>
      </c>
      <c r="V1209">
        <v>8</v>
      </c>
      <c r="W1209">
        <v>591</v>
      </c>
      <c r="X1209" t="s">
        <v>3742</v>
      </c>
      <c r="Y1209" t="s">
        <v>57</v>
      </c>
      <c r="Z1209">
        <v>4932.51</v>
      </c>
    </row>
    <row r="1210" spans="1:26" x14ac:dyDescent="0.25">
      <c r="A1210">
        <v>101208</v>
      </c>
      <c r="B1210" s="3">
        <v>45461</v>
      </c>
      <c r="C1210" s="3">
        <v>45466</v>
      </c>
      <c r="D1210" s="3">
        <v>45485</v>
      </c>
      <c r="E1210" t="s">
        <v>2882</v>
      </c>
      <c r="F1210" t="s">
        <v>65</v>
      </c>
      <c r="G1210" t="s">
        <v>154</v>
      </c>
      <c r="H1210" t="s">
        <v>3113</v>
      </c>
      <c r="I1210" t="s">
        <v>149</v>
      </c>
      <c r="J1210" t="s">
        <v>42</v>
      </c>
      <c r="K1210" t="s">
        <v>1413</v>
      </c>
      <c r="L1210" t="s">
        <v>91</v>
      </c>
      <c r="M1210" t="s">
        <v>65</v>
      </c>
      <c r="N1210" t="s">
        <v>151</v>
      </c>
      <c r="O1210" t="s">
        <v>152</v>
      </c>
      <c r="P1210" t="s">
        <v>76</v>
      </c>
      <c r="Q1210">
        <v>334</v>
      </c>
      <c r="R1210">
        <v>219.51</v>
      </c>
      <c r="S1210">
        <v>73316.34</v>
      </c>
      <c r="T1210">
        <v>10.45</v>
      </c>
      <c r="U1210">
        <v>19</v>
      </c>
      <c r="V1210">
        <v>24</v>
      </c>
      <c r="W1210">
        <v>1179</v>
      </c>
      <c r="X1210" t="s">
        <v>3742</v>
      </c>
      <c r="Y1210" t="s">
        <v>47</v>
      </c>
      <c r="Z1210">
        <v>-142.46</v>
      </c>
    </row>
    <row r="1211" spans="1:26" x14ac:dyDescent="0.25">
      <c r="A1211">
        <v>101209</v>
      </c>
      <c r="B1211" s="3">
        <v>45729</v>
      </c>
      <c r="C1211" s="3">
        <v>45731</v>
      </c>
      <c r="D1211" s="3">
        <v>45749</v>
      </c>
      <c r="E1211" t="s">
        <v>3114</v>
      </c>
      <c r="F1211" t="s">
        <v>65</v>
      </c>
      <c r="G1211" t="s">
        <v>154</v>
      </c>
      <c r="H1211" t="s">
        <v>3115</v>
      </c>
      <c r="I1211" t="s">
        <v>191</v>
      </c>
      <c r="J1211" t="s">
        <v>62</v>
      </c>
      <c r="K1211" t="s">
        <v>3116</v>
      </c>
      <c r="L1211" t="s">
        <v>118</v>
      </c>
      <c r="M1211" t="s">
        <v>25</v>
      </c>
      <c r="N1211" t="s">
        <v>45</v>
      </c>
      <c r="O1211" t="s">
        <v>46</v>
      </c>
      <c r="P1211" t="s">
        <v>76</v>
      </c>
      <c r="Q1211">
        <v>47</v>
      </c>
      <c r="R1211">
        <v>13.63</v>
      </c>
      <c r="S1211">
        <v>640.61</v>
      </c>
      <c r="T1211">
        <v>8.8800000000000008</v>
      </c>
      <c r="U1211">
        <v>18</v>
      </c>
      <c r="V1211">
        <v>20</v>
      </c>
      <c r="W1211">
        <v>4816</v>
      </c>
      <c r="X1211" t="s">
        <v>3742</v>
      </c>
      <c r="Y1211" t="s">
        <v>47</v>
      </c>
      <c r="Z1211">
        <v>-171.44</v>
      </c>
    </row>
    <row r="1212" spans="1:26" x14ac:dyDescent="0.25">
      <c r="A1212">
        <v>101210</v>
      </c>
      <c r="B1212" s="3">
        <v>45324</v>
      </c>
      <c r="C1212" s="3">
        <v>45329</v>
      </c>
      <c r="D1212" s="3">
        <v>45343</v>
      </c>
      <c r="E1212" t="s">
        <v>3117</v>
      </c>
      <c r="F1212" t="s">
        <v>38</v>
      </c>
      <c r="G1212" t="s">
        <v>39</v>
      </c>
      <c r="H1212" t="s">
        <v>3118</v>
      </c>
      <c r="I1212" t="s">
        <v>134</v>
      </c>
      <c r="J1212" t="s">
        <v>52</v>
      </c>
      <c r="K1212" t="s">
        <v>1633</v>
      </c>
      <c r="L1212" t="s">
        <v>122</v>
      </c>
      <c r="M1212" t="s">
        <v>54</v>
      </c>
      <c r="N1212" t="s">
        <v>151</v>
      </c>
      <c r="O1212" t="s">
        <v>152</v>
      </c>
      <c r="P1212" t="s">
        <v>76</v>
      </c>
      <c r="Q1212">
        <v>59</v>
      </c>
      <c r="R1212">
        <v>76.959999999999994</v>
      </c>
      <c r="S1212">
        <v>4540.6400000000003</v>
      </c>
      <c r="T1212">
        <v>9.09</v>
      </c>
      <c r="U1212">
        <v>14</v>
      </c>
      <c r="V1212">
        <v>19</v>
      </c>
      <c r="W1212">
        <v>1601</v>
      </c>
      <c r="X1212" t="s">
        <v>188</v>
      </c>
      <c r="Y1212" t="s">
        <v>36</v>
      </c>
      <c r="Z1212">
        <v>588.37</v>
      </c>
    </row>
    <row r="1213" spans="1:26" x14ac:dyDescent="0.25">
      <c r="A1213">
        <v>101211</v>
      </c>
      <c r="B1213" s="3">
        <v>45478</v>
      </c>
      <c r="C1213" s="3">
        <v>45479</v>
      </c>
      <c r="D1213" s="3">
        <v>45488</v>
      </c>
      <c r="E1213" t="s">
        <v>674</v>
      </c>
      <c r="F1213" t="s">
        <v>54</v>
      </c>
      <c r="G1213" t="s">
        <v>158</v>
      </c>
      <c r="H1213" t="s">
        <v>3119</v>
      </c>
      <c r="I1213" t="s">
        <v>89</v>
      </c>
      <c r="J1213" t="s">
        <v>62</v>
      </c>
      <c r="K1213" t="s">
        <v>1946</v>
      </c>
      <c r="L1213" t="s">
        <v>122</v>
      </c>
      <c r="M1213" t="s">
        <v>32</v>
      </c>
      <c r="N1213" t="s">
        <v>66</v>
      </c>
      <c r="O1213" t="s">
        <v>67</v>
      </c>
      <c r="P1213" t="s">
        <v>35</v>
      </c>
      <c r="Q1213">
        <v>361</v>
      </c>
      <c r="R1213">
        <v>29.55</v>
      </c>
      <c r="S1213">
        <v>10667.55</v>
      </c>
      <c r="T1213">
        <v>22.71</v>
      </c>
      <c r="U1213">
        <v>9</v>
      </c>
      <c r="V1213">
        <v>10</v>
      </c>
      <c r="W1213">
        <v>2135</v>
      </c>
      <c r="X1213" t="s">
        <v>188</v>
      </c>
      <c r="Y1213" t="s">
        <v>36</v>
      </c>
      <c r="Z1213">
        <v>511</v>
      </c>
    </row>
    <row r="1214" spans="1:26" x14ac:dyDescent="0.25">
      <c r="A1214">
        <v>101212</v>
      </c>
      <c r="B1214" s="3">
        <v>45791</v>
      </c>
      <c r="C1214" s="3">
        <v>45791</v>
      </c>
      <c r="D1214" s="3">
        <v>45795</v>
      </c>
      <c r="E1214" t="s">
        <v>3120</v>
      </c>
      <c r="F1214" t="s">
        <v>32</v>
      </c>
      <c r="G1214" t="s">
        <v>110</v>
      </c>
      <c r="H1214" t="s">
        <v>3121</v>
      </c>
      <c r="I1214" t="s">
        <v>85</v>
      </c>
      <c r="J1214" t="s">
        <v>52</v>
      </c>
      <c r="K1214" t="s">
        <v>1127</v>
      </c>
      <c r="L1214" t="s">
        <v>31</v>
      </c>
      <c r="M1214" t="s">
        <v>38</v>
      </c>
      <c r="N1214" t="s">
        <v>33</v>
      </c>
      <c r="O1214" t="s">
        <v>34</v>
      </c>
      <c r="P1214" t="s">
        <v>35</v>
      </c>
      <c r="Q1214">
        <v>33</v>
      </c>
      <c r="R1214">
        <v>20.04</v>
      </c>
      <c r="S1214">
        <v>661.32</v>
      </c>
      <c r="T1214">
        <v>13.41</v>
      </c>
      <c r="U1214">
        <v>4</v>
      </c>
      <c r="V1214">
        <v>4</v>
      </c>
      <c r="W1214">
        <v>3172</v>
      </c>
      <c r="X1214" t="s">
        <v>3741</v>
      </c>
      <c r="Y1214" t="s">
        <v>36</v>
      </c>
      <c r="Z1214">
        <v>28.56</v>
      </c>
    </row>
    <row r="1215" spans="1:26" x14ac:dyDescent="0.25">
      <c r="A1215">
        <v>101213</v>
      </c>
      <c r="B1215" s="3">
        <v>45756</v>
      </c>
      <c r="C1215" s="3">
        <v>45757</v>
      </c>
      <c r="D1215" s="3">
        <v>45767</v>
      </c>
      <c r="E1215" t="s">
        <v>3122</v>
      </c>
      <c r="F1215" t="s">
        <v>54</v>
      </c>
      <c r="G1215" t="s">
        <v>165</v>
      </c>
      <c r="H1215" t="s">
        <v>1632</v>
      </c>
      <c r="I1215" t="s">
        <v>191</v>
      </c>
      <c r="J1215" t="s">
        <v>62</v>
      </c>
      <c r="K1215" t="s">
        <v>2899</v>
      </c>
      <c r="L1215" t="s">
        <v>31</v>
      </c>
      <c r="M1215" t="s">
        <v>54</v>
      </c>
      <c r="N1215" t="s">
        <v>66</v>
      </c>
      <c r="O1215" t="s">
        <v>67</v>
      </c>
      <c r="P1215" t="s">
        <v>123</v>
      </c>
      <c r="Q1215">
        <v>276</v>
      </c>
      <c r="R1215">
        <v>30.32</v>
      </c>
      <c r="S1215">
        <v>8368.32</v>
      </c>
      <c r="T1215">
        <v>12.89</v>
      </c>
      <c r="U1215">
        <v>10</v>
      </c>
      <c r="V1215">
        <v>11</v>
      </c>
      <c r="W1215">
        <v>3891</v>
      </c>
      <c r="X1215" t="s">
        <v>188</v>
      </c>
      <c r="Y1215" t="s">
        <v>36</v>
      </c>
      <c r="Z1215">
        <v>1166.3699999999999</v>
      </c>
    </row>
    <row r="1216" spans="1:26" x14ac:dyDescent="0.25">
      <c r="A1216">
        <v>101214</v>
      </c>
      <c r="B1216" s="3">
        <v>45999</v>
      </c>
      <c r="C1216" s="3">
        <v>46002</v>
      </c>
      <c r="D1216" s="3">
        <v>46027</v>
      </c>
      <c r="E1216" t="s">
        <v>2802</v>
      </c>
      <c r="F1216" t="s">
        <v>65</v>
      </c>
      <c r="G1216" t="s">
        <v>154</v>
      </c>
      <c r="H1216" t="s">
        <v>3123</v>
      </c>
      <c r="I1216" t="s">
        <v>51</v>
      </c>
      <c r="J1216" t="s">
        <v>52</v>
      </c>
      <c r="K1216" t="s">
        <v>1659</v>
      </c>
      <c r="L1216" t="s">
        <v>31</v>
      </c>
      <c r="M1216" t="s">
        <v>65</v>
      </c>
      <c r="N1216" t="s">
        <v>92</v>
      </c>
      <c r="O1216" t="s">
        <v>93</v>
      </c>
      <c r="P1216" t="s">
        <v>76</v>
      </c>
      <c r="Q1216">
        <v>403</v>
      </c>
      <c r="R1216">
        <v>74.989999999999995</v>
      </c>
      <c r="S1216">
        <v>30220.97</v>
      </c>
      <c r="T1216">
        <v>11.38</v>
      </c>
      <c r="U1216">
        <v>25</v>
      </c>
      <c r="V1216">
        <v>28</v>
      </c>
      <c r="W1216">
        <v>4444</v>
      </c>
      <c r="X1216" t="s">
        <v>188</v>
      </c>
      <c r="Y1216" t="s">
        <v>36</v>
      </c>
      <c r="Z1216">
        <v>2838.4</v>
      </c>
    </row>
    <row r="1217" spans="1:26" x14ac:dyDescent="0.25">
      <c r="A1217">
        <v>101215</v>
      </c>
      <c r="B1217" s="3">
        <v>45308</v>
      </c>
      <c r="C1217" s="3">
        <v>45313</v>
      </c>
      <c r="D1217" s="3">
        <v>45317</v>
      </c>
      <c r="E1217" t="s">
        <v>3124</v>
      </c>
      <c r="F1217" t="s">
        <v>65</v>
      </c>
      <c r="G1217" t="s">
        <v>154</v>
      </c>
      <c r="H1217" t="s">
        <v>3125</v>
      </c>
      <c r="I1217" t="s">
        <v>230</v>
      </c>
      <c r="J1217" t="s">
        <v>80</v>
      </c>
      <c r="K1217" t="s">
        <v>3126</v>
      </c>
      <c r="L1217" t="s">
        <v>113</v>
      </c>
      <c r="M1217" t="s">
        <v>54</v>
      </c>
      <c r="N1217" t="s">
        <v>203</v>
      </c>
      <c r="O1217" t="s">
        <v>204</v>
      </c>
      <c r="P1217" t="s">
        <v>35</v>
      </c>
      <c r="Q1217">
        <v>303</v>
      </c>
      <c r="R1217">
        <v>49.78</v>
      </c>
      <c r="S1217">
        <v>15083.34</v>
      </c>
      <c r="T1217">
        <v>21.06</v>
      </c>
      <c r="U1217">
        <v>4</v>
      </c>
      <c r="V1217">
        <v>9</v>
      </c>
      <c r="W1217">
        <v>1372</v>
      </c>
      <c r="X1217" t="s">
        <v>188</v>
      </c>
      <c r="Y1217" t="s">
        <v>36</v>
      </c>
      <c r="Z1217">
        <v>3032.98</v>
      </c>
    </row>
    <row r="1218" spans="1:26" x14ac:dyDescent="0.25">
      <c r="A1218">
        <v>101216</v>
      </c>
      <c r="B1218" s="3">
        <v>45711</v>
      </c>
      <c r="C1218" s="3">
        <v>45712</v>
      </c>
      <c r="D1218" s="3">
        <v>45730</v>
      </c>
      <c r="E1218" t="s">
        <v>3127</v>
      </c>
      <c r="F1218" t="s">
        <v>32</v>
      </c>
      <c r="G1218" t="s">
        <v>180</v>
      </c>
      <c r="H1218" t="s">
        <v>3128</v>
      </c>
      <c r="I1218" t="s">
        <v>416</v>
      </c>
      <c r="J1218" t="s">
        <v>80</v>
      </c>
      <c r="K1218" t="s">
        <v>3129</v>
      </c>
      <c r="L1218" t="s">
        <v>91</v>
      </c>
      <c r="M1218" t="s">
        <v>54</v>
      </c>
      <c r="N1218" t="s">
        <v>33</v>
      </c>
      <c r="O1218" t="s">
        <v>34</v>
      </c>
      <c r="P1218" t="s">
        <v>123</v>
      </c>
      <c r="Q1218">
        <v>287</v>
      </c>
      <c r="R1218">
        <v>168.6</v>
      </c>
      <c r="S1218">
        <v>48388.2</v>
      </c>
      <c r="T1218">
        <v>17.670000000000002</v>
      </c>
      <c r="U1218">
        <v>18</v>
      </c>
      <c r="V1218">
        <v>19</v>
      </c>
      <c r="W1218">
        <v>1683</v>
      </c>
      <c r="X1218" t="s">
        <v>3742</v>
      </c>
      <c r="Y1218" t="s">
        <v>188</v>
      </c>
      <c r="Z1218">
        <v>8180.02</v>
      </c>
    </row>
    <row r="1219" spans="1:26" x14ac:dyDescent="0.25">
      <c r="A1219">
        <v>101217</v>
      </c>
      <c r="B1219" s="3">
        <v>45883</v>
      </c>
      <c r="C1219" s="3">
        <v>45888</v>
      </c>
      <c r="D1219" s="3">
        <v>45892</v>
      </c>
      <c r="E1219" t="s">
        <v>3130</v>
      </c>
      <c r="F1219" t="s">
        <v>38</v>
      </c>
      <c r="G1219" t="s">
        <v>147</v>
      </c>
      <c r="H1219" t="s">
        <v>3131</v>
      </c>
      <c r="I1219" t="s">
        <v>116</v>
      </c>
      <c r="J1219" t="s">
        <v>62</v>
      </c>
      <c r="K1219" t="s">
        <v>2795</v>
      </c>
      <c r="L1219" t="s">
        <v>122</v>
      </c>
      <c r="M1219" t="s">
        <v>65</v>
      </c>
      <c r="N1219" t="s">
        <v>203</v>
      </c>
      <c r="O1219" t="s">
        <v>204</v>
      </c>
      <c r="P1219" t="s">
        <v>68</v>
      </c>
      <c r="Q1219">
        <v>291</v>
      </c>
      <c r="R1219">
        <v>15.1</v>
      </c>
      <c r="S1219">
        <v>4394.1000000000004</v>
      </c>
      <c r="T1219">
        <v>47.37</v>
      </c>
      <c r="U1219">
        <v>4</v>
      </c>
      <c r="V1219">
        <v>9</v>
      </c>
      <c r="W1219">
        <v>2934</v>
      </c>
      <c r="X1219" t="s">
        <v>188</v>
      </c>
      <c r="Y1219" t="s">
        <v>36</v>
      </c>
      <c r="Z1219">
        <v>206.66</v>
      </c>
    </row>
    <row r="1220" spans="1:26" x14ac:dyDescent="0.25">
      <c r="A1220">
        <v>101218</v>
      </c>
      <c r="B1220" s="3">
        <v>45859</v>
      </c>
      <c r="C1220" s="3">
        <v>45859</v>
      </c>
      <c r="D1220" s="3">
        <v>45870</v>
      </c>
      <c r="E1220" t="s">
        <v>236</v>
      </c>
      <c r="F1220" t="s">
        <v>65</v>
      </c>
      <c r="G1220" t="s">
        <v>154</v>
      </c>
      <c r="H1220" t="s">
        <v>3132</v>
      </c>
      <c r="I1220" t="s">
        <v>177</v>
      </c>
      <c r="J1220" t="s">
        <v>29</v>
      </c>
      <c r="K1220" t="s">
        <v>1492</v>
      </c>
      <c r="L1220" t="s">
        <v>118</v>
      </c>
      <c r="M1220" t="s">
        <v>38</v>
      </c>
      <c r="N1220" t="s">
        <v>92</v>
      </c>
      <c r="O1220" t="s">
        <v>93</v>
      </c>
      <c r="P1220" t="s">
        <v>123</v>
      </c>
      <c r="Q1220">
        <v>82</v>
      </c>
      <c r="R1220">
        <v>94.66</v>
      </c>
      <c r="S1220">
        <v>7762.12</v>
      </c>
      <c r="T1220">
        <v>12.68</v>
      </c>
      <c r="U1220">
        <v>11</v>
      </c>
      <c r="V1220">
        <v>11</v>
      </c>
      <c r="W1220">
        <v>1951</v>
      </c>
      <c r="X1220" t="s">
        <v>188</v>
      </c>
      <c r="Y1220" t="s">
        <v>36</v>
      </c>
      <c r="Z1220">
        <v>1705.59</v>
      </c>
    </row>
    <row r="1221" spans="1:26" x14ac:dyDescent="0.25">
      <c r="A1221">
        <v>101219</v>
      </c>
      <c r="B1221" s="3">
        <v>45310</v>
      </c>
      <c r="C1221" s="3">
        <v>45310</v>
      </c>
      <c r="D1221" s="3">
        <v>45318</v>
      </c>
      <c r="E1221" t="s">
        <v>3133</v>
      </c>
      <c r="F1221" t="s">
        <v>65</v>
      </c>
      <c r="G1221" t="s">
        <v>70</v>
      </c>
      <c r="H1221" t="s">
        <v>3134</v>
      </c>
      <c r="I1221" t="s">
        <v>230</v>
      </c>
      <c r="J1221" t="s">
        <v>80</v>
      </c>
      <c r="K1221" t="s">
        <v>1399</v>
      </c>
      <c r="L1221" t="s">
        <v>122</v>
      </c>
      <c r="M1221" t="s">
        <v>32</v>
      </c>
      <c r="N1221" t="s">
        <v>151</v>
      </c>
      <c r="O1221" t="s">
        <v>152</v>
      </c>
      <c r="P1221" t="s">
        <v>35</v>
      </c>
      <c r="Q1221">
        <v>90</v>
      </c>
      <c r="R1221">
        <v>143.1</v>
      </c>
      <c r="S1221">
        <v>12879</v>
      </c>
      <c r="T1221">
        <v>15.03</v>
      </c>
      <c r="U1221">
        <v>8</v>
      </c>
      <c r="V1221">
        <v>8</v>
      </c>
      <c r="W1221">
        <v>1116</v>
      </c>
      <c r="X1221" t="s">
        <v>3742</v>
      </c>
      <c r="Y1221" t="s">
        <v>47</v>
      </c>
      <c r="Z1221">
        <v>-40.39</v>
      </c>
    </row>
    <row r="1222" spans="1:26" x14ac:dyDescent="0.25">
      <c r="A1222">
        <v>101220</v>
      </c>
      <c r="B1222" s="3">
        <v>45495</v>
      </c>
      <c r="C1222" s="3">
        <v>45498</v>
      </c>
      <c r="D1222" s="3">
        <v>45506</v>
      </c>
      <c r="E1222" t="s">
        <v>286</v>
      </c>
      <c r="F1222" t="s">
        <v>38</v>
      </c>
      <c r="G1222" t="s">
        <v>83</v>
      </c>
      <c r="H1222" t="s">
        <v>3135</v>
      </c>
      <c r="I1222" t="s">
        <v>182</v>
      </c>
      <c r="J1222" t="s">
        <v>80</v>
      </c>
      <c r="K1222" t="s">
        <v>2652</v>
      </c>
      <c r="L1222" t="s">
        <v>91</v>
      </c>
      <c r="M1222" t="s">
        <v>54</v>
      </c>
      <c r="N1222" t="s">
        <v>74</v>
      </c>
      <c r="O1222" t="s">
        <v>75</v>
      </c>
      <c r="P1222" t="s">
        <v>35</v>
      </c>
      <c r="Q1222">
        <v>153</v>
      </c>
      <c r="R1222">
        <v>139.01</v>
      </c>
      <c r="S1222">
        <v>21268.53</v>
      </c>
      <c r="T1222">
        <v>16.809999999999999</v>
      </c>
      <c r="U1222">
        <v>8</v>
      </c>
      <c r="V1222">
        <v>11</v>
      </c>
      <c r="W1222">
        <v>1551</v>
      </c>
      <c r="X1222" t="s">
        <v>3742</v>
      </c>
      <c r="Y1222" t="s">
        <v>57</v>
      </c>
      <c r="Z1222">
        <v>5923.29</v>
      </c>
    </row>
    <row r="1223" spans="1:26" x14ac:dyDescent="0.25">
      <c r="A1223">
        <v>101221</v>
      </c>
      <c r="B1223" s="3">
        <v>45843</v>
      </c>
      <c r="C1223" s="3">
        <v>45848</v>
      </c>
      <c r="D1223" s="3">
        <v>45860</v>
      </c>
      <c r="E1223" t="s">
        <v>3136</v>
      </c>
      <c r="F1223" t="s">
        <v>54</v>
      </c>
      <c r="G1223" t="s">
        <v>165</v>
      </c>
      <c r="H1223" t="s">
        <v>3137</v>
      </c>
      <c r="I1223" t="s">
        <v>198</v>
      </c>
      <c r="J1223" t="s">
        <v>52</v>
      </c>
      <c r="K1223" t="s">
        <v>3138</v>
      </c>
      <c r="L1223" t="s">
        <v>91</v>
      </c>
      <c r="M1223" t="s">
        <v>25</v>
      </c>
      <c r="N1223" t="s">
        <v>33</v>
      </c>
      <c r="O1223" t="s">
        <v>34</v>
      </c>
      <c r="P1223" t="s">
        <v>123</v>
      </c>
      <c r="Q1223">
        <v>173</v>
      </c>
      <c r="R1223">
        <v>45.63</v>
      </c>
      <c r="S1223">
        <v>7893.99</v>
      </c>
      <c r="T1223">
        <v>14.9</v>
      </c>
      <c r="U1223">
        <v>12</v>
      </c>
      <c r="V1223">
        <v>17</v>
      </c>
      <c r="W1223">
        <v>2100</v>
      </c>
      <c r="X1223" t="s">
        <v>3742</v>
      </c>
      <c r="Y1223" t="s">
        <v>57</v>
      </c>
      <c r="Z1223">
        <v>669.62</v>
      </c>
    </row>
    <row r="1224" spans="1:26" x14ac:dyDescent="0.25">
      <c r="A1224">
        <v>101222</v>
      </c>
      <c r="B1224" s="3">
        <v>45839</v>
      </c>
      <c r="C1224" s="3">
        <v>45841</v>
      </c>
      <c r="D1224" s="3">
        <v>45852</v>
      </c>
      <c r="E1224" t="s">
        <v>3139</v>
      </c>
      <c r="F1224" t="s">
        <v>38</v>
      </c>
      <c r="G1224" t="s">
        <v>49</v>
      </c>
      <c r="H1224" t="s">
        <v>3140</v>
      </c>
      <c r="I1224" t="s">
        <v>61</v>
      </c>
      <c r="J1224" t="s">
        <v>62</v>
      </c>
      <c r="K1224" t="s">
        <v>3141</v>
      </c>
      <c r="L1224" t="s">
        <v>98</v>
      </c>
      <c r="M1224" t="s">
        <v>65</v>
      </c>
      <c r="N1224" t="s">
        <v>102</v>
      </c>
      <c r="O1224" t="s">
        <v>103</v>
      </c>
      <c r="P1224" t="s">
        <v>123</v>
      </c>
      <c r="Q1224">
        <v>97</v>
      </c>
      <c r="R1224">
        <v>26.07</v>
      </c>
      <c r="S1224">
        <v>2528.79</v>
      </c>
      <c r="T1224">
        <v>13.05</v>
      </c>
      <c r="U1224">
        <v>11</v>
      </c>
      <c r="V1224">
        <v>13</v>
      </c>
      <c r="W1224">
        <v>4924</v>
      </c>
      <c r="X1224" t="s">
        <v>188</v>
      </c>
      <c r="Y1224" t="s">
        <v>36</v>
      </c>
      <c r="Z1224">
        <v>191.28</v>
      </c>
    </row>
    <row r="1225" spans="1:26" x14ac:dyDescent="0.25">
      <c r="A1225">
        <v>101223</v>
      </c>
      <c r="B1225" s="3">
        <v>45405</v>
      </c>
      <c r="C1225" s="3">
        <v>45408</v>
      </c>
      <c r="D1225" s="3">
        <v>45422</v>
      </c>
      <c r="E1225" t="s">
        <v>3142</v>
      </c>
      <c r="F1225" t="s">
        <v>65</v>
      </c>
      <c r="G1225" t="s">
        <v>142</v>
      </c>
      <c r="H1225" t="s">
        <v>3143</v>
      </c>
      <c r="I1225" t="s">
        <v>72</v>
      </c>
      <c r="J1225" t="s">
        <v>42</v>
      </c>
      <c r="K1225" t="s">
        <v>824</v>
      </c>
      <c r="L1225" t="s">
        <v>91</v>
      </c>
      <c r="M1225" t="s">
        <v>32</v>
      </c>
      <c r="N1225" t="s">
        <v>45</v>
      </c>
      <c r="O1225" t="s">
        <v>46</v>
      </c>
      <c r="P1225" t="s">
        <v>123</v>
      </c>
      <c r="Q1225">
        <v>320</v>
      </c>
      <c r="R1225">
        <v>433.28</v>
      </c>
      <c r="S1225">
        <v>138649.60000000001</v>
      </c>
      <c r="T1225">
        <v>18.47</v>
      </c>
      <c r="U1225">
        <v>14</v>
      </c>
      <c r="V1225">
        <v>17</v>
      </c>
      <c r="W1225">
        <v>989</v>
      </c>
      <c r="X1225" t="s">
        <v>188</v>
      </c>
      <c r="Y1225" t="s">
        <v>36</v>
      </c>
      <c r="Z1225">
        <v>13732.74</v>
      </c>
    </row>
    <row r="1226" spans="1:26" x14ac:dyDescent="0.25">
      <c r="A1226">
        <v>101224</v>
      </c>
      <c r="B1226" s="3">
        <v>45695</v>
      </c>
      <c r="C1226" s="3">
        <v>45695</v>
      </c>
      <c r="D1226" s="3">
        <v>45709</v>
      </c>
      <c r="E1226" t="s">
        <v>3144</v>
      </c>
      <c r="F1226" t="s">
        <v>25</v>
      </c>
      <c r="G1226" t="s">
        <v>59</v>
      </c>
      <c r="H1226" t="s">
        <v>3145</v>
      </c>
      <c r="I1226" t="s">
        <v>246</v>
      </c>
      <c r="J1226" t="s">
        <v>29</v>
      </c>
      <c r="K1226" t="s">
        <v>1195</v>
      </c>
      <c r="L1226" t="s">
        <v>122</v>
      </c>
      <c r="M1226" t="s">
        <v>65</v>
      </c>
      <c r="N1226" t="s">
        <v>55</v>
      </c>
      <c r="O1226" t="s">
        <v>56</v>
      </c>
      <c r="P1226" t="s">
        <v>123</v>
      </c>
      <c r="Q1226">
        <v>132</v>
      </c>
      <c r="R1226">
        <v>58.57</v>
      </c>
      <c r="S1226">
        <v>7731.24</v>
      </c>
      <c r="T1226">
        <v>13.9</v>
      </c>
      <c r="U1226">
        <v>14</v>
      </c>
      <c r="V1226">
        <v>14</v>
      </c>
      <c r="W1226">
        <v>1336</v>
      </c>
      <c r="X1226" t="s">
        <v>188</v>
      </c>
      <c r="Y1226" t="s">
        <v>36</v>
      </c>
      <c r="Z1226">
        <v>1685.02</v>
      </c>
    </row>
    <row r="1227" spans="1:26" x14ac:dyDescent="0.25">
      <c r="A1227">
        <v>101225</v>
      </c>
      <c r="B1227" s="3">
        <v>45404</v>
      </c>
      <c r="C1227" s="3">
        <v>45404</v>
      </c>
      <c r="D1227" s="3">
        <v>45417</v>
      </c>
      <c r="E1227" t="s">
        <v>3146</v>
      </c>
      <c r="F1227" t="s">
        <v>32</v>
      </c>
      <c r="G1227" t="s">
        <v>95</v>
      </c>
      <c r="H1227" t="s">
        <v>3147</v>
      </c>
      <c r="I1227" t="s">
        <v>116</v>
      </c>
      <c r="J1227" t="s">
        <v>62</v>
      </c>
      <c r="K1227" t="s">
        <v>734</v>
      </c>
      <c r="L1227" t="s">
        <v>212</v>
      </c>
      <c r="M1227" t="s">
        <v>32</v>
      </c>
      <c r="N1227" t="s">
        <v>151</v>
      </c>
      <c r="O1227" t="s">
        <v>152</v>
      </c>
      <c r="P1227" t="s">
        <v>123</v>
      </c>
      <c r="Q1227">
        <v>164</v>
      </c>
      <c r="R1227">
        <v>19.18</v>
      </c>
      <c r="S1227">
        <v>3145.52</v>
      </c>
      <c r="T1227">
        <v>10.87</v>
      </c>
      <c r="U1227">
        <v>13</v>
      </c>
      <c r="V1227">
        <v>13</v>
      </c>
      <c r="W1227">
        <v>3553</v>
      </c>
      <c r="X1227" t="s">
        <v>3742</v>
      </c>
      <c r="Y1227" t="s">
        <v>188</v>
      </c>
      <c r="Z1227">
        <v>545.47</v>
      </c>
    </row>
    <row r="1228" spans="1:26" x14ac:dyDescent="0.25">
      <c r="A1228">
        <v>101226</v>
      </c>
      <c r="B1228" s="3">
        <v>45557</v>
      </c>
      <c r="C1228" s="3">
        <v>45559</v>
      </c>
      <c r="D1228" s="3">
        <v>45568</v>
      </c>
      <c r="E1228" t="s">
        <v>3148</v>
      </c>
      <c r="F1228" t="s">
        <v>25</v>
      </c>
      <c r="G1228" t="s">
        <v>26</v>
      </c>
      <c r="H1228" t="s">
        <v>3149</v>
      </c>
      <c r="I1228" t="s">
        <v>182</v>
      </c>
      <c r="J1228" t="s">
        <v>80</v>
      </c>
      <c r="K1228" t="s">
        <v>960</v>
      </c>
      <c r="L1228" t="s">
        <v>212</v>
      </c>
      <c r="M1228" t="s">
        <v>25</v>
      </c>
      <c r="N1228" t="s">
        <v>102</v>
      </c>
      <c r="O1228" t="s">
        <v>103</v>
      </c>
      <c r="P1228" t="s">
        <v>35</v>
      </c>
      <c r="Q1228">
        <v>213</v>
      </c>
      <c r="R1228">
        <v>303.89999999999998</v>
      </c>
      <c r="S1228">
        <v>64730.7</v>
      </c>
      <c r="T1228">
        <v>13.71</v>
      </c>
      <c r="U1228">
        <v>9</v>
      </c>
      <c r="V1228">
        <v>11</v>
      </c>
      <c r="W1228">
        <v>813</v>
      </c>
      <c r="X1228" t="s">
        <v>3742</v>
      </c>
      <c r="Y1228" t="s">
        <v>57</v>
      </c>
      <c r="Z1228">
        <v>12317.78</v>
      </c>
    </row>
    <row r="1229" spans="1:26" x14ac:dyDescent="0.25">
      <c r="A1229">
        <v>101227</v>
      </c>
      <c r="B1229" s="3">
        <v>45353</v>
      </c>
      <c r="C1229" s="3">
        <v>45354</v>
      </c>
      <c r="D1229" s="3">
        <v>45372</v>
      </c>
      <c r="E1229" t="s">
        <v>3150</v>
      </c>
      <c r="F1229" t="s">
        <v>54</v>
      </c>
      <c r="G1229" t="s">
        <v>193</v>
      </c>
      <c r="H1229" t="s">
        <v>3151</v>
      </c>
      <c r="I1229" t="s">
        <v>207</v>
      </c>
      <c r="J1229" t="s">
        <v>80</v>
      </c>
      <c r="K1229" t="s">
        <v>3152</v>
      </c>
      <c r="L1229" t="s">
        <v>98</v>
      </c>
      <c r="M1229" t="s">
        <v>38</v>
      </c>
      <c r="N1229" t="s">
        <v>102</v>
      </c>
      <c r="O1229" t="s">
        <v>103</v>
      </c>
      <c r="P1229" t="s">
        <v>76</v>
      </c>
      <c r="Q1229">
        <v>385</v>
      </c>
      <c r="R1229">
        <v>336.14</v>
      </c>
      <c r="S1229">
        <v>129413.9</v>
      </c>
      <c r="T1229">
        <v>15.04</v>
      </c>
      <c r="U1229">
        <v>18</v>
      </c>
      <c r="V1229">
        <v>19</v>
      </c>
      <c r="W1229">
        <v>985</v>
      </c>
      <c r="X1229" t="s">
        <v>188</v>
      </c>
      <c r="Y1229" t="s">
        <v>36</v>
      </c>
      <c r="Z1229">
        <v>21261.41</v>
      </c>
    </row>
    <row r="1230" spans="1:26" x14ac:dyDescent="0.25">
      <c r="A1230">
        <v>101228</v>
      </c>
      <c r="B1230" s="3">
        <v>45700</v>
      </c>
      <c r="C1230" s="3">
        <v>45702</v>
      </c>
      <c r="D1230" s="3">
        <v>45715</v>
      </c>
      <c r="E1230" t="s">
        <v>3153</v>
      </c>
      <c r="F1230" t="s">
        <v>38</v>
      </c>
      <c r="G1230" t="s">
        <v>83</v>
      </c>
      <c r="H1230" t="s">
        <v>3154</v>
      </c>
      <c r="I1230" t="s">
        <v>416</v>
      </c>
      <c r="J1230" t="s">
        <v>80</v>
      </c>
      <c r="K1230" t="s">
        <v>827</v>
      </c>
      <c r="L1230" t="s">
        <v>44</v>
      </c>
      <c r="M1230" t="s">
        <v>38</v>
      </c>
      <c r="N1230" t="s">
        <v>74</v>
      </c>
      <c r="O1230" t="s">
        <v>75</v>
      </c>
      <c r="P1230" t="s">
        <v>123</v>
      </c>
      <c r="Q1230">
        <v>260</v>
      </c>
      <c r="R1230">
        <v>334.15</v>
      </c>
      <c r="S1230">
        <v>86879</v>
      </c>
      <c r="T1230">
        <v>12.6</v>
      </c>
      <c r="U1230">
        <v>13</v>
      </c>
      <c r="V1230">
        <v>15</v>
      </c>
      <c r="W1230">
        <v>1218</v>
      </c>
      <c r="X1230" t="s">
        <v>188</v>
      </c>
      <c r="Y1230" t="s">
        <v>36</v>
      </c>
      <c r="Z1230">
        <v>16283.84</v>
      </c>
    </row>
    <row r="1231" spans="1:26" x14ac:dyDescent="0.25">
      <c r="A1231">
        <v>101229</v>
      </c>
      <c r="B1231" s="3">
        <v>45292</v>
      </c>
      <c r="C1231" s="3">
        <v>45292</v>
      </c>
      <c r="D1231" s="3">
        <v>45305</v>
      </c>
      <c r="E1231" t="s">
        <v>3155</v>
      </c>
      <c r="F1231" t="s">
        <v>65</v>
      </c>
      <c r="G1231" t="s">
        <v>142</v>
      </c>
      <c r="H1231" t="s">
        <v>3156</v>
      </c>
      <c r="I1231" t="s">
        <v>61</v>
      </c>
      <c r="J1231" t="s">
        <v>62</v>
      </c>
      <c r="K1231" t="s">
        <v>3098</v>
      </c>
      <c r="L1231" t="s">
        <v>98</v>
      </c>
      <c r="M1231" t="s">
        <v>25</v>
      </c>
      <c r="N1231" t="s">
        <v>66</v>
      </c>
      <c r="O1231" t="s">
        <v>67</v>
      </c>
      <c r="P1231" t="s">
        <v>76</v>
      </c>
      <c r="Q1231">
        <v>474</v>
      </c>
      <c r="R1231">
        <v>45.19</v>
      </c>
      <c r="S1231">
        <v>21420.06</v>
      </c>
      <c r="T1231">
        <v>16.66</v>
      </c>
      <c r="U1231">
        <v>13</v>
      </c>
      <c r="V1231">
        <v>13</v>
      </c>
      <c r="W1231">
        <v>4178</v>
      </c>
      <c r="X1231" t="s">
        <v>188</v>
      </c>
      <c r="Y1231" t="s">
        <v>36</v>
      </c>
      <c r="Z1231">
        <v>2305.91</v>
      </c>
    </row>
    <row r="1232" spans="1:26" x14ac:dyDescent="0.25">
      <c r="A1232">
        <v>101230</v>
      </c>
      <c r="B1232" s="3">
        <v>45801</v>
      </c>
      <c r="C1232" s="3">
        <v>45801</v>
      </c>
      <c r="D1232" s="3">
        <v>45811</v>
      </c>
      <c r="E1232" t="s">
        <v>3157</v>
      </c>
      <c r="F1232" t="s">
        <v>25</v>
      </c>
      <c r="G1232" t="s">
        <v>172</v>
      </c>
      <c r="H1232" t="s">
        <v>3158</v>
      </c>
      <c r="I1232" t="s">
        <v>72</v>
      </c>
      <c r="J1232" t="s">
        <v>42</v>
      </c>
      <c r="K1232" t="s">
        <v>731</v>
      </c>
      <c r="L1232" t="s">
        <v>118</v>
      </c>
      <c r="M1232" t="s">
        <v>54</v>
      </c>
      <c r="N1232" t="s">
        <v>107</v>
      </c>
      <c r="O1232" t="s">
        <v>108</v>
      </c>
      <c r="P1232" t="s">
        <v>123</v>
      </c>
      <c r="Q1232">
        <v>176</v>
      </c>
      <c r="R1232">
        <v>205.93</v>
      </c>
      <c r="S1232">
        <v>36243.68</v>
      </c>
      <c r="T1232">
        <v>14.97</v>
      </c>
      <c r="U1232">
        <v>10</v>
      </c>
      <c r="V1232">
        <v>10</v>
      </c>
      <c r="W1232">
        <v>959</v>
      </c>
      <c r="X1232" t="s">
        <v>188</v>
      </c>
      <c r="Y1232" t="s">
        <v>36</v>
      </c>
      <c r="Z1232">
        <v>5592.25</v>
      </c>
    </row>
    <row r="1233" spans="1:26" x14ac:dyDescent="0.25">
      <c r="A1233">
        <v>101231</v>
      </c>
      <c r="B1233" s="3">
        <v>45341</v>
      </c>
      <c r="C1233" s="3">
        <v>45342</v>
      </c>
      <c r="D1233" s="3">
        <v>45350</v>
      </c>
      <c r="E1233" t="s">
        <v>3159</v>
      </c>
      <c r="F1233" t="s">
        <v>32</v>
      </c>
      <c r="G1233" t="s">
        <v>273</v>
      </c>
      <c r="H1233" t="s">
        <v>3160</v>
      </c>
      <c r="I1233" t="s">
        <v>28</v>
      </c>
      <c r="J1233" t="s">
        <v>29</v>
      </c>
      <c r="K1233" t="s">
        <v>1377</v>
      </c>
      <c r="L1233" t="s">
        <v>122</v>
      </c>
      <c r="M1233" t="s">
        <v>32</v>
      </c>
      <c r="N1233" t="s">
        <v>92</v>
      </c>
      <c r="O1233" t="s">
        <v>93</v>
      </c>
      <c r="P1233" t="s">
        <v>123</v>
      </c>
      <c r="Q1233">
        <v>281</v>
      </c>
      <c r="R1233">
        <v>57.74</v>
      </c>
      <c r="S1233">
        <v>16224.94</v>
      </c>
      <c r="T1233">
        <v>12.98</v>
      </c>
      <c r="U1233">
        <v>8</v>
      </c>
      <c r="V1233">
        <v>9</v>
      </c>
      <c r="W1233">
        <v>3490</v>
      </c>
      <c r="X1233" t="s">
        <v>188</v>
      </c>
      <c r="Y1233" t="s">
        <v>36</v>
      </c>
      <c r="Z1233">
        <v>2210.56</v>
      </c>
    </row>
    <row r="1234" spans="1:26" x14ac:dyDescent="0.25">
      <c r="A1234">
        <v>101232</v>
      </c>
      <c r="B1234" s="3">
        <v>45962</v>
      </c>
      <c r="C1234" s="3">
        <v>45965</v>
      </c>
      <c r="D1234" s="3">
        <v>45983</v>
      </c>
      <c r="E1234" t="s">
        <v>3161</v>
      </c>
      <c r="F1234" t="s">
        <v>38</v>
      </c>
      <c r="G1234" t="s">
        <v>217</v>
      </c>
      <c r="H1234" t="s">
        <v>3162</v>
      </c>
      <c r="I1234" t="s">
        <v>79</v>
      </c>
      <c r="J1234" t="s">
        <v>80</v>
      </c>
      <c r="K1234" t="s">
        <v>2134</v>
      </c>
      <c r="L1234" t="s">
        <v>31</v>
      </c>
      <c r="M1234" t="s">
        <v>32</v>
      </c>
      <c r="N1234" t="s">
        <v>45</v>
      </c>
      <c r="O1234" t="s">
        <v>46</v>
      </c>
      <c r="P1234" t="s">
        <v>76</v>
      </c>
      <c r="Q1234">
        <v>489</v>
      </c>
      <c r="R1234">
        <v>280.55</v>
      </c>
      <c r="S1234">
        <v>137188.95000000001</v>
      </c>
      <c r="T1234">
        <v>16.93</v>
      </c>
      <c r="U1234">
        <v>18</v>
      </c>
      <c r="V1234">
        <v>21</v>
      </c>
      <c r="W1234">
        <v>1519</v>
      </c>
      <c r="X1234" t="s">
        <v>3742</v>
      </c>
      <c r="Y1234" t="s">
        <v>57</v>
      </c>
      <c r="Z1234">
        <v>35716.769999999997</v>
      </c>
    </row>
    <row r="1235" spans="1:26" x14ac:dyDescent="0.25">
      <c r="A1235">
        <v>101233</v>
      </c>
      <c r="B1235" s="3">
        <v>45928</v>
      </c>
      <c r="C1235" s="3">
        <v>45931</v>
      </c>
      <c r="D1235" s="3">
        <v>45937</v>
      </c>
      <c r="E1235" t="s">
        <v>3163</v>
      </c>
      <c r="F1235" t="s">
        <v>32</v>
      </c>
      <c r="G1235" t="s">
        <v>180</v>
      </c>
      <c r="H1235" t="s">
        <v>3164</v>
      </c>
      <c r="I1235" t="s">
        <v>238</v>
      </c>
      <c r="J1235" t="s">
        <v>62</v>
      </c>
      <c r="K1235" t="s">
        <v>1522</v>
      </c>
      <c r="L1235" t="s">
        <v>91</v>
      </c>
      <c r="M1235" t="s">
        <v>54</v>
      </c>
      <c r="N1235" t="s">
        <v>55</v>
      </c>
      <c r="O1235" t="s">
        <v>56</v>
      </c>
      <c r="P1235" t="s">
        <v>35</v>
      </c>
      <c r="Q1235">
        <v>191</v>
      </c>
      <c r="R1235">
        <v>31.7</v>
      </c>
      <c r="S1235">
        <v>6054.7</v>
      </c>
      <c r="T1235">
        <v>17.89</v>
      </c>
      <c r="U1235">
        <v>6</v>
      </c>
      <c r="V1235">
        <v>9</v>
      </c>
      <c r="W1235">
        <v>3365</v>
      </c>
      <c r="X1235" t="s">
        <v>188</v>
      </c>
      <c r="Y1235" t="s">
        <v>36</v>
      </c>
      <c r="Z1235">
        <v>374.67</v>
      </c>
    </row>
    <row r="1236" spans="1:26" x14ac:dyDescent="0.25">
      <c r="A1236">
        <v>101234</v>
      </c>
      <c r="B1236" s="3">
        <v>45754</v>
      </c>
      <c r="C1236" s="3">
        <v>45756</v>
      </c>
      <c r="D1236" s="3">
        <v>45763</v>
      </c>
      <c r="E1236" t="s">
        <v>3165</v>
      </c>
      <c r="F1236" t="s">
        <v>32</v>
      </c>
      <c r="G1236" t="s">
        <v>364</v>
      </c>
      <c r="H1236" t="s">
        <v>3166</v>
      </c>
      <c r="I1236" t="s">
        <v>246</v>
      </c>
      <c r="J1236" t="s">
        <v>29</v>
      </c>
      <c r="K1236" t="s">
        <v>518</v>
      </c>
      <c r="L1236" t="s">
        <v>91</v>
      </c>
      <c r="M1236" t="s">
        <v>25</v>
      </c>
      <c r="N1236" t="s">
        <v>107</v>
      </c>
      <c r="O1236" t="s">
        <v>108</v>
      </c>
      <c r="P1236" t="s">
        <v>35</v>
      </c>
      <c r="Q1236">
        <v>17</v>
      </c>
      <c r="R1236">
        <v>60.34</v>
      </c>
      <c r="S1236">
        <v>1025.78</v>
      </c>
      <c r="T1236">
        <v>12.96</v>
      </c>
      <c r="U1236">
        <v>7</v>
      </c>
      <c r="V1236">
        <v>9</v>
      </c>
      <c r="W1236">
        <v>1763</v>
      </c>
      <c r="X1236" t="s">
        <v>188</v>
      </c>
      <c r="Y1236" t="s">
        <v>36</v>
      </c>
      <c r="Z1236">
        <v>255.32</v>
      </c>
    </row>
    <row r="1237" spans="1:26" x14ac:dyDescent="0.25">
      <c r="A1237">
        <v>101235</v>
      </c>
      <c r="B1237" s="3">
        <v>45379</v>
      </c>
      <c r="C1237" s="3">
        <v>45380</v>
      </c>
      <c r="D1237" s="3">
        <v>45385</v>
      </c>
      <c r="E1237" t="s">
        <v>3167</v>
      </c>
      <c r="F1237" t="s">
        <v>65</v>
      </c>
      <c r="G1237" t="s">
        <v>70</v>
      </c>
      <c r="H1237" t="s">
        <v>3168</v>
      </c>
      <c r="I1237" t="s">
        <v>85</v>
      </c>
      <c r="J1237" t="s">
        <v>52</v>
      </c>
      <c r="K1237" t="s">
        <v>745</v>
      </c>
      <c r="L1237" t="s">
        <v>113</v>
      </c>
      <c r="M1237" t="s">
        <v>54</v>
      </c>
      <c r="N1237" t="s">
        <v>33</v>
      </c>
      <c r="O1237" t="s">
        <v>34</v>
      </c>
      <c r="P1237" t="s">
        <v>35</v>
      </c>
      <c r="Q1237">
        <v>344</v>
      </c>
      <c r="R1237">
        <v>71.239999999999995</v>
      </c>
      <c r="S1237">
        <v>24506.560000000001</v>
      </c>
      <c r="T1237">
        <v>22.23</v>
      </c>
      <c r="U1237">
        <v>5</v>
      </c>
      <c r="V1237">
        <v>6</v>
      </c>
      <c r="W1237">
        <v>2077</v>
      </c>
      <c r="X1237" t="s">
        <v>3742</v>
      </c>
      <c r="Y1237" t="s">
        <v>57</v>
      </c>
      <c r="Z1237">
        <v>4245.05</v>
      </c>
    </row>
    <row r="1238" spans="1:26" x14ac:dyDescent="0.25">
      <c r="A1238">
        <v>101236</v>
      </c>
      <c r="B1238" s="3">
        <v>45597</v>
      </c>
      <c r="C1238" s="3">
        <v>45600</v>
      </c>
      <c r="D1238" s="3">
        <v>45610</v>
      </c>
      <c r="E1238" t="s">
        <v>3169</v>
      </c>
      <c r="F1238" t="s">
        <v>25</v>
      </c>
      <c r="G1238" t="s">
        <v>169</v>
      </c>
      <c r="H1238" t="s">
        <v>3170</v>
      </c>
      <c r="I1238" t="s">
        <v>149</v>
      </c>
      <c r="J1238" t="s">
        <v>42</v>
      </c>
      <c r="K1238" t="s">
        <v>3171</v>
      </c>
      <c r="L1238" t="s">
        <v>187</v>
      </c>
      <c r="M1238" t="s">
        <v>25</v>
      </c>
      <c r="N1238" t="s">
        <v>45</v>
      </c>
      <c r="O1238" t="s">
        <v>46</v>
      </c>
      <c r="P1238" t="s">
        <v>35</v>
      </c>
      <c r="Q1238">
        <v>442</v>
      </c>
      <c r="R1238">
        <v>317.24</v>
      </c>
      <c r="S1238">
        <v>140220.07999999999</v>
      </c>
      <c r="T1238">
        <v>18.52</v>
      </c>
      <c r="U1238">
        <v>10</v>
      </c>
      <c r="V1238">
        <v>13</v>
      </c>
      <c r="W1238">
        <v>1621</v>
      </c>
      <c r="X1238" t="s">
        <v>188</v>
      </c>
      <c r="Y1238" t="s">
        <v>36</v>
      </c>
      <c r="Z1238">
        <v>16263.26</v>
      </c>
    </row>
    <row r="1239" spans="1:26" x14ac:dyDescent="0.25">
      <c r="A1239">
        <v>101237</v>
      </c>
      <c r="B1239" s="3">
        <v>45514</v>
      </c>
      <c r="C1239" s="3">
        <v>45517</v>
      </c>
      <c r="D1239" s="3">
        <v>45523</v>
      </c>
      <c r="E1239" t="s">
        <v>3172</v>
      </c>
      <c r="F1239" t="s">
        <v>54</v>
      </c>
      <c r="G1239" t="s">
        <v>225</v>
      </c>
      <c r="H1239" t="s">
        <v>3173</v>
      </c>
      <c r="I1239" t="s">
        <v>134</v>
      </c>
      <c r="J1239" t="s">
        <v>52</v>
      </c>
      <c r="K1239" t="s">
        <v>3021</v>
      </c>
      <c r="L1239" t="s">
        <v>113</v>
      </c>
      <c r="M1239" t="s">
        <v>54</v>
      </c>
      <c r="N1239" t="s">
        <v>74</v>
      </c>
      <c r="O1239" t="s">
        <v>75</v>
      </c>
      <c r="P1239" t="s">
        <v>35</v>
      </c>
      <c r="Q1239">
        <v>129</v>
      </c>
      <c r="R1239">
        <v>22.13</v>
      </c>
      <c r="S1239">
        <v>2854.77</v>
      </c>
      <c r="T1239">
        <v>11.95</v>
      </c>
      <c r="U1239">
        <v>6</v>
      </c>
      <c r="V1239">
        <v>9</v>
      </c>
      <c r="W1239">
        <v>1901</v>
      </c>
      <c r="X1239" t="s">
        <v>188</v>
      </c>
      <c r="Y1239" t="s">
        <v>36</v>
      </c>
      <c r="Z1239">
        <v>501.07</v>
      </c>
    </row>
    <row r="1240" spans="1:26" x14ac:dyDescent="0.25">
      <c r="A1240">
        <v>101238</v>
      </c>
      <c r="B1240" s="3">
        <v>45840</v>
      </c>
      <c r="C1240" s="3">
        <v>45840</v>
      </c>
      <c r="D1240" s="3">
        <v>45849</v>
      </c>
      <c r="E1240" t="s">
        <v>3174</v>
      </c>
      <c r="F1240" t="s">
        <v>65</v>
      </c>
      <c r="G1240" t="s">
        <v>154</v>
      </c>
      <c r="H1240" t="s">
        <v>3175</v>
      </c>
      <c r="I1240" t="s">
        <v>278</v>
      </c>
      <c r="J1240" t="s">
        <v>29</v>
      </c>
      <c r="K1240" t="s">
        <v>2761</v>
      </c>
      <c r="L1240" t="s">
        <v>31</v>
      </c>
      <c r="M1240" t="s">
        <v>65</v>
      </c>
      <c r="N1240" t="s">
        <v>203</v>
      </c>
      <c r="O1240" t="s">
        <v>204</v>
      </c>
      <c r="P1240" t="s">
        <v>123</v>
      </c>
      <c r="Q1240">
        <v>353</v>
      </c>
      <c r="R1240">
        <v>75.66</v>
      </c>
      <c r="S1240">
        <v>26707.98</v>
      </c>
      <c r="T1240">
        <v>14.27</v>
      </c>
      <c r="U1240">
        <v>9</v>
      </c>
      <c r="V1240">
        <v>9</v>
      </c>
      <c r="W1240">
        <v>2208</v>
      </c>
      <c r="X1240" t="s">
        <v>188</v>
      </c>
      <c r="Y1240" t="s">
        <v>36</v>
      </c>
      <c r="Z1240">
        <v>6585.92</v>
      </c>
    </row>
    <row r="1241" spans="1:26" x14ac:dyDescent="0.25">
      <c r="A1241">
        <v>101239</v>
      </c>
      <c r="B1241" s="3">
        <v>45835</v>
      </c>
      <c r="C1241" s="3">
        <v>45838</v>
      </c>
      <c r="D1241" s="3">
        <v>45848</v>
      </c>
      <c r="E1241" t="s">
        <v>3176</v>
      </c>
      <c r="F1241" t="s">
        <v>38</v>
      </c>
      <c r="G1241" t="s">
        <v>217</v>
      </c>
      <c r="H1241" t="s">
        <v>3177</v>
      </c>
      <c r="I1241" t="s">
        <v>278</v>
      </c>
      <c r="J1241" t="s">
        <v>29</v>
      </c>
      <c r="K1241" t="s">
        <v>167</v>
      </c>
      <c r="L1241" t="s">
        <v>44</v>
      </c>
      <c r="M1241" t="s">
        <v>25</v>
      </c>
      <c r="N1241" t="s">
        <v>92</v>
      </c>
      <c r="O1241" t="s">
        <v>93</v>
      </c>
      <c r="P1241" t="s">
        <v>123</v>
      </c>
      <c r="Q1241">
        <v>49</v>
      </c>
      <c r="R1241">
        <v>13.48</v>
      </c>
      <c r="S1241">
        <v>660.52</v>
      </c>
      <c r="T1241">
        <v>11.88</v>
      </c>
      <c r="U1241">
        <v>10</v>
      </c>
      <c r="V1241">
        <v>13</v>
      </c>
      <c r="W1241">
        <v>2309</v>
      </c>
      <c r="X1241" t="s">
        <v>188</v>
      </c>
      <c r="Y1241" t="s">
        <v>36</v>
      </c>
      <c r="Z1241">
        <v>94.29</v>
      </c>
    </row>
    <row r="1242" spans="1:26" x14ac:dyDescent="0.25">
      <c r="A1242">
        <v>101240</v>
      </c>
      <c r="B1242" s="3">
        <v>45549</v>
      </c>
      <c r="C1242" s="3">
        <v>45554</v>
      </c>
      <c r="D1242" s="3">
        <v>45567</v>
      </c>
      <c r="E1242" t="s">
        <v>3178</v>
      </c>
      <c r="F1242" t="s">
        <v>32</v>
      </c>
      <c r="G1242" t="s">
        <v>364</v>
      </c>
      <c r="H1242" t="s">
        <v>3179</v>
      </c>
      <c r="I1242" t="s">
        <v>198</v>
      </c>
      <c r="J1242" t="s">
        <v>52</v>
      </c>
      <c r="K1242" t="s">
        <v>2455</v>
      </c>
      <c r="L1242" t="s">
        <v>118</v>
      </c>
      <c r="M1242" t="s">
        <v>65</v>
      </c>
      <c r="N1242" t="s">
        <v>45</v>
      </c>
      <c r="O1242" t="s">
        <v>46</v>
      </c>
      <c r="P1242" t="s">
        <v>123</v>
      </c>
      <c r="Q1242">
        <v>98</v>
      </c>
      <c r="R1242">
        <v>14.46</v>
      </c>
      <c r="S1242">
        <v>1417.08</v>
      </c>
      <c r="T1242">
        <v>13.07</v>
      </c>
      <c r="U1242">
        <v>13</v>
      </c>
      <c r="V1242">
        <v>18</v>
      </c>
      <c r="W1242">
        <v>437</v>
      </c>
      <c r="X1242" t="s">
        <v>188</v>
      </c>
      <c r="Y1242" t="s">
        <v>36</v>
      </c>
      <c r="Z1242">
        <v>233.47</v>
      </c>
    </row>
    <row r="1243" spans="1:26" x14ac:dyDescent="0.25">
      <c r="A1243">
        <v>101241</v>
      </c>
      <c r="B1243" s="3">
        <v>45760</v>
      </c>
      <c r="C1243" s="3">
        <v>45764</v>
      </c>
      <c r="D1243" s="3">
        <v>45767</v>
      </c>
      <c r="E1243" t="s">
        <v>1188</v>
      </c>
      <c r="F1243" t="s">
        <v>54</v>
      </c>
      <c r="G1243" t="s">
        <v>225</v>
      </c>
      <c r="H1243" t="s">
        <v>3180</v>
      </c>
      <c r="I1243" t="s">
        <v>79</v>
      </c>
      <c r="J1243" t="s">
        <v>80</v>
      </c>
      <c r="K1243" t="s">
        <v>3181</v>
      </c>
      <c r="L1243" t="s">
        <v>91</v>
      </c>
      <c r="M1243" t="s">
        <v>32</v>
      </c>
      <c r="N1243" t="s">
        <v>151</v>
      </c>
      <c r="O1243" t="s">
        <v>152</v>
      </c>
      <c r="P1243" t="s">
        <v>68</v>
      </c>
      <c r="Q1243">
        <v>147</v>
      </c>
      <c r="R1243">
        <v>212.66</v>
      </c>
      <c r="S1243">
        <v>31261.02</v>
      </c>
      <c r="T1243">
        <v>38.04</v>
      </c>
      <c r="U1243">
        <v>3</v>
      </c>
      <c r="V1243">
        <v>7</v>
      </c>
      <c r="W1243">
        <v>1674</v>
      </c>
      <c r="X1243" t="s">
        <v>3741</v>
      </c>
      <c r="Y1243" t="s">
        <v>36</v>
      </c>
      <c r="Z1243">
        <v>4210.7700000000004</v>
      </c>
    </row>
    <row r="1244" spans="1:26" x14ac:dyDescent="0.25">
      <c r="A1244">
        <v>101242</v>
      </c>
      <c r="B1244" s="3">
        <v>45352</v>
      </c>
      <c r="C1244" s="3">
        <v>45355</v>
      </c>
      <c r="D1244" s="3">
        <v>45359</v>
      </c>
      <c r="E1244" t="s">
        <v>3182</v>
      </c>
      <c r="F1244" t="s">
        <v>25</v>
      </c>
      <c r="G1244" t="s">
        <v>26</v>
      </c>
      <c r="H1244" t="s">
        <v>3183</v>
      </c>
      <c r="I1244" t="s">
        <v>246</v>
      </c>
      <c r="J1244" t="s">
        <v>29</v>
      </c>
      <c r="K1244" t="s">
        <v>2919</v>
      </c>
      <c r="L1244" t="s">
        <v>64</v>
      </c>
      <c r="M1244" t="s">
        <v>54</v>
      </c>
      <c r="N1244" t="s">
        <v>45</v>
      </c>
      <c r="O1244" t="s">
        <v>46</v>
      </c>
      <c r="P1244" t="s">
        <v>68</v>
      </c>
      <c r="Q1244">
        <v>241</v>
      </c>
      <c r="R1244">
        <v>119.54</v>
      </c>
      <c r="S1244">
        <v>28809.14</v>
      </c>
      <c r="T1244">
        <v>44.13</v>
      </c>
      <c r="U1244">
        <v>4</v>
      </c>
      <c r="V1244">
        <v>7</v>
      </c>
      <c r="W1244">
        <v>2891</v>
      </c>
      <c r="X1244" t="s">
        <v>3741</v>
      </c>
      <c r="Y1244" t="s">
        <v>36</v>
      </c>
      <c r="Z1244">
        <v>3469.93</v>
      </c>
    </row>
    <row r="1245" spans="1:26" x14ac:dyDescent="0.25">
      <c r="A1245">
        <v>101243</v>
      </c>
      <c r="B1245" s="3">
        <v>46014</v>
      </c>
      <c r="C1245" s="3">
        <v>46016</v>
      </c>
      <c r="D1245" s="3">
        <v>46021</v>
      </c>
      <c r="E1245" t="s">
        <v>3184</v>
      </c>
      <c r="F1245" t="s">
        <v>54</v>
      </c>
      <c r="G1245" t="s">
        <v>225</v>
      </c>
      <c r="H1245" t="s">
        <v>3185</v>
      </c>
      <c r="I1245" t="s">
        <v>139</v>
      </c>
      <c r="J1245" t="s">
        <v>42</v>
      </c>
      <c r="K1245" t="s">
        <v>3186</v>
      </c>
      <c r="L1245" t="s">
        <v>91</v>
      </c>
      <c r="M1245" t="s">
        <v>54</v>
      </c>
      <c r="N1245" t="s">
        <v>33</v>
      </c>
      <c r="O1245" t="s">
        <v>34</v>
      </c>
      <c r="P1245" t="s">
        <v>123</v>
      </c>
      <c r="Q1245">
        <v>278</v>
      </c>
      <c r="R1245">
        <v>156.97999999999999</v>
      </c>
      <c r="S1245">
        <v>43640.44</v>
      </c>
      <c r="T1245">
        <v>12.92</v>
      </c>
      <c r="U1245">
        <v>5</v>
      </c>
      <c r="V1245">
        <v>7</v>
      </c>
      <c r="W1245">
        <v>433</v>
      </c>
      <c r="X1245" t="s">
        <v>3741</v>
      </c>
      <c r="Y1245" t="s">
        <v>36</v>
      </c>
      <c r="Z1245">
        <v>5923.09</v>
      </c>
    </row>
    <row r="1246" spans="1:26" x14ac:dyDescent="0.25">
      <c r="A1246">
        <v>101244</v>
      </c>
      <c r="B1246" s="3">
        <v>45523</v>
      </c>
      <c r="C1246" s="3">
        <v>45525</v>
      </c>
      <c r="D1246" s="3">
        <v>45529</v>
      </c>
      <c r="E1246" t="s">
        <v>3187</v>
      </c>
      <c r="F1246" t="s">
        <v>65</v>
      </c>
      <c r="G1246" t="s">
        <v>142</v>
      </c>
      <c r="H1246" t="s">
        <v>3188</v>
      </c>
      <c r="I1246" t="s">
        <v>191</v>
      </c>
      <c r="J1246" t="s">
        <v>62</v>
      </c>
      <c r="K1246" t="s">
        <v>1837</v>
      </c>
      <c r="L1246" t="s">
        <v>118</v>
      </c>
      <c r="M1246" t="s">
        <v>38</v>
      </c>
      <c r="N1246" t="s">
        <v>102</v>
      </c>
      <c r="O1246" t="s">
        <v>103</v>
      </c>
      <c r="P1246" t="s">
        <v>123</v>
      </c>
      <c r="Q1246">
        <v>312</v>
      </c>
      <c r="R1246">
        <v>21.76</v>
      </c>
      <c r="S1246">
        <v>6789.12</v>
      </c>
      <c r="T1246">
        <v>18.27</v>
      </c>
      <c r="U1246">
        <v>4</v>
      </c>
      <c r="V1246">
        <v>6</v>
      </c>
      <c r="W1246">
        <v>2944</v>
      </c>
      <c r="X1246" t="s">
        <v>3741</v>
      </c>
      <c r="Y1246" t="s">
        <v>36</v>
      </c>
      <c r="Z1246">
        <v>804.62</v>
      </c>
    </row>
    <row r="1247" spans="1:26" x14ac:dyDescent="0.25">
      <c r="A1247">
        <v>101245</v>
      </c>
      <c r="B1247" s="3">
        <v>45619</v>
      </c>
      <c r="C1247" s="3">
        <v>45620</v>
      </c>
      <c r="D1247" s="3">
        <v>45630</v>
      </c>
      <c r="E1247" t="s">
        <v>3189</v>
      </c>
      <c r="F1247" t="s">
        <v>32</v>
      </c>
      <c r="G1247" t="s">
        <v>137</v>
      </c>
      <c r="H1247" t="s">
        <v>3190</v>
      </c>
      <c r="I1247" t="s">
        <v>139</v>
      </c>
      <c r="J1247" t="s">
        <v>42</v>
      </c>
      <c r="K1247" t="s">
        <v>1880</v>
      </c>
      <c r="L1247" t="s">
        <v>118</v>
      </c>
      <c r="M1247" t="s">
        <v>54</v>
      </c>
      <c r="N1247" t="s">
        <v>66</v>
      </c>
      <c r="O1247" t="s">
        <v>67</v>
      </c>
      <c r="P1247" t="s">
        <v>35</v>
      </c>
      <c r="Q1247">
        <v>222</v>
      </c>
      <c r="R1247">
        <v>392.23</v>
      </c>
      <c r="S1247">
        <v>87075.06</v>
      </c>
      <c r="T1247">
        <v>18.77</v>
      </c>
      <c r="U1247">
        <v>10</v>
      </c>
      <c r="V1247">
        <v>11</v>
      </c>
      <c r="W1247">
        <v>206</v>
      </c>
      <c r="X1247" t="s">
        <v>188</v>
      </c>
      <c r="Y1247" t="s">
        <v>36</v>
      </c>
      <c r="Z1247">
        <v>9566.6200000000008</v>
      </c>
    </row>
    <row r="1248" spans="1:26" x14ac:dyDescent="0.25">
      <c r="A1248">
        <v>101246</v>
      </c>
      <c r="B1248" s="3">
        <v>45710</v>
      </c>
      <c r="C1248" s="3">
        <v>45711</v>
      </c>
      <c r="D1248" s="3">
        <v>45720</v>
      </c>
      <c r="E1248" t="s">
        <v>3191</v>
      </c>
      <c r="F1248" t="s">
        <v>25</v>
      </c>
      <c r="G1248" t="s">
        <v>233</v>
      </c>
      <c r="H1248" t="s">
        <v>3192</v>
      </c>
      <c r="I1248" t="s">
        <v>85</v>
      </c>
      <c r="J1248" t="s">
        <v>52</v>
      </c>
      <c r="K1248" t="s">
        <v>2227</v>
      </c>
      <c r="L1248" t="s">
        <v>31</v>
      </c>
      <c r="M1248" t="s">
        <v>32</v>
      </c>
      <c r="N1248" t="s">
        <v>66</v>
      </c>
      <c r="O1248" t="s">
        <v>67</v>
      </c>
      <c r="P1248" t="s">
        <v>123</v>
      </c>
      <c r="Q1248">
        <v>11</v>
      </c>
      <c r="R1248">
        <v>87.82</v>
      </c>
      <c r="S1248">
        <v>966.02</v>
      </c>
      <c r="T1248">
        <v>10.96</v>
      </c>
      <c r="U1248">
        <v>9</v>
      </c>
      <c r="V1248">
        <v>10</v>
      </c>
      <c r="W1248">
        <v>3414</v>
      </c>
      <c r="X1248" t="s">
        <v>188</v>
      </c>
      <c r="Y1248" t="s">
        <v>36</v>
      </c>
      <c r="Z1248">
        <v>127.05</v>
      </c>
    </row>
    <row r="1249" spans="1:26" x14ac:dyDescent="0.25">
      <c r="A1249">
        <v>101247</v>
      </c>
      <c r="B1249" s="3">
        <v>45983</v>
      </c>
      <c r="C1249" s="3">
        <v>45985</v>
      </c>
      <c r="D1249" s="3">
        <v>45991</v>
      </c>
      <c r="E1249" t="s">
        <v>3193</v>
      </c>
      <c r="F1249" t="s">
        <v>25</v>
      </c>
      <c r="G1249" t="s">
        <v>233</v>
      </c>
      <c r="H1249" t="s">
        <v>3194</v>
      </c>
      <c r="I1249" t="s">
        <v>126</v>
      </c>
      <c r="J1249" t="s">
        <v>42</v>
      </c>
      <c r="K1249" t="s">
        <v>535</v>
      </c>
      <c r="L1249" t="s">
        <v>64</v>
      </c>
      <c r="M1249" t="s">
        <v>54</v>
      </c>
      <c r="N1249" t="s">
        <v>107</v>
      </c>
      <c r="O1249" t="s">
        <v>108</v>
      </c>
      <c r="P1249" t="s">
        <v>35</v>
      </c>
      <c r="Q1249">
        <v>46</v>
      </c>
      <c r="R1249">
        <v>188.04</v>
      </c>
      <c r="S1249">
        <v>8649.84</v>
      </c>
      <c r="T1249">
        <v>13.78</v>
      </c>
      <c r="U1249">
        <v>6</v>
      </c>
      <c r="V1249">
        <v>8</v>
      </c>
      <c r="W1249">
        <v>237</v>
      </c>
      <c r="X1249" t="s">
        <v>188</v>
      </c>
      <c r="Y1249" t="s">
        <v>36</v>
      </c>
      <c r="Z1249">
        <v>765.28</v>
      </c>
    </row>
    <row r="1250" spans="1:26" x14ac:dyDescent="0.25">
      <c r="A1250">
        <v>101248</v>
      </c>
      <c r="B1250" s="3">
        <v>45552</v>
      </c>
      <c r="C1250" s="3">
        <v>45552</v>
      </c>
      <c r="D1250" s="3">
        <v>45571</v>
      </c>
      <c r="E1250" t="s">
        <v>3195</v>
      </c>
      <c r="F1250" t="s">
        <v>65</v>
      </c>
      <c r="G1250" t="s">
        <v>142</v>
      </c>
      <c r="H1250" t="s">
        <v>3196</v>
      </c>
      <c r="I1250" t="s">
        <v>416</v>
      </c>
      <c r="J1250" t="s">
        <v>80</v>
      </c>
      <c r="K1250" t="s">
        <v>745</v>
      </c>
      <c r="L1250" t="s">
        <v>122</v>
      </c>
      <c r="M1250" t="s">
        <v>38</v>
      </c>
      <c r="N1250" t="s">
        <v>92</v>
      </c>
      <c r="O1250" t="s">
        <v>93</v>
      </c>
      <c r="P1250" t="s">
        <v>76</v>
      </c>
      <c r="Q1250">
        <v>265</v>
      </c>
      <c r="R1250">
        <v>272.05</v>
      </c>
      <c r="S1250">
        <v>72093.25</v>
      </c>
      <c r="T1250">
        <v>12.85</v>
      </c>
      <c r="U1250">
        <v>19</v>
      </c>
      <c r="V1250">
        <v>19</v>
      </c>
      <c r="W1250">
        <v>1866</v>
      </c>
      <c r="X1250" t="s">
        <v>188</v>
      </c>
      <c r="Y1250" t="s">
        <v>36</v>
      </c>
      <c r="Z1250">
        <v>18698.060000000001</v>
      </c>
    </row>
    <row r="1251" spans="1:26" x14ac:dyDescent="0.25">
      <c r="A1251">
        <v>101249</v>
      </c>
      <c r="B1251" s="3">
        <v>45658</v>
      </c>
      <c r="C1251" s="3">
        <v>45658</v>
      </c>
      <c r="D1251" s="3">
        <v>45660</v>
      </c>
      <c r="E1251" t="s">
        <v>3197</v>
      </c>
      <c r="F1251" t="s">
        <v>65</v>
      </c>
      <c r="G1251" t="s">
        <v>70</v>
      </c>
      <c r="H1251" t="s">
        <v>3198</v>
      </c>
      <c r="I1251" t="s">
        <v>144</v>
      </c>
      <c r="J1251" t="s">
        <v>52</v>
      </c>
      <c r="K1251" t="s">
        <v>2705</v>
      </c>
      <c r="L1251" t="s">
        <v>44</v>
      </c>
      <c r="M1251" t="s">
        <v>65</v>
      </c>
      <c r="N1251" t="s">
        <v>203</v>
      </c>
      <c r="O1251" t="s">
        <v>204</v>
      </c>
      <c r="P1251" t="s">
        <v>35</v>
      </c>
      <c r="Q1251">
        <v>203</v>
      </c>
      <c r="R1251">
        <v>78.430000000000007</v>
      </c>
      <c r="S1251">
        <v>15921.29</v>
      </c>
      <c r="T1251">
        <v>13.5</v>
      </c>
      <c r="U1251">
        <v>2</v>
      </c>
      <c r="V1251">
        <v>2</v>
      </c>
      <c r="W1251">
        <v>1960</v>
      </c>
      <c r="X1251" t="s">
        <v>3741</v>
      </c>
      <c r="Y1251" t="s">
        <v>36</v>
      </c>
      <c r="Z1251">
        <v>2387.81</v>
      </c>
    </row>
    <row r="1252" spans="1:26" x14ac:dyDescent="0.25">
      <c r="A1252">
        <v>101250</v>
      </c>
      <c r="B1252" s="3">
        <v>45543</v>
      </c>
      <c r="C1252" s="3">
        <v>45545</v>
      </c>
      <c r="D1252" s="3">
        <v>45554</v>
      </c>
      <c r="E1252" t="s">
        <v>3199</v>
      </c>
      <c r="F1252" t="s">
        <v>38</v>
      </c>
      <c r="G1252" t="s">
        <v>39</v>
      </c>
      <c r="H1252" t="s">
        <v>3200</v>
      </c>
      <c r="I1252" t="s">
        <v>191</v>
      </c>
      <c r="J1252" t="s">
        <v>62</v>
      </c>
      <c r="K1252" t="s">
        <v>2717</v>
      </c>
      <c r="L1252" t="s">
        <v>98</v>
      </c>
      <c r="M1252" t="s">
        <v>25</v>
      </c>
      <c r="N1252" t="s">
        <v>107</v>
      </c>
      <c r="O1252" t="s">
        <v>108</v>
      </c>
      <c r="P1252" t="s">
        <v>123</v>
      </c>
      <c r="Q1252">
        <v>22</v>
      </c>
      <c r="R1252">
        <v>25.95</v>
      </c>
      <c r="S1252">
        <v>570.9</v>
      </c>
      <c r="T1252">
        <v>11.23</v>
      </c>
      <c r="U1252">
        <v>9</v>
      </c>
      <c r="V1252">
        <v>11</v>
      </c>
      <c r="W1252">
        <v>3126</v>
      </c>
      <c r="X1252" t="s">
        <v>188</v>
      </c>
      <c r="Y1252" t="s">
        <v>36</v>
      </c>
      <c r="Z1252">
        <v>52.52</v>
      </c>
    </row>
    <row r="1253" spans="1:26" x14ac:dyDescent="0.25">
      <c r="A1253">
        <v>101251</v>
      </c>
      <c r="B1253" s="3">
        <v>45388</v>
      </c>
      <c r="C1253" s="3">
        <v>45390</v>
      </c>
      <c r="D1253" s="3">
        <v>45392</v>
      </c>
      <c r="E1253" t="s">
        <v>3201</v>
      </c>
      <c r="F1253" t="s">
        <v>25</v>
      </c>
      <c r="G1253" t="s">
        <v>172</v>
      </c>
      <c r="H1253" t="s">
        <v>3202</v>
      </c>
      <c r="I1253" t="s">
        <v>368</v>
      </c>
      <c r="J1253" t="s">
        <v>29</v>
      </c>
      <c r="K1253" t="s">
        <v>247</v>
      </c>
      <c r="L1253" t="s">
        <v>31</v>
      </c>
      <c r="M1253" t="s">
        <v>25</v>
      </c>
      <c r="N1253" t="s">
        <v>55</v>
      </c>
      <c r="O1253" t="s">
        <v>56</v>
      </c>
      <c r="P1253" t="s">
        <v>35</v>
      </c>
      <c r="Q1253">
        <v>434</v>
      </c>
      <c r="R1253">
        <v>111.15</v>
      </c>
      <c r="S1253">
        <v>48239.1</v>
      </c>
      <c r="T1253">
        <v>18.350000000000001</v>
      </c>
      <c r="U1253">
        <v>2</v>
      </c>
      <c r="V1253">
        <v>4</v>
      </c>
      <c r="W1253">
        <v>964</v>
      </c>
      <c r="X1253" t="s">
        <v>3741</v>
      </c>
      <c r="Y1253" t="s">
        <v>36</v>
      </c>
      <c r="Z1253">
        <v>7554.11</v>
      </c>
    </row>
    <row r="1254" spans="1:26" x14ac:dyDescent="0.25">
      <c r="A1254">
        <v>101252</v>
      </c>
      <c r="B1254" s="3">
        <v>46011</v>
      </c>
      <c r="C1254" s="3">
        <v>46013</v>
      </c>
      <c r="D1254" s="3">
        <v>46018</v>
      </c>
      <c r="E1254" t="s">
        <v>3203</v>
      </c>
      <c r="F1254" t="s">
        <v>32</v>
      </c>
      <c r="G1254" t="s">
        <v>180</v>
      </c>
      <c r="H1254" t="s">
        <v>3204</v>
      </c>
      <c r="I1254" t="s">
        <v>177</v>
      </c>
      <c r="J1254" t="s">
        <v>29</v>
      </c>
      <c r="K1254" t="s">
        <v>565</v>
      </c>
      <c r="L1254" t="s">
        <v>212</v>
      </c>
      <c r="M1254" t="s">
        <v>25</v>
      </c>
      <c r="N1254" t="s">
        <v>107</v>
      </c>
      <c r="O1254" t="s">
        <v>108</v>
      </c>
      <c r="P1254" t="s">
        <v>68</v>
      </c>
      <c r="Q1254">
        <v>289</v>
      </c>
      <c r="R1254">
        <v>72.17</v>
      </c>
      <c r="S1254">
        <v>20857.13</v>
      </c>
      <c r="T1254">
        <v>47.24</v>
      </c>
      <c r="U1254">
        <v>5</v>
      </c>
      <c r="V1254">
        <v>7</v>
      </c>
      <c r="W1254">
        <v>2198</v>
      </c>
      <c r="X1254" t="s">
        <v>3741</v>
      </c>
      <c r="Y1254" t="s">
        <v>36</v>
      </c>
      <c r="Z1254">
        <v>6141.74</v>
      </c>
    </row>
    <row r="1255" spans="1:26" x14ac:dyDescent="0.25">
      <c r="A1255">
        <v>101253</v>
      </c>
      <c r="B1255" s="3">
        <v>45335</v>
      </c>
      <c r="C1255" s="3">
        <v>45340</v>
      </c>
      <c r="D1255" s="3">
        <v>45348</v>
      </c>
      <c r="E1255" t="s">
        <v>3205</v>
      </c>
      <c r="F1255" t="s">
        <v>38</v>
      </c>
      <c r="G1255" t="s">
        <v>147</v>
      </c>
      <c r="H1255" t="s">
        <v>3206</v>
      </c>
      <c r="I1255" t="s">
        <v>61</v>
      </c>
      <c r="J1255" t="s">
        <v>62</v>
      </c>
      <c r="K1255" t="s">
        <v>1885</v>
      </c>
      <c r="L1255" t="s">
        <v>91</v>
      </c>
      <c r="M1255" t="s">
        <v>65</v>
      </c>
      <c r="N1255" t="s">
        <v>74</v>
      </c>
      <c r="O1255" t="s">
        <v>75</v>
      </c>
      <c r="P1255" t="s">
        <v>35</v>
      </c>
      <c r="Q1255">
        <v>243</v>
      </c>
      <c r="R1255">
        <v>39.14</v>
      </c>
      <c r="S1255">
        <v>9511.02</v>
      </c>
      <c r="T1255">
        <v>19.36</v>
      </c>
      <c r="U1255">
        <v>8</v>
      </c>
      <c r="V1255">
        <v>13</v>
      </c>
      <c r="W1255">
        <v>660</v>
      </c>
      <c r="X1255" t="s">
        <v>188</v>
      </c>
      <c r="Y1255" t="s">
        <v>36</v>
      </c>
      <c r="Z1255">
        <v>886.18</v>
      </c>
    </row>
    <row r="1256" spans="1:26" x14ac:dyDescent="0.25">
      <c r="A1256">
        <v>101254</v>
      </c>
      <c r="B1256" s="3">
        <v>45780</v>
      </c>
      <c r="C1256" s="3">
        <v>45780</v>
      </c>
      <c r="D1256" s="3">
        <v>45795</v>
      </c>
      <c r="E1256" t="s">
        <v>3207</v>
      </c>
      <c r="F1256" t="s">
        <v>38</v>
      </c>
      <c r="G1256" t="s">
        <v>147</v>
      </c>
      <c r="H1256" t="s">
        <v>3208</v>
      </c>
      <c r="I1256" t="s">
        <v>85</v>
      </c>
      <c r="J1256" t="s">
        <v>52</v>
      </c>
      <c r="K1256" t="s">
        <v>1890</v>
      </c>
      <c r="L1256" t="s">
        <v>44</v>
      </c>
      <c r="M1256" t="s">
        <v>54</v>
      </c>
      <c r="N1256" t="s">
        <v>151</v>
      </c>
      <c r="O1256" t="s">
        <v>152</v>
      </c>
      <c r="P1256" t="s">
        <v>76</v>
      </c>
      <c r="Q1256">
        <v>431</v>
      </c>
      <c r="R1256">
        <v>36.01</v>
      </c>
      <c r="S1256">
        <v>15520.31</v>
      </c>
      <c r="T1256">
        <v>15.87</v>
      </c>
      <c r="U1256">
        <v>15</v>
      </c>
      <c r="V1256">
        <v>15</v>
      </c>
      <c r="W1256">
        <v>591</v>
      </c>
      <c r="X1256" t="s">
        <v>188</v>
      </c>
      <c r="Y1256" t="s">
        <v>36</v>
      </c>
      <c r="Z1256">
        <v>1334.03</v>
      </c>
    </row>
    <row r="1257" spans="1:26" x14ac:dyDescent="0.25">
      <c r="A1257">
        <v>101255</v>
      </c>
      <c r="B1257" s="3">
        <v>45430</v>
      </c>
      <c r="C1257" s="3">
        <v>45431</v>
      </c>
      <c r="D1257" s="3">
        <v>45439</v>
      </c>
      <c r="E1257" t="s">
        <v>94</v>
      </c>
      <c r="F1257" t="s">
        <v>65</v>
      </c>
      <c r="G1257" t="s">
        <v>70</v>
      </c>
      <c r="H1257" t="s">
        <v>3209</v>
      </c>
      <c r="I1257" t="s">
        <v>28</v>
      </c>
      <c r="J1257" t="s">
        <v>29</v>
      </c>
      <c r="K1257" t="s">
        <v>1228</v>
      </c>
      <c r="L1257" t="s">
        <v>113</v>
      </c>
      <c r="M1257" t="s">
        <v>54</v>
      </c>
      <c r="N1257" t="s">
        <v>66</v>
      </c>
      <c r="O1257" t="s">
        <v>67</v>
      </c>
      <c r="P1257" t="s">
        <v>123</v>
      </c>
      <c r="Q1257">
        <v>499</v>
      </c>
      <c r="R1257">
        <v>104.52</v>
      </c>
      <c r="S1257">
        <v>52155.48</v>
      </c>
      <c r="T1257">
        <v>22.82</v>
      </c>
      <c r="U1257">
        <v>8</v>
      </c>
      <c r="V1257">
        <v>9</v>
      </c>
      <c r="W1257">
        <v>3355</v>
      </c>
      <c r="X1257" t="s">
        <v>188</v>
      </c>
      <c r="Y1257" t="s">
        <v>36</v>
      </c>
      <c r="Z1257">
        <v>15569.1</v>
      </c>
    </row>
    <row r="1258" spans="1:26" x14ac:dyDescent="0.25">
      <c r="A1258">
        <v>101256</v>
      </c>
      <c r="B1258" s="3">
        <v>45895</v>
      </c>
      <c r="C1258" s="3">
        <v>45897</v>
      </c>
      <c r="D1258" s="3">
        <v>45900</v>
      </c>
      <c r="E1258" t="s">
        <v>3210</v>
      </c>
      <c r="F1258" t="s">
        <v>32</v>
      </c>
      <c r="G1258" t="s">
        <v>255</v>
      </c>
      <c r="H1258" t="s">
        <v>3211</v>
      </c>
      <c r="I1258" t="s">
        <v>149</v>
      </c>
      <c r="J1258" t="s">
        <v>42</v>
      </c>
      <c r="K1258" t="s">
        <v>1576</v>
      </c>
      <c r="L1258" t="s">
        <v>64</v>
      </c>
      <c r="M1258" t="s">
        <v>65</v>
      </c>
      <c r="N1258" t="s">
        <v>102</v>
      </c>
      <c r="O1258" t="s">
        <v>103</v>
      </c>
      <c r="P1258" t="s">
        <v>68</v>
      </c>
      <c r="Q1258">
        <v>102</v>
      </c>
      <c r="R1258">
        <v>132.77000000000001</v>
      </c>
      <c r="S1258">
        <v>13542.54</v>
      </c>
      <c r="T1258">
        <v>35.119999999999997</v>
      </c>
      <c r="U1258">
        <v>3</v>
      </c>
      <c r="V1258">
        <v>5</v>
      </c>
      <c r="W1258">
        <v>921</v>
      </c>
      <c r="X1258" t="s">
        <v>3741</v>
      </c>
      <c r="Y1258" t="s">
        <v>36</v>
      </c>
      <c r="Z1258">
        <v>1217.05</v>
      </c>
    </row>
    <row r="1259" spans="1:26" x14ac:dyDescent="0.25">
      <c r="A1259">
        <v>101257</v>
      </c>
      <c r="B1259" s="3">
        <v>45862</v>
      </c>
      <c r="C1259" s="3">
        <v>45867</v>
      </c>
      <c r="D1259" s="3">
        <v>45875</v>
      </c>
      <c r="E1259" t="s">
        <v>3212</v>
      </c>
      <c r="F1259" t="s">
        <v>65</v>
      </c>
      <c r="G1259" t="s">
        <v>142</v>
      </c>
      <c r="H1259" t="s">
        <v>872</v>
      </c>
      <c r="I1259" t="s">
        <v>51</v>
      </c>
      <c r="J1259" t="s">
        <v>52</v>
      </c>
      <c r="K1259" t="s">
        <v>3213</v>
      </c>
      <c r="L1259" t="s">
        <v>31</v>
      </c>
      <c r="M1259" t="s">
        <v>54</v>
      </c>
      <c r="N1259" t="s">
        <v>107</v>
      </c>
      <c r="O1259" t="s">
        <v>108</v>
      </c>
      <c r="P1259" t="s">
        <v>35</v>
      </c>
      <c r="Q1259">
        <v>277</v>
      </c>
      <c r="R1259">
        <v>65.22</v>
      </c>
      <c r="S1259">
        <v>18065.939999999999</v>
      </c>
      <c r="T1259">
        <v>20.329999999999998</v>
      </c>
      <c r="U1259">
        <v>8</v>
      </c>
      <c r="V1259">
        <v>13</v>
      </c>
      <c r="W1259">
        <v>3254</v>
      </c>
      <c r="X1259" t="s">
        <v>188</v>
      </c>
      <c r="Y1259" t="s">
        <v>36</v>
      </c>
      <c r="Z1259">
        <v>3070.64</v>
      </c>
    </row>
    <row r="1260" spans="1:26" x14ac:dyDescent="0.25">
      <c r="A1260">
        <v>101258</v>
      </c>
      <c r="B1260" s="3">
        <v>45454</v>
      </c>
      <c r="C1260" s="3">
        <v>45457</v>
      </c>
      <c r="D1260" s="3">
        <v>45463</v>
      </c>
      <c r="E1260" t="s">
        <v>3214</v>
      </c>
      <c r="F1260" t="s">
        <v>25</v>
      </c>
      <c r="G1260" t="s">
        <v>59</v>
      </c>
      <c r="H1260" t="s">
        <v>3215</v>
      </c>
      <c r="I1260" t="s">
        <v>28</v>
      </c>
      <c r="J1260" t="s">
        <v>29</v>
      </c>
      <c r="K1260" t="s">
        <v>844</v>
      </c>
      <c r="L1260" t="s">
        <v>31</v>
      </c>
      <c r="M1260" t="s">
        <v>32</v>
      </c>
      <c r="N1260" t="s">
        <v>151</v>
      </c>
      <c r="O1260" t="s">
        <v>152</v>
      </c>
      <c r="P1260" t="s">
        <v>123</v>
      </c>
      <c r="Q1260">
        <v>324</v>
      </c>
      <c r="R1260">
        <v>82.15</v>
      </c>
      <c r="S1260">
        <v>26616.6</v>
      </c>
      <c r="T1260">
        <v>18.57</v>
      </c>
      <c r="U1260">
        <v>6</v>
      </c>
      <c r="V1260">
        <v>9</v>
      </c>
      <c r="W1260">
        <v>326</v>
      </c>
      <c r="X1260" t="s">
        <v>188</v>
      </c>
      <c r="Y1260" t="s">
        <v>36</v>
      </c>
      <c r="Z1260">
        <v>6194.2</v>
      </c>
    </row>
    <row r="1261" spans="1:26" x14ac:dyDescent="0.25">
      <c r="A1261">
        <v>101259</v>
      </c>
      <c r="B1261" s="3">
        <v>45888</v>
      </c>
      <c r="C1261" s="3">
        <v>45893</v>
      </c>
      <c r="D1261" s="3">
        <v>45914</v>
      </c>
      <c r="E1261" t="s">
        <v>3216</v>
      </c>
      <c r="F1261" t="s">
        <v>54</v>
      </c>
      <c r="G1261" t="s">
        <v>129</v>
      </c>
      <c r="H1261" t="s">
        <v>3217</v>
      </c>
      <c r="I1261" t="s">
        <v>28</v>
      </c>
      <c r="J1261" t="s">
        <v>29</v>
      </c>
      <c r="K1261" t="s">
        <v>3218</v>
      </c>
      <c r="L1261" t="s">
        <v>187</v>
      </c>
      <c r="M1261" t="s">
        <v>38</v>
      </c>
      <c r="N1261" t="s">
        <v>203</v>
      </c>
      <c r="O1261" t="s">
        <v>204</v>
      </c>
      <c r="P1261" t="s">
        <v>76</v>
      </c>
      <c r="Q1261">
        <v>357</v>
      </c>
      <c r="R1261">
        <v>80.260000000000005</v>
      </c>
      <c r="S1261">
        <v>28652.82</v>
      </c>
      <c r="T1261">
        <v>14.53</v>
      </c>
      <c r="U1261">
        <v>21</v>
      </c>
      <c r="V1261">
        <v>26</v>
      </c>
      <c r="W1261">
        <v>2989</v>
      </c>
      <c r="X1261" t="s">
        <v>3742</v>
      </c>
      <c r="Y1261" t="s">
        <v>47</v>
      </c>
      <c r="Z1261">
        <v>-221.74</v>
      </c>
    </row>
    <row r="1262" spans="1:26" x14ac:dyDescent="0.25">
      <c r="A1262">
        <v>101260</v>
      </c>
      <c r="B1262" s="3">
        <v>45491</v>
      </c>
      <c r="C1262" s="3">
        <v>45495</v>
      </c>
      <c r="D1262" s="3">
        <v>45500</v>
      </c>
      <c r="E1262" t="s">
        <v>3219</v>
      </c>
      <c r="F1262" t="s">
        <v>54</v>
      </c>
      <c r="G1262" t="s">
        <v>129</v>
      </c>
      <c r="H1262" t="s">
        <v>2513</v>
      </c>
      <c r="I1262" t="s">
        <v>177</v>
      </c>
      <c r="J1262" t="s">
        <v>29</v>
      </c>
      <c r="K1262" t="s">
        <v>3220</v>
      </c>
      <c r="L1262" t="s">
        <v>91</v>
      </c>
      <c r="M1262" t="s">
        <v>25</v>
      </c>
      <c r="N1262" t="s">
        <v>102</v>
      </c>
      <c r="O1262" t="s">
        <v>103</v>
      </c>
      <c r="P1262" t="s">
        <v>68</v>
      </c>
      <c r="Q1262">
        <v>168</v>
      </c>
      <c r="R1262">
        <v>42.87</v>
      </c>
      <c r="S1262">
        <v>7202.16</v>
      </c>
      <c r="T1262">
        <v>39.4</v>
      </c>
      <c r="U1262">
        <v>5</v>
      </c>
      <c r="V1262">
        <v>9</v>
      </c>
      <c r="W1262">
        <v>2981</v>
      </c>
      <c r="X1262" t="s">
        <v>188</v>
      </c>
      <c r="Y1262" t="s">
        <v>36</v>
      </c>
      <c r="Z1262">
        <v>1685.52</v>
      </c>
    </row>
    <row r="1263" spans="1:26" x14ac:dyDescent="0.25">
      <c r="A1263">
        <v>101261</v>
      </c>
      <c r="B1263" s="3">
        <v>45584</v>
      </c>
      <c r="C1263" s="3">
        <v>45589</v>
      </c>
      <c r="D1263" s="3">
        <v>45592</v>
      </c>
      <c r="E1263" t="s">
        <v>2877</v>
      </c>
      <c r="F1263" t="s">
        <v>65</v>
      </c>
      <c r="G1263" t="s">
        <v>142</v>
      </c>
      <c r="H1263" t="s">
        <v>3221</v>
      </c>
      <c r="I1263" t="s">
        <v>116</v>
      </c>
      <c r="J1263" t="s">
        <v>62</v>
      </c>
      <c r="K1263" t="s">
        <v>3222</v>
      </c>
      <c r="L1263" t="s">
        <v>91</v>
      </c>
      <c r="M1263" t="s">
        <v>25</v>
      </c>
      <c r="N1263" t="s">
        <v>66</v>
      </c>
      <c r="O1263" t="s">
        <v>67</v>
      </c>
      <c r="P1263" t="s">
        <v>68</v>
      </c>
      <c r="Q1263">
        <v>330</v>
      </c>
      <c r="R1263">
        <v>49.4</v>
      </c>
      <c r="S1263">
        <v>16302</v>
      </c>
      <c r="T1263">
        <v>49.9</v>
      </c>
      <c r="U1263">
        <v>3</v>
      </c>
      <c r="V1263">
        <v>8</v>
      </c>
      <c r="W1263">
        <v>2328</v>
      </c>
      <c r="X1263" t="s">
        <v>188</v>
      </c>
      <c r="Y1263" t="s">
        <v>36</v>
      </c>
      <c r="Z1263">
        <v>1126</v>
      </c>
    </row>
    <row r="1264" spans="1:26" x14ac:dyDescent="0.25">
      <c r="A1264">
        <v>101262</v>
      </c>
      <c r="B1264" s="3">
        <v>45374</v>
      </c>
      <c r="C1264" s="3">
        <v>45375</v>
      </c>
      <c r="D1264" s="3">
        <v>45377</v>
      </c>
      <c r="E1264" t="s">
        <v>3223</v>
      </c>
      <c r="F1264" t="s">
        <v>38</v>
      </c>
      <c r="G1264" t="s">
        <v>217</v>
      </c>
      <c r="H1264" t="s">
        <v>3224</v>
      </c>
      <c r="I1264" t="s">
        <v>177</v>
      </c>
      <c r="J1264" t="s">
        <v>29</v>
      </c>
      <c r="K1264" t="s">
        <v>2052</v>
      </c>
      <c r="L1264" t="s">
        <v>122</v>
      </c>
      <c r="M1264" t="s">
        <v>38</v>
      </c>
      <c r="N1264" t="s">
        <v>66</v>
      </c>
      <c r="O1264" t="s">
        <v>67</v>
      </c>
      <c r="P1264" t="s">
        <v>68</v>
      </c>
      <c r="Q1264">
        <v>248</v>
      </c>
      <c r="R1264">
        <v>28.78</v>
      </c>
      <c r="S1264">
        <v>7137.44</v>
      </c>
      <c r="T1264">
        <v>33.020000000000003</v>
      </c>
      <c r="U1264">
        <v>2</v>
      </c>
      <c r="V1264">
        <v>3</v>
      </c>
      <c r="W1264">
        <v>613</v>
      </c>
      <c r="X1264" t="s">
        <v>3741</v>
      </c>
      <c r="Y1264" t="s">
        <v>36</v>
      </c>
      <c r="Z1264">
        <v>1472.9</v>
      </c>
    </row>
    <row r="1265" spans="1:26" x14ac:dyDescent="0.25">
      <c r="A1265">
        <v>101263</v>
      </c>
      <c r="B1265" s="3">
        <v>45676</v>
      </c>
      <c r="C1265" s="3">
        <v>45677</v>
      </c>
      <c r="D1265" s="3">
        <v>45693</v>
      </c>
      <c r="E1265" t="s">
        <v>3225</v>
      </c>
      <c r="F1265" t="s">
        <v>54</v>
      </c>
      <c r="G1265" t="s">
        <v>165</v>
      </c>
      <c r="H1265" t="s">
        <v>3226</v>
      </c>
      <c r="I1265" t="s">
        <v>191</v>
      </c>
      <c r="J1265" t="s">
        <v>62</v>
      </c>
      <c r="K1265" t="s">
        <v>1003</v>
      </c>
      <c r="L1265" t="s">
        <v>31</v>
      </c>
      <c r="M1265" t="s">
        <v>32</v>
      </c>
      <c r="N1265" t="s">
        <v>151</v>
      </c>
      <c r="O1265" t="s">
        <v>152</v>
      </c>
      <c r="P1265" t="s">
        <v>123</v>
      </c>
      <c r="Q1265">
        <v>151</v>
      </c>
      <c r="R1265">
        <v>46.97</v>
      </c>
      <c r="S1265">
        <v>7092.47</v>
      </c>
      <c r="T1265">
        <v>14.36</v>
      </c>
      <c r="U1265">
        <v>16</v>
      </c>
      <c r="V1265">
        <v>17</v>
      </c>
      <c r="W1265">
        <v>3542</v>
      </c>
      <c r="X1265" t="s">
        <v>3742</v>
      </c>
      <c r="Y1265" t="s">
        <v>188</v>
      </c>
      <c r="Z1265">
        <v>963.21</v>
      </c>
    </row>
    <row r="1266" spans="1:26" x14ac:dyDescent="0.25">
      <c r="A1266">
        <v>101264</v>
      </c>
      <c r="B1266" s="3">
        <v>45982</v>
      </c>
      <c r="C1266" s="3">
        <v>45987</v>
      </c>
      <c r="D1266" s="3">
        <v>45990</v>
      </c>
      <c r="E1266" t="s">
        <v>3227</v>
      </c>
      <c r="F1266" t="s">
        <v>38</v>
      </c>
      <c r="G1266" t="s">
        <v>217</v>
      </c>
      <c r="H1266" t="s">
        <v>3228</v>
      </c>
      <c r="I1266" t="s">
        <v>61</v>
      </c>
      <c r="J1266" t="s">
        <v>62</v>
      </c>
      <c r="K1266" t="s">
        <v>3229</v>
      </c>
      <c r="L1266" t="s">
        <v>91</v>
      </c>
      <c r="M1266" t="s">
        <v>32</v>
      </c>
      <c r="N1266" t="s">
        <v>151</v>
      </c>
      <c r="O1266" t="s">
        <v>152</v>
      </c>
      <c r="P1266" t="s">
        <v>68</v>
      </c>
      <c r="Q1266">
        <v>142</v>
      </c>
      <c r="R1266">
        <v>18.61</v>
      </c>
      <c r="S1266">
        <v>2642.62</v>
      </c>
      <c r="T1266">
        <v>37.71</v>
      </c>
      <c r="U1266">
        <v>3</v>
      </c>
      <c r="V1266">
        <v>8</v>
      </c>
      <c r="W1266">
        <v>2703</v>
      </c>
      <c r="X1266" t="s">
        <v>188</v>
      </c>
      <c r="Y1266" t="s">
        <v>36</v>
      </c>
      <c r="Z1266">
        <v>315.66000000000003</v>
      </c>
    </row>
    <row r="1267" spans="1:26" x14ac:dyDescent="0.25">
      <c r="A1267">
        <v>101265</v>
      </c>
      <c r="B1267" s="3">
        <v>45365</v>
      </c>
      <c r="C1267" s="3">
        <v>45370</v>
      </c>
      <c r="D1267" s="3">
        <v>45380</v>
      </c>
      <c r="E1267" t="s">
        <v>3230</v>
      </c>
      <c r="F1267" t="s">
        <v>65</v>
      </c>
      <c r="G1267" t="s">
        <v>154</v>
      </c>
      <c r="H1267" t="s">
        <v>3231</v>
      </c>
      <c r="I1267" t="s">
        <v>89</v>
      </c>
      <c r="J1267" t="s">
        <v>62</v>
      </c>
      <c r="K1267" t="s">
        <v>1116</v>
      </c>
      <c r="L1267" t="s">
        <v>44</v>
      </c>
      <c r="M1267" t="s">
        <v>38</v>
      </c>
      <c r="N1267" t="s">
        <v>74</v>
      </c>
      <c r="O1267" t="s">
        <v>75</v>
      </c>
      <c r="P1267" t="s">
        <v>35</v>
      </c>
      <c r="Q1267">
        <v>450</v>
      </c>
      <c r="R1267">
        <v>29.47</v>
      </c>
      <c r="S1267">
        <v>13261.5</v>
      </c>
      <c r="T1267">
        <v>25.23</v>
      </c>
      <c r="U1267">
        <v>10</v>
      </c>
      <c r="V1267">
        <v>15</v>
      </c>
      <c r="W1267">
        <v>2757</v>
      </c>
      <c r="X1267" t="s">
        <v>188</v>
      </c>
      <c r="Y1267" t="s">
        <v>36</v>
      </c>
      <c r="Z1267">
        <v>1734.22</v>
      </c>
    </row>
    <row r="1268" spans="1:26" x14ac:dyDescent="0.25">
      <c r="A1268">
        <v>101266</v>
      </c>
      <c r="B1268" s="3">
        <v>45747</v>
      </c>
      <c r="C1268" s="3">
        <v>45751</v>
      </c>
      <c r="D1268" s="3">
        <v>45764</v>
      </c>
      <c r="E1268" t="s">
        <v>3232</v>
      </c>
      <c r="F1268" t="s">
        <v>32</v>
      </c>
      <c r="G1268" t="s">
        <v>255</v>
      </c>
      <c r="H1268" t="s">
        <v>3233</v>
      </c>
      <c r="I1268" t="s">
        <v>230</v>
      </c>
      <c r="J1268" t="s">
        <v>80</v>
      </c>
      <c r="K1268" t="s">
        <v>291</v>
      </c>
      <c r="L1268" t="s">
        <v>187</v>
      </c>
      <c r="M1268" t="s">
        <v>25</v>
      </c>
      <c r="N1268" t="s">
        <v>45</v>
      </c>
      <c r="O1268" t="s">
        <v>46</v>
      </c>
      <c r="P1268" t="s">
        <v>123</v>
      </c>
      <c r="Q1268">
        <v>346</v>
      </c>
      <c r="R1268">
        <v>317.3</v>
      </c>
      <c r="S1268">
        <v>109785.8</v>
      </c>
      <c r="T1268">
        <v>19.100000000000001</v>
      </c>
      <c r="U1268">
        <v>13</v>
      </c>
      <c r="V1268">
        <v>17</v>
      </c>
      <c r="W1268">
        <v>2057</v>
      </c>
      <c r="X1268" t="s">
        <v>188</v>
      </c>
      <c r="Y1268" t="s">
        <v>36</v>
      </c>
      <c r="Z1268">
        <v>14835.99</v>
      </c>
    </row>
    <row r="1269" spans="1:26" x14ac:dyDescent="0.25">
      <c r="A1269">
        <v>101267</v>
      </c>
      <c r="B1269" s="3">
        <v>45563</v>
      </c>
      <c r="C1269" s="3">
        <v>45563</v>
      </c>
      <c r="D1269" s="3">
        <v>45571</v>
      </c>
      <c r="E1269" t="s">
        <v>329</v>
      </c>
      <c r="F1269" t="s">
        <v>54</v>
      </c>
      <c r="G1269" t="s">
        <v>165</v>
      </c>
      <c r="H1269" t="s">
        <v>3234</v>
      </c>
      <c r="I1269" t="s">
        <v>85</v>
      </c>
      <c r="J1269" t="s">
        <v>52</v>
      </c>
      <c r="K1269" t="s">
        <v>1928</v>
      </c>
      <c r="L1269" t="s">
        <v>91</v>
      </c>
      <c r="M1269" t="s">
        <v>25</v>
      </c>
      <c r="N1269" t="s">
        <v>92</v>
      </c>
      <c r="O1269" t="s">
        <v>93</v>
      </c>
      <c r="P1269" t="s">
        <v>123</v>
      </c>
      <c r="Q1269">
        <v>32</v>
      </c>
      <c r="R1269">
        <v>84.32</v>
      </c>
      <c r="S1269">
        <v>2698.24</v>
      </c>
      <c r="T1269">
        <v>11.47</v>
      </c>
      <c r="U1269">
        <v>8</v>
      </c>
      <c r="V1269">
        <v>8</v>
      </c>
      <c r="W1269">
        <v>1468</v>
      </c>
      <c r="X1269" t="s">
        <v>188</v>
      </c>
      <c r="Y1269" t="s">
        <v>36</v>
      </c>
      <c r="Z1269">
        <v>378.5</v>
      </c>
    </row>
    <row r="1270" spans="1:26" x14ac:dyDescent="0.25">
      <c r="A1270">
        <v>101268</v>
      </c>
      <c r="B1270" s="3">
        <v>45938</v>
      </c>
      <c r="C1270" s="3">
        <v>45943</v>
      </c>
      <c r="D1270" s="3">
        <v>45958</v>
      </c>
      <c r="E1270" t="s">
        <v>3235</v>
      </c>
      <c r="F1270" t="s">
        <v>65</v>
      </c>
      <c r="G1270" t="s">
        <v>142</v>
      </c>
      <c r="H1270" t="s">
        <v>3236</v>
      </c>
      <c r="I1270" t="s">
        <v>207</v>
      </c>
      <c r="J1270" t="s">
        <v>80</v>
      </c>
      <c r="K1270" t="s">
        <v>2486</v>
      </c>
      <c r="L1270" t="s">
        <v>187</v>
      </c>
      <c r="M1270" t="s">
        <v>25</v>
      </c>
      <c r="N1270" t="s">
        <v>33</v>
      </c>
      <c r="O1270" t="s">
        <v>34</v>
      </c>
      <c r="P1270" t="s">
        <v>123</v>
      </c>
      <c r="Q1270">
        <v>347</v>
      </c>
      <c r="R1270">
        <v>316.23</v>
      </c>
      <c r="S1270">
        <v>109731.81</v>
      </c>
      <c r="T1270">
        <v>19.12</v>
      </c>
      <c r="U1270">
        <v>15</v>
      </c>
      <c r="V1270">
        <v>20</v>
      </c>
      <c r="W1270">
        <v>1822</v>
      </c>
      <c r="X1270" t="s">
        <v>3742</v>
      </c>
      <c r="Y1270" t="s">
        <v>188</v>
      </c>
      <c r="Z1270">
        <v>29393.34</v>
      </c>
    </row>
    <row r="1271" spans="1:26" x14ac:dyDescent="0.25">
      <c r="A1271">
        <v>101269</v>
      </c>
      <c r="B1271" s="3">
        <v>45414</v>
      </c>
      <c r="C1271" s="3">
        <v>45418</v>
      </c>
      <c r="D1271" s="3">
        <v>45426</v>
      </c>
      <c r="E1271" t="s">
        <v>3237</v>
      </c>
      <c r="F1271" t="s">
        <v>25</v>
      </c>
      <c r="G1271" t="s">
        <v>233</v>
      </c>
      <c r="H1271" t="s">
        <v>3238</v>
      </c>
      <c r="I1271" t="s">
        <v>85</v>
      </c>
      <c r="J1271" t="s">
        <v>52</v>
      </c>
      <c r="K1271" t="s">
        <v>2751</v>
      </c>
      <c r="L1271" t="s">
        <v>187</v>
      </c>
      <c r="M1271" t="s">
        <v>38</v>
      </c>
      <c r="N1271" t="s">
        <v>55</v>
      </c>
      <c r="O1271" t="s">
        <v>56</v>
      </c>
      <c r="P1271" t="s">
        <v>35</v>
      </c>
      <c r="Q1271">
        <v>146</v>
      </c>
      <c r="R1271">
        <v>24.28</v>
      </c>
      <c r="S1271">
        <v>3544.88</v>
      </c>
      <c r="T1271">
        <v>16.61</v>
      </c>
      <c r="U1271">
        <v>8</v>
      </c>
      <c r="V1271">
        <v>12</v>
      </c>
      <c r="W1271">
        <v>3864</v>
      </c>
      <c r="X1271" t="s">
        <v>188</v>
      </c>
      <c r="Y1271" t="s">
        <v>36</v>
      </c>
      <c r="Z1271">
        <v>304.92</v>
      </c>
    </row>
    <row r="1272" spans="1:26" x14ac:dyDescent="0.25">
      <c r="A1272">
        <v>101270</v>
      </c>
      <c r="B1272" s="3">
        <v>45371</v>
      </c>
      <c r="C1272" s="3">
        <v>45372</v>
      </c>
      <c r="D1272" s="3">
        <v>45384</v>
      </c>
      <c r="E1272" t="s">
        <v>3239</v>
      </c>
      <c r="F1272" t="s">
        <v>65</v>
      </c>
      <c r="G1272" t="s">
        <v>142</v>
      </c>
      <c r="H1272" t="s">
        <v>3240</v>
      </c>
      <c r="I1272" t="s">
        <v>149</v>
      </c>
      <c r="J1272" t="s">
        <v>42</v>
      </c>
      <c r="K1272" t="s">
        <v>1495</v>
      </c>
      <c r="L1272" t="s">
        <v>122</v>
      </c>
      <c r="M1272" t="s">
        <v>54</v>
      </c>
      <c r="N1272" t="s">
        <v>92</v>
      </c>
      <c r="O1272" t="s">
        <v>93</v>
      </c>
      <c r="P1272" t="s">
        <v>123</v>
      </c>
      <c r="Q1272">
        <v>191</v>
      </c>
      <c r="R1272">
        <v>281.61</v>
      </c>
      <c r="S1272">
        <v>53787.51</v>
      </c>
      <c r="T1272">
        <v>15.33</v>
      </c>
      <c r="U1272">
        <v>12</v>
      </c>
      <c r="V1272">
        <v>13</v>
      </c>
      <c r="W1272">
        <v>327</v>
      </c>
      <c r="X1272" t="s">
        <v>188</v>
      </c>
      <c r="Y1272" t="s">
        <v>36</v>
      </c>
      <c r="Z1272">
        <v>7742.01</v>
      </c>
    </row>
    <row r="1273" spans="1:26" x14ac:dyDescent="0.25">
      <c r="A1273">
        <v>101271</v>
      </c>
      <c r="B1273" s="3">
        <v>45997</v>
      </c>
      <c r="C1273" s="3">
        <v>46002</v>
      </c>
      <c r="D1273" s="3">
        <v>46009</v>
      </c>
      <c r="E1273" t="s">
        <v>1393</v>
      </c>
      <c r="F1273" t="s">
        <v>65</v>
      </c>
      <c r="G1273" t="s">
        <v>142</v>
      </c>
      <c r="H1273" t="s">
        <v>3241</v>
      </c>
      <c r="I1273" t="s">
        <v>89</v>
      </c>
      <c r="J1273" t="s">
        <v>62</v>
      </c>
      <c r="K1273" t="s">
        <v>3242</v>
      </c>
      <c r="L1273" t="s">
        <v>64</v>
      </c>
      <c r="M1273" t="s">
        <v>25</v>
      </c>
      <c r="N1273" t="s">
        <v>102</v>
      </c>
      <c r="O1273" t="s">
        <v>103</v>
      </c>
      <c r="P1273" t="s">
        <v>123</v>
      </c>
      <c r="Q1273">
        <v>208</v>
      </c>
      <c r="R1273">
        <v>35.58</v>
      </c>
      <c r="S1273">
        <v>7400.64</v>
      </c>
      <c r="T1273">
        <v>15.75</v>
      </c>
      <c r="U1273">
        <v>7</v>
      </c>
      <c r="V1273">
        <v>12</v>
      </c>
      <c r="W1273">
        <v>2852</v>
      </c>
      <c r="X1273" t="s">
        <v>3742</v>
      </c>
      <c r="Y1273" t="s">
        <v>57</v>
      </c>
      <c r="Z1273">
        <v>815.79</v>
      </c>
    </row>
    <row r="1274" spans="1:26" x14ac:dyDescent="0.25">
      <c r="A1274">
        <v>101272</v>
      </c>
      <c r="B1274" s="3">
        <v>45662</v>
      </c>
      <c r="C1274" s="3">
        <v>45666</v>
      </c>
      <c r="D1274" s="3">
        <v>45676</v>
      </c>
      <c r="E1274" t="s">
        <v>3243</v>
      </c>
      <c r="F1274" t="s">
        <v>54</v>
      </c>
      <c r="G1274" t="s">
        <v>158</v>
      </c>
      <c r="H1274" t="s">
        <v>3244</v>
      </c>
      <c r="I1274" t="s">
        <v>79</v>
      </c>
      <c r="J1274" t="s">
        <v>80</v>
      </c>
      <c r="K1274" t="s">
        <v>3245</v>
      </c>
      <c r="L1274" t="s">
        <v>118</v>
      </c>
      <c r="M1274" t="s">
        <v>38</v>
      </c>
      <c r="N1274" t="s">
        <v>92</v>
      </c>
      <c r="O1274" t="s">
        <v>93</v>
      </c>
      <c r="P1274" t="s">
        <v>76</v>
      </c>
      <c r="Q1274">
        <v>341</v>
      </c>
      <c r="R1274">
        <v>269.33999999999997</v>
      </c>
      <c r="S1274">
        <v>91844.94</v>
      </c>
      <c r="T1274">
        <v>14.23</v>
      </c>
      <c r="U1274">
        <v>10</v>
      </c>
      <c r="V1274">
        <v>14</v>
      </c>
      <c r="W1274">
        <v>1211</v>
      </c>
      <c r="X1274" t="s">
        <v>188</v>
      </c>
      <c r="Y1274" t="s">
        <v>36</v>
      </c>
      <c r="Z1274">
        <v>15546.81</v>
      </c>
    </row>
    <row r="1275" spans="1:26" x14ac:dyDescent="0.25">
      <c r="A1275">
        <v>101273</v>
      </c>
      <c r="B1275" s="3">
        <v>45479</v>
      </c>
      <c r="C1275" s="3">
        <v>45482</v>
      </c>
      <c r="D1275" s="3">
        <v>45490</v>
      </c>
      <c r="E1275" t="s">
        <v>3246</v>
      </c>
      <c r="F1275" t="s">
        <v>38</v>
      </c>
      <c r="G1275" t="s">
        <v>147</v>
      </c>
      <c r="H1275" t="s">
        <v>3247</v>
      </c>
      <c r="I1275" t="s">
        <v>198</v>
      </c>
      <c r="J1275" t="s">
        <v>52</v>
      </c>
      <c r="K1275" t="s">
        <v>925</v>
      </c>
      <c r="L1275" t="s">
        <v>31</v>
      </c>
      <c r="M1275" t="s">
        <v>25</v>
      </c>
      <c r="N1275" t="s">
        <v>66</v>
      </c>
      <c r="O1275" t="s">
        <v>67</v>
      </c>
      <c r="P1275" t="s">
        <v>35</v>
      </c>
      <c r="Q1275">
        <v>144</v>
      </c>
      <c r="R1275">
        <v>40.01</v>
      </c>
      <c r="S1275">
        <v>5761.44</v>
      </c>
      <c r="T1275">
        <v>16.559999999999999</v>
      </c>
      <c r="U1275">
        <v>8</v>
      </c>
      <c r="V1275">
        <v>11</v>
      </c>
      <c r="W1275">
        <v>3713</v>
      </c>
      <c r="X1275" t="s">
        <v>188</v>
      </c>
      <c r="Y1275" t="s">
        <v>36</v>
      </c>
      <c r="Z1275">
        <v>992.88</v>
      </c>
    </row>
    <row r="1276" spans="1:26" x14ac:dyDescent="0.25">
      <c r="A1276">
        <v>101274</v>
      </c>
      <c r="B1276" s="3">
        <v>45787</v>
      </c>
      <c r="C1276" s="3">
        <v>45790</v>
      </c>
      <c r="D1276" s="3">
        <v>45801</v>
      </c>
      <c r="E1276" t="s">
        <v>3199</v>
      </c>
      <c r="F1276" t="s">
        <v>25</v>
      </c>
      <c r="G1276" t="s">
        <v>221</v>
      </c>
      <c r="H1276" t="s">
        <v>3248</v>
      </c>
      <c r="I1276" t="s">
        <v>207</v>
      </c>
      <c r="J1276" t="s">
        <v>80</v>
      </c>
      <c r="K1276" t="s">
        <v>1228</v>
      </c>
      <c r="L1276" t="s">
        <v>44</v>
      </c>
      <c r="M1276" t="s">
        <v>25</v>
      </c>
      <c r="N1276" t="s">
        <v>66</v>
      </c>
      <c r="O1276" t="s">
        <v>67</v>
      </c>
      <c r="P1276" t="s">
        <v>76</v>
      </c>
      <c r="Q1276">
        <v>404</v>
      </c>
      <c r="R1276">
        <v>195.38</v>
      </c>
      <c r="S1276">
        <v>78933.52</v>
      </c>
      <c r="T1276">
        <v>11.39</v>
      </c>
      <c r="U1276">
        <v>11</v>
      </c>
      <c r="V1276">
        <v>14</v>
      </c>
      <c r="W1276">
        <v>211</v>
      </c>
      <c r="X1276" t="s">
        <v>188</v>
      </c>
      <c r="Y1276" t="s">
        <v>36</v>
      </c>
      <c r="Z1276">
        <v>20900.25</v>
      </c>
    </row>
    <row r="1277" spans="1:26" x14ac:dyDescent="0.25">
      <c r="A1277">
        <v>101275</v>
      </c>
      <c r="B1277" s="3">
        <v>45853</v>
      </c>
      <c r="C1277" s="3">
        <v>45855</v>
      </c>
      <c r="D1277" s="3">
        <v>45880</v>
      </c>
      <c r="E1277" t="s">
        <v>3249</v>
      </c>
      <c r="F1277" t="s">
        <v>32</v>
      </c>
      <c r="G1277" t="s">
        <v>364</v>
      </c>
      <c r="H1277" t="s">
        <v>3250</v>
      </c>
      <c r="I1277" t="s">
        <v>134</v>
      </c>
      <c r="J1277" t="s">
        <v>52</v>
      </c>
      <c r="K1277" t="s">
        <v>1512</v>
      </c>
      <c r="L1277" t="s">
        <v>187</v>
      </c>
      <c r="M1277" t="s">
        <v>25</v>
      </c>
      <c r="N1277" t="s">
        <v>33</v>
      </c>
      <c r="O1277" t="s">
        <v>34</v>
      </c>
      <c r="P1277" t="s">
        <v>76</v>
      </c>
      <c r="Q1277">
        <v>25</v>
      </c>
      <c r="R1277">
        <v>73.13</v>
      </c>
      <c r="S1277">
        <v>1828.25</v>
      </c>
      <c r="T1277">
        <v>8.4700000000000006</v>
      </c>
      <c r="U1277">
        <v>25</v>
      </c>
      <c r="V1277">
        <v>27</v>
      </c>
      <c r="W1277">
        <v>760</v>
      </c>
      <c r="X1277" t="s">
        <v>188</v>
      </c>
      <c r="Y1277" t="s">
        <v>36</v>
      </c>
      <c r="Z1277">
        <v>240.17</v>
      </c>
    </row>
    <row r="1278" spans="1:26" x14ac:dyDescent="0.25">
      <c r="A1278">
        <v>101276</v>
      </c>
      <c r="B1278" s="3">
        <v>45876</v>
      </c>
      <c r="C1278" s="3">
        <v>45880</v>
      </c>
      <c r="D1278" s="3">
        <v>45881</v>
      </c>
      <c r="E1278" t="s">
        <v>3251</v>
      </c>
      <c r="F1278" t="s">
        <v>65</v>
      </c>
      <c r="G1278" t="s">
        <v>142</v>
      </c>
      <c r="H1278" t="s">
        <v>3252</v>
      </c>
      <c r="I1278" t="s">
        <v>61</v>
      </c>
      <c r="J1278" t="s">
        <v>62</v>
      </c>
      <c r="K1278" t="s">
        <v>2134</v>
      </c>
      <c r="L1278" t="s">
        <v>187</v>
      </c>
      <c r="M1278" t="s">
        <v>32</v>
      </c>
      <c r="N1278" t="s">
        <v>107</v>
      </c>
      <c r="O1278" t="s">
        <v>108</v>
      </c>
      <c r="P1278" t="s">
        <v>68</v>
      </c>
      <c r="Q1278">
        <v>423</v>
      </c>
      <c r="R1278">
        <v>23.8</v>
      </c>
      <c r="S1278">
        <v>10067.4</v>
      </c>
      <c r="T1278">
        <v>55.92</v>
      </c>
      <c r="U1278">
        <v>1</v>
      </c>
      <c r="V1278">
        <v>5</v>
      </c>
      <c r="W1278">
        <v>4891</v>
      </c>
      <c r="X1278" t="s">
        <v>3741</v>
      </c>
      <c r="Y1278" t="s">
        <v>36</v>
      </c>
      <c r="Z1278">
        <v>1318.5</v>
      </c>
    </row>
    <row r="1279" spans="1:26" x14ac:dyDescent="0.25">
      <c r="A1279">
        <v>101277</v>
      </c>
      <c r="B1279" s="3">
        <v>45554</v>
      </c>
      <c r="C1279" s="3">
        <v>45558</v>
      </c>
      <c r="D1279" s="3">
        <v>45561</v>
      </c>
      <c r="E1279" t="s">
        <v>3253</v>
      </c>
      <c r="F1279" t="s">
        <v>38</v>
      </c>
      <c r="G1279" t="s">
        <v>83</v>
      </c>
      <c r="H1279" t="s">
        <v>3254</v>
      </c>
      <c r="I1279" t="s">
        <v>51</v>
      </c>
      <c r="J1279" t="s">
        <v>52</v>
      </c>
      <c r="K1279" t="s">
        <v>867</v>
      </c>
      <c r="L1279" t="s">
        <v>122</v>
      </c>
      <c r="M1279" t="s">
        <v>38</v>
      </c>
      <c r="N1279" t="s">
        <v>92</v>
      </c>
      <c r="O1279" t="s">
        <v>93</v>
      </c>
      <c r="P1279" t="s">
        <v>35</v>
      </c>
      <c r="Q1279">
        <v>312</v>
      </c>
      <c r="R1279">
        <v>13.51</v>
      </c>
      <c r="S1279">
        <v>4215.12</v>
      </c>
      <c r="T1279">
        <v>15.79</v>
      </c>
      <c r="U1279">
        <v>3</v>
      </c>
      <c r="V1279">
        <v>7</v>
      </c>
      <c r="W1279">
        <v>1722</v>
      </c>
      <c r="X1279" t="s">
        <v>3741</v>
      </c>
      <c r="Y1279" t="s">
        <v>36</v>
      </c>
      <c r="Z1279">
        <v>768.43</v>
      </c>
    </row>
    <row r="1280" spans="1:26" x14ac:dyDescent="0.25">
      <c r="A1280">
        <v>101278</v>
      </c>
      <c r="B1280" s="3">
        <v>45808</v>
      </c>
      <c r="C1280" s="3">
        <v>45808</v>
      </c>
      <c r="D1280" s="3">
        <v>45813</v>
      </c>
      <c r="E1280" t="s">
        <v>3255</v>
      </c>
      <c r="F1280" t="s">
        <v>38</v>
      </c>
      <c r="G1280" t="s">
        <v>83</v>
      </c>
      <c r="H1280" t="s">
        <v>3256</v>
      </c>
      <c r="I1280" t="s">
        <v>144</v>
      </c>
      <c r="J1280" t="s">
        <v>52</v>
      </c>
      <c r="K1280" t="s">
        <v>1755</v>
      </c>
      <c r="L1280" t="s">
        <v>118</v>
      </c>
      <c r="M1280" t="s">
        <v>32</v>
      </c>
      <c r="N1280" t="s">
        <v>33</v>
      </c>
      <c r="O1280" t="s">
        <v>34</v>
      </c>
      <c r="P1280" t="s">
        <v>68</v>
      </c>
      <c r="Q1280">
        <v>172</v>
      </c>
      <c r="R1280">
        <v>40.03</v>
      </c>
      <c r="S1280">
        <v>6885.16</v>
      </c>
      <c r="T1280">
        <v>39.659999999999997</v>
      </c>
      <c r="U1280">
        <v>5</v>
      </c>
      <c r="V1280">
        <v>5</v>
      </c>
      <c r="W1280">
        <v>3959</v>
      </c>
      <c r="X1280" t="s">
        <v>3741</v>
      </c>
      <c r="Y1280" t="s">
        <v>36</v>
      </c>
      <c r="Z1280">
        <v>650.65</v>
      </c>
    </row>
    <row r="1281" spans="1:26" x14ac:dyDescent="0.25">
      <c r="A1281">
        <v>101279</v>
      </c>
      <c r="B1281" s="3">
        <v>45874</v>
      </c>
      <c r="C1281" s="3">
        <v>45879</v>
      </c>
      <c r="D1281" s="3">
        <v>45883</v>
      </c>
      <c r="E1281" t="s">
        <v>3257</v>
      </c>
      <c r="F1281" t="s">
        <v>32</v>
      </c>
      <c r="G1281" t="s">
        <v>364</v>
      </c>
      <c r="H1281" t="s">
        <v>3258</v>
      </c>
      <c r="I1281" t="s">
        <v>191</v>
      </c>
      <c r="J1281" t="s">
        <v>62</v>
      </c>
      <c r="K1281" t="s">
        <v>2999</v>
      </c>
      <c r="L1281" t="s">
        <v>98</v>
      </c>
      <c r="M1281" t="s">
        <v>32</v>
      </c>
      <c r="N1281" t="s">
        <v>66</v>
      </c>
      <c r="O1281" t="s">
        <v>67</v>
      </c>
      <c r="P1281" t="s">
        <v>35</v>
      </c>
      <c r="Q1281">
        <v>258</v>
      </c>
      <c r="R1281">
        <v>10.14</v>
      </c>
      <c r="S1281">
        <v>2616.12</v>
      </c>
      <c r="T1281">
        <v>14.66</v>
      </c>
      <c r="U1281">
        <v>4</v>
      </c>
      <c r="V1281">
        <v>9</v>
      </c>
      <c r="W1281">
        <v>3903</v>
      </c>
      <c r="X1281" t="s">
        <v>3742</v>
      </c>
      <c r="Y1281" t="s">
        <v>57</v>
      </c>
      <c r="Z1281">
        <v>365.28</v>
      </c>
    </row>
    <row r="1282" spans="1:26" x14ac:dyDescent="0.25">
      <c r="A1282">
        <v>101280</v>
      </c>
      <c r="B1282" s="3">
        <v>45828</v>
      </c>
      <c r="C1282" s="3">
        <v>45828</v>
      </c>
      <c r="D1282" s="3">
        <v>45842</v>
      </c>
      <c r="E1282" t="s">
        <v>3259</v>
      </c>
      <c r="F1282" t="s">
        <v>38</v>
      </c>
      <c r="G1282" t="s">
        <v>83</v>
      </c>
      <c r="H1282" t="s">
        <v>3260</v>
      </c>
      <c r="I1282" t="s">
        <v>28</v>
      </c>
      <c r="J1282" t="s">
        <v>29</v>
      </c>
      <c r="K1282" t="s">
        <v>1051</v>
      </c>
      <c r="L1282" t="s">
        <v>212</v>
      </c>
      <c r="M1282" t="s">
        <v>54</v>
      </c>
      <c r="N1282" t="s">
        <v>33</v>
      </c>
      <c r="O1282" t="s">
        <v>34</v>
      </c>
      <c r="P1282" t="s">
        <v>76</v>
      </c>
      <c r="Q1282">
        <v>291</v>
      </c>
      <c r="R1282">
        <v>107.87</v>
      </c>
      <c r="S1282">
        <v>31390.17</v>
      </c>
      <c r="T1282">
        <v>13.32</v>
      </c>
      <c r="U1282">
        <v>14</v>
      </c>
      <c r="V1282">
        <v>14</v>
      </c>
      <c r="W1282">
        <v>2417</v>
      </c>
      <c r="X1282" t="s">
        <v>188</v>
      </c>
      <c r="Y1282" t="s">
        <v>36</v>
      </c>
      <c r="Z1282">
        <v>4403.92</v>
      </c>
    </row>
    <row r="1283" spans="1:26" x14ac:dyDescent="0.25">
      <c r="A1283">
        <v>101281</v>
      </c>
      <c r="B1283" s="3">
        <v>45625</v>
      </c>
      <c r="C1283" s="3">
        <v>45629</v>
      </c>
      <c r="D1283" s="3">
        <v>45633</v>
      </c>
      <c r="E1283" t="s">
        <v>3261</v>
      </c>
      <c r="F1283" t="s">
        <v>65</v>
      </c>
      <c r="G1283" t="s">
        <v>154</v>
      </c>
      <c r="H1283" t="s">
        <v>3262</v>
      </c>
      <c r="I1283" t="s">
        <v>61</v>
      </c>
      <c r="J1283" t="s">
        <v>62</v>
      </c>
      <c r="K1283" t="s">
        <v>521</v>
      </c>
      <c r="L1283" t="s">
        <v>113</v>
      </c>
      <c r="M1283" t="s">
        <v>25</v>
      </c>
      <c r="N1283" t="s">
        <v>107</v>
      </c>
      <c r="O1283" t="s">
        <v>108</v>
      </c>
      <c r="P1283" t="s">
        <v>68</v>
      </c>
      <c r="Q1283">
        <v>405</v>
      </c>
      <c r="R1283">
        <v>29.18</v>
      </c>
      <c r="S1283">
        <v>11817.9</v>
      </c>
      <c r="T1283">
        <v>54.76</v>
      </c>
      <c r="U1283">
        <v>4</v>
      </c>
      <c r="V1283">
        <v>8</v>
      </c>
      <c r="W1283">
        <v>2877</v>
      </c>
      <c r="X1283" t="s">
        <v>188</v>
      </c>
      <c r="Y1283" t="s">
        <v>36</v>
      </c>
      <c r="Z1283">
        <v>248.35</v>
      </c>
    </row>
    <row r="1284" spans="1:26" x14ac:dyDescent="0.25">
      <c r="A1284">
        <v>101282</v>
      </c>
      <c r="B1284" s="3">
        <v>45292</v>
      </c>
      <c r="C1284" s="3">
        <v>45294</v>
      </c>
      <c r="D1284" s="3">
        <v>45304</v>
      </c>
      <c r="E1284" t="s">
        <v>3263</v>
      </c>
      <c r="F1284" t="s">
        <v>32</v>
      </c>
      <c r="G1284" t="s">
        <v>110</v>
      </c>
      <c r="H1284" t="s">
        <v>3264</v>
      </c>
      <c r="I1284" t="s">
        <v>89</v>
      </c>
      <c r="J1284" t="s">
        <v>62</v>
      </c>
      <c r="K1284" t="s">
        <v>3265</v>
      </c>
      <c r="L1284" t="s">
        <v>98</v>
      </c>
      <c r="M1284" t="s">
        <v>32</v>
      </c>
      <c r="N1284" t="s">
        <v>74</v>
      </c>
      <c r="O1284" t="s">
        <v>75</v>
      </c>
      <c r="P1284" t="s">
        <v>123</v>
      </c>
      <c r="Q1284">
        <v>205</v>
      </c>
      <c r="R1284">
        <v>17.48</v>
      </c>
      <c r="S1284">
        <v>3583.4</v>
      </c>
      <c r="T1284">
        <v>11.61</v>
      </c>
      <c r="U1284">
        <v>10</v>
      </c>
      <c r="V1284">
        <v>12</v>
      </c>
      <c r="W1284">
        <v>2080</v>
      </c>
      <c r="X1284" t="s">
        <v>188</v>
      </c>
      <c r="Y1284" t="s">
        <v>36</v>
      </c>
      <c r="Z1284">
        <v>420.93</v>
      </c>
    </row>
    <row r="1285" spans="1:26" x14ac:dyDescent="0.25">
      <c r="A1285">
        <v>101283</v>
      </c>
      <c r="B1285" s="3">
        <v>45709</v>
      </c>
      <c r="C1285" s="3">
        <v>45712</v>
      </c>
      <c r="D1285" s="3">
        <v>45736</v>
      </c>
      <c r="E1285" t="s">
        <v>3266</v>
      </c>
      <c r="F1285" t="s">
        <v>54</v>
      </c>
      <c r="G1285" t="s">
        <v>193</v>
      </c>
      <c r="H1285" t="s">
        <v>3267</v>
      </c>
      <c r="I1285" t="s">
        <v>177</v>
      </c>
      <c r="J1285" t="s">
        <v>29</v>
      </c>
      <c r="K1285" t="s">
        <v>1533</v>
      </c>
      <c r="L1285" t="s">
        <v>91</v>
      </c>
      <c r="M1285" t="s">
        <v>25</v>
      </c>
      <c r="N1285" t="s">
        <v>55</v>
      </c>
      <c r="O1285" t="s">
        <v>56</v>
      </c>
      <c r="P1285" t="s">
        <v>76</v>
      </c>
      <c r="Q1285">
        <v>194</v>
      </c>
      <c r="R1285">
        <v>66.430000000000007</v>
      </c>
      <c r="S1285">
        <v>12887.42</v>
      </c>
      <c r="T1285">
        <v>11.55</v>
      </c>
      <c r="U1285">
        <v>24</v>
      </c>
      <c r="V1285">
        <v>27</v>
      </c>
      <c r="W1285">
        <v>1389</v>
      </c>
      <c r="X1285" t="s">
        <v>188</v>
      </c>
      <c r="Y1285" t="s">
        <v>36</v>
      </c>
      <c r="Z1285">
        <v>1446.48</v>
      </c>
    </row>
    <row r="1286" spans="1:26" x14ac:dyDescent="0.25">
      <c r="A1286">
        <v>101284</v>
      </c>
      <c r="B1286" s="3">
        <v>45568</v>
      </c>
      <c r="C1286" s="3">
        <v>45572</v>
      </c>
      <c r="D1286" s="3">
        <v>45595</v>
      </c>
      <c r="E1286" t="s">
        <v>3268</v>
      </c>
      <c r="F1286" t="s">
        <v>25</v>
      </c>
      <c r="G1286" t="s">
        <v>169</v>
      </c>
      <c r="H1286" t="s">
        <v>3269</v>
      </c>
      <c r="I1286" t="s">
        <v>149</v>
      </c>
      <c r="J1286" t="s">
        <v>42</v>
      </c>
      <c r="K1286" t="s">
        <v>1192</v>
      </c>
      <c r="L1286" t="s">
        <v>44</v>
      </c>
      <c r="M1286" t="s">
        <v>38</v>
      </c>
      <c r="N1286" t="s">
        <v>203</v>
      </c>
      <c r="O1286" t="s">
        <v>204</v>
      </c>
      <c r="P1286" t="s">
        <v>76</v>
      </c>
      <c r="Q1286">
        <v>479</v>
      </c>
      <c r="R1286">
        <v>286.95999999999998</v>
      </c>
      <c r="S1286">
        <v>137453.84</v>
      </c>
      <c r="T1286">
        <v>16.75</v>
      </c>
      <c r="U1286">
        <v>23</v>
      </c>
      <c r="V1286">
        <v>27</v>
      </c>
      <c r="W1286">
        <v>191</v>
      </c>
      <c r="X1286" t="s">
        <v>188</v>
      </c>
      <c r="Y1286" t="s">
        <v>36</v>
      </c>
      <c r="Z1286">
        <v>23525.47</v>
      </c>
    </row>
    <row r="1287" spans="1:26" x14ac:dyDescent="0.25">
      <c r="A1287">
        <v>101285</v>
      </c>
      <c r="B1287" s="3">
        <v>45647</v>
      </c>
      <c r="C1287" s="3">
        <v>45651</v>
      </c>
      <c r="D1287" s="3">
        <v>45657</v>
      </c>
      <c r="E1287" t="s">
        <v>3270</v>
      </c>
      <c r="F1287" t="s">
        <v>65</v>
      </c>
      <c r="G1287" t="s">
        <v>142</v>
      </c>
      <c r="H1287" t="s">
        <v>3271</v>
      </c>
      <c r="I1287" t="s">
        <v>139</v>
      </c>
      <c r="J1287" t="s">
        <v>42</v>
      </c>
      <c r="K1287" t="s">
        <v>1231</v>
      </c>
      <c r="L1287" t="s">
        <v>64</v>
      </c>
      <c r="M1287" t="s">
        <v>65</v>
      </c>
      <c r="N1287" t="s">
        <v>66</v>
      </c>
      <c r="O1287" t="s">
        <v>67</v>
      </c>
      <c r="P1287" t="s">
        <v>35</v>
      </c>
      <c r="Q1287">
        <v>73</v>
      </c>
      <c r="R1287">
        <v>108.53</v>
      </c>
      <c r="S1287">
        <v>7922.69</v>
      </c>
      <c r="T1287">
        <v>10.77</v>
      </c>
      <c r="U1287">
        <v>6</v>
      </c>
      <c r="V1287">
        <v>10</v>
      </c>
      <c r="W1287">
        <v>288</v>
      </c>
      <c r="X1287" t="s">
        <v>188</v>
      </c>
      <c r="Y1287" t="s">
        <v>36</v>
      </c>
      <c r="Z1287">
        <v>1642.37</v>
      </c>
    </row>
    <row r="1288" spans="1:26" x14ac:dyDescent="0.25">
      <c r="A1288">
        <v>101286</v>
      </c>
      <c r="B1288" s="3">
        <v>45872</v>
      </c>
      <c r="C1288" s="3">
        <v>45873</v>
      </c>
      <c r="D1288" s="3">
        <v>45889</v>
      </c>
      <c r="E1288" t="s">
        <v>3272</v>
      </c>
      <c r="F1288" t="s">
        <v>65</v>
      </c>
      <c r="G1288" t="s">
        <v>70</v>
      </c>
      <c r="H1288" t="s">
        <v>3273</v>
      </c>
      <c r="I1288" t="s">
        <v>72</v>
      </c>
      <c r="J1288" t="s">
        <v>42</v>
      </c>
      <c r="K1288" t="s">
        <v>275</v>
      </c>
      <c r="L1288" t="s">
        <v>31</v>
      </c>
      <c r="M1288" t="s">
        <v>54</v>
      </c>
      <c r="N1288" t="s">
        <v>33</v>
      </c>
      <c r="O1288" t="s">
        <v>34</v>
      </c>
      <c r="P1288" t="s">
        <v>76</v>
      </c>
      <c r="Q1288">
        <v>77</v>
      </c>
      <c r="R1288">
        <v>365.73</v>
      </c>
      <c r="S1288">
        <v>28161.21</v>
      </c>
      <c r="T1288">
        <v>9.42</v>
      </c>
      <c r="U1288">
        <v>16</v>
      </c>
      <c r="V1288">
        <v>17</v>
      </c>
      <c r="W1288">
        <v>880</v>
      </c>
      <c r="X1288" t="s">
        <v>188</v>
      </c>
      <c r="Y1288" t="s">
        <v>36</v>
      </c>
      <c r="Z1288">
        <v>3554.63</v>
      </c>
    </row>
    <row r="1289" spans="1:26" x14ac:dyDescent="0.25">
      <c r="A1289">
        <v>101287</v>
      </c>
      <c r="B1289" s="3">
        <v>45751</v>
      </c>
      <c r="C1289" s="3">
        <v>45756</v>
      </c>
      <c r="D1289" s="3">
        <v>45759</v>
      </c>
      <c r="E1289" t="s">
        <v>3274</v>
      </c>
      <c r="F1289" t="s">
        <v>32</v>
      </c>
      <c r="G1289" t="s">
        <v>110</v>
      </c>
      <c r="H1289" t="s">
        <v>3275</v>
      </c>
      <c r="I1289" t="s">
        <v>368</v>
      </c>
      <c r="J1289" t="s">
        <v>29</v>
      </c>
      <c r="K1289" t="s">
        <v>3276</v>
      </c>
      <c r="L1289" t="s">
        <v>113</v>
      </c>
      <c r="M1289" t="s">
        <v>25</v>
      </c>
      <c r="N1289" t="s">
        <v>102</v>
      </c>
      <c r="O1289" t="s">
        <v>103</v>
      </c>
      <c r="P1289" t="s">
        <v>35</v>
      </c>
      <c r="Q1289">
        <v>485</v>
      </c>
      <c r="R1289">
        <v>76.81</v>
      </c>
      <c r="S1289">
        <v>37252.85</v>
      </c>
      <c r="T1289">
        <v>26.22</v>
      </c>
      <c r="U1289">
        <v>3</v>
      </c>
      <c r="V1289">
        <v>8</v>
      </c>
      <c r="W1289">
        <v>858</v>
      </c>
      <c r="X1289" t="s">
        <v>188</v>
      </c>
      <c r="Y1289" t="s">
        <v>36</v>
      </c>
      <c r="Z1289">
        <v>6174.35</v>
      </c>
    </row>
    <row r="1290" spans="1:26" x14ac:dyDescent="0.25">
      <c r="A1290">
        <v>101288</v>
      </c>
      <c r="B1290" s="3">
        <v>45440</v>
      </c>
      <c r="C1290" s="3">
        <v>45443</v>
      </c>
      <c r="D1290" s="3">
        <v>45444</v>
      </c>
      <c r="E1290" t="s">
        <v>3277</v>
      </c>
      <c r="F1290" t="s">
        <v>38</v>
      </c>
      <c r="G1290" t="s">
        <v>83</v>
      </c>
      <c r="H1290" t="s">
        <v>3278</v>
      </c>
      <c r="I1290" t="s">
        <v>134</v>
      </c>
      <c r="J1290" t="s">
        <v>52</v>
      </c>
      <c r="K1290" t="s">
        <v>183</v>
      </c>
      <c r="L1290" t="s">
        <v>212</v>
      </c>
      <c r="M1290" t="s">
        <v>25</v>
      </c>
      <c r="N1290" t="s">
        <v>151</v>
      </c>
      <c r="O1290" t="s">
        <v>152</v>
      </c>
      <c r="P1290" t="s">
        <v>68</v>
      </c>
      <c r="Q1290">
        <v>227</v>
      </c>
      <c r="R1290">
        <v>80.790000000000006</v>
      </c>
      <c r="S1290">
        <v>18339.330000000002</v>
      </c>
      <c r="T1290">
        <v>43.22</v>
      </c>
      <c r="U1290">
        <v>1</v>
      </c>
      <c r="V1290">
        <v>4</v>
      </c>
      <c r="W1290">
        <v>1971</v>
      </c>
      <c r="X1290" t="s">
        <v>3741</v>
      </c>
      <c r="Y1290" t="s">
        <v>36</v>
      </c>
      <c r="Z1290">
        <v>2898.28</v>
      </c>
    </row>
    <row r="1291" spans="1:26" x14ac:dyDescent="0.25">
      <c r="A1291">
        <v>101289</v>
      </c>
      <c r="B1291" s="3">
        <v>45954</v>
      </c>
      <c r="C1291" s="3">
        <v>45959</v>
      </c>
      <c r="D1291" s="3">
        <v>45973</v>
      </c>
      <c r="E1291" t="s">
        <v>3279</v>
      </c>
      <c r="F1291" t="s">
        <v>65</v>
      </c>
      <c r="G1291" t="s">
        <v>154</v>
      </c>
      <c r="H1291" t="s">
        <v>3280</v>
      </c>
      <c r="I1291" t="s">
        <v>238</v>
      </c>
      <c r="J1291" t="s">
        <v>62</v>
      </c>
      <c r="K1291" t="s">
        <v>1943</v>
      </c>
      <c r="L1291" t="s">
        <v>118</v>
      </c>
      <c r="M1291" t="s">
        <v>38</v>
      </c>
      <c r="N1291" t="s">
        <v>55</v>
      </c>
      <c r="O1291" t="s">
        <v>56</v>
      </c>
      <c r="P1291" t="s">
        <v>76</v>
      </c>
      <c r="Q1291">
        <v>376</v>
      </c>
      <c r="R1291">
        <v>25.37</v>
      </c>
      <c r="S1291">
        <v>9539.1200000000008</v>
      </c>
      <c r="T1291">
        <v>14.87</v>
      </c>
      <c r="U1291">
        <v>14</v>
      </c>
      <c r="V1291">
        <v>19</v>
      </c>
      <c r="W1291">
        <v>1739</v>
      </c>
      <c r="X1291" t="s">
        <v>188</v>
      </c>
      <c r="Y1291" t="s">
        <v>36</v>
      </c>
      <c r="Z1291">
        <v>1157.0999999999999</v>
      </c>
    </row>
    <row r="1292" spans="1:26" x14ac:dyDescent="0.25">
      <c r="A1292">
        <v>101290</v>
      </c>
      <c r="B1292" s="3">
        <v>45934</v>
      </c>
      <c r="C1292" s="3">
        <v>45937</v>
      </c>
      <c r="D1292" s="3">
        <v>45951</v>
      </c>
      <c r="E1292" t="s">
        <v>3281</v>
      </c>
      <c r="F1292" t="s">
        <v>54</v>
      </c>
      <c r="G1292" t="s">
        <v>225</v>
      </c>
      <c r="H1292" t="s">
        <v>3282</v>
      </c>
      <c r="I1292" t="s">
        <v>238</v>
      </c>
      <c r="J1292" t="s">
        <v>62</v>
      </c>
      <c r="K1292" t="s">
        <v>2841</v>
      </c>
      <c r="L1292" t="s">
        <v>187</v>
      </c>
      <c r="M1292" t="s">
        <v>38</v>
      </c>
      <c r="N1292" t="s">
        <v>66</v>
      </c>
      <c r="O1292" t="s">
        <v>67</v>
      </c>
      <c r="P1292" t="s">
        <v>123</v>
      </c>
      <c r="Q1292">
        <v>111</v>
      </c>
      <c r="R1292">
        <v>13</v>
      </c>
      <c r="S1292">
        <v>1443</v>
      </c>
      <c r="T1292">
        <v>13.39</v>
      </c>
      <c r="U1292">
        <v>14</v>
      </c>
      <c r="V1292">
        <v>17</v>
      </c>
      <c r="W1292">
        <v>2551</v>
      </c>
      <c r="X1292" t="s">
        <v>188</v>
      </c>
      <c r="Y1292" t="s">
        <v>36</v>
      </c>
      <c r="Z1292">
        <v>87.59</v>
      </c>
    </row>
    <row r="1293" spans="1:26" x14ac:dyDescent="0.25">
      <c r="A1293">
        <v>101291</v>
      </c>
      <c r="B1293" s="3">
        <v>45307</v>
      </c>
      <c r="C1293" s="3">
        <v>45311</v>
      </c>
      <c r="D1293" s="3">
        <v>45328</v>
      </c>
      <c r="E1293" t="s">
        <v>2408</v>
      </c>
      <c r="F1293" t="s">
        <v>32</v>
      </c>
      <c r="G1293" t="s">
        <v>137</v>
      </c>
      <c r="H1293" t="s">
        <v>3283</v>
      </c>
      <c r="I1293" t="s">
        <v>134</v>
      </c>
      <c r="J1293" t="s">
        <v>52</v>
      </c>
      <c r="K1293" t="s">
        <v>452</v>
      </c>
      <c r="L1293" t="s">
        <v>187</v>
      </c>
      <c r="M1293" t="s">
        <v>65</v>
      </c>
      <c r="N1293" t="s">
        <v>45</v>
      </c>
      <c r="O1293" t="s">
        <v>46</v>
      </c>
      <c r="P1293" t="s">
        <v>76</v>
      </c>
      <c r="Q1293">
        <v>223</v>
      </c>
      <c r="R1293">
        <v>49.33</v>
      </c>
      <c r="S1293">
        <v>11000.59</v>
      </c>
      <c r="T1293">
        <v>12.08</v>
      </c>
      <c r="U1293">
        <v>17</v>
      </c>
      <c r="V1293">
        <v>21</v>
      </c>
      <c r="W1293">
        <v>3212</v>
      </c>
      <c r="X1293" t="s">
        <v>3742</v>
      </c>
      <c r="Y1293" t="s">
        <v>188</v>
      </c>
      <c r="Z1293">
        <v>1621.75</v>
      </c>
    </row>
    <row r="1294" spans="1:26" x14ac:dyDescent="0.25">
      <c r="A1294">
        <v>101292</v>
      </c>
      <c r="B1294" s="3">
        <v>46001</v>
      </c>
      <c r="C1294" s="3">
        <v>46004</v>
      </c>
      <c r="D1294" s="3">
        <v>46015</v>
      </c>
      <c r="E1294" t="s">
        <v>3284</v>
      </c>
      <c r="F1294" t="s">
        <v>54</v>
      </c>
      <c r="G1294" t="s">
        <v>193</v>
      </c>
      <c r="H1294" t="s">
        <v>3285</v>
      </c>
      <c r="I1294" t="s">
        <v>207</v>
      </c>
      <c r="J1294" t="s">
        <v>80</v>
      </c>
      <c r="K1294" t="s">
        <v>300</v>
      </c>
      <c r="L1294" t="s">
        <v>113</v>
      </c>
      <c r="M1294" t="s">
        <v>38</v>
      </c>
      <c r="N1294" t="s">
        <v>107</v>
      </c>
      <c r="O1294" t="s">
        <v>108</v>
      </c>
      <c r="P1294" t="s">
        <v>123</v>
      </c>
      <c r="Q1294">
        <v>50</v>
      </c>
      <c r="R1294">
        <v>256.37</v>
      </c>
      <c r="S1294">
        <v>12818.5</v>
      </c>
      <c r="T1294">
        <v>11.91</v>
      </c>
      <c r="U1294">
        <v>11</v>
      </c>
      <c r="V1294">
        <v>14</v>
      </c>
      <c r="W1294">
        <v>617</v>
      </c>
      <c r="X1294" t="s">
        <v>3742</v>
      </c>
      <c r="Y1294" t="s">
        <v>57</v>
      </c>
      <c r="Z1294">
        <v>3111.99</v>
      </c>
    </row>
    <row r="1295" spans="1:26" x14ac:dyDescent="0.25">
      <c r="A1295">
        <v>101293</v>
      </c>
      <c r="B1295" s="3">
        <v>45843</v>
      </c>
      <c r="C1295" s="3">
        <v>45843</v>
      </c>
      <c r="D1295" s="3">
        <v>45845</v>
      </c>
      <c r="E1295" t="s">
        <v>3286</v>
      </c>
      <c r="F1295" t="s">
        <v>54</v>
      </c>
      <c r="G1295" t="s">
        <v>225</v>
      </c>
      <c r="H1295" t="s">
        <v>3287</v>
      </c>
      <c r="I1295" t="s">
        <v>238</v>
      </c>
      <c r="J1295" t="s">
        <v>62</v>
      </c>
      <c r="K1295" t="s">
        <v>1832</v>
      </c>
      <c r="L1295" t="s">
        <v>44</v>
      </c>
      <c r="M1295" t="s">
        <v>65</v>
      </c>
      <c r="N1295" t="s">
        <v>203</v>
      </c>
      <c r="O1295" t="s">
        <v>204</v>
      </c>
      <c r="P1295" t="s">
        <v>68</v>
      </c>
      <c r="Q1295">
        <v>274</v>
      </c>
      <c r="R1295">
        <v>23.27</v>
      </c>
      <c r="S1295">
        <v>6375.98</v>
      </c>
      <c r="T1295">
        <v>46.27</v>
      </c>
      <c r="U1295">
        <v>2</v>
      </c>
      <c r="V1295">
        <v>2</v>
      </c>
      <c r="W1295">
        <v>2190</v>
      </c>
      <c r="X1295" t="s">
        <v>3741</v>
      </c>
      <c r="Y1295" t="s">
        <v>36</v>
      </c>
      <c r="Z1295">
        <v>838.6</v>
      </c>
    </row>
    <row r="1296" spans="1:26" x14ac:dyDescent="0.25">
      <c r="A1296">
        <v>101294</v>
      </c>
      <c r="B1296" s="3">
        <v>45393</v>
      </c>
      <c r="C1296" s="3">
        <v>45393</v>
      </c>
      <c r="D1296" s="3">
        <v>45394</v>
      </c>
      <c r="E1296" t="s">
        <v>3288</v>
      </c>
      <c r="F1296" t="s">
        <v>25</v>
      </c>
      <c r="G1296" t="s">
        <v>26</v>
      </c>
      <c r="H1296" t="s">
        <v>3289</v>
      </c>
      <c r="I1296" t="s">
        <v>41</v>
      </c>
      <c r="J1296" t="s">
        <v>42</v>
      </c>
      <c r="K1296" t="s">
        <v>562</v>
      </c>
      <c r="L1296" t="s">
        <v>31</v>
      </c>
      <c r="M1296" t="s">
        <v>25</v>
      </c>
      <c r="N1296" t="s">
        <v>66</v>
      </c>
      <c r="O1296" t="s">
        <v>67</v>
      </c>
      <c r="P1296" t="s">
        <v>68</v>
      </c>
      <c r="Q1296">
        <v>236</v>
      </c>
      <c r="R1296">
        <v>121.85</v>
      </c>
      <c r="S1296">
        <v>28756.6</v>
      </c>
      <c r="T1296">
        <v>32.450000000000003</v>
      </c>
      <c r="U1296">
        <v>1</v>
      </c>
      <c r="V1296">
        <v>1</v>
      </c>
      <c r="W1296">
        <v>366</v>
      </c>
      <c r="X1296" t="s">
        <v>3741</v>
      </c>
      <c r="Y1296" t="s">
        <v>36</v>
      </c>
      <c r="Z1296">
        <v>3086.4</v>
      </c>
    </row>
    <row r="1297" spans="1:26" x14ac:dyDescent="0.25">
      <c r="A1297">
        <v>101295</v>
      </c>
      <c r="B1297" s="3">
        <v>45938</v>
      </c>
      <c r="C1297" s="3">
        <v>45941</v>
      </c>
      <c r="D1297" s="3">
        <v>45949</v>
      </c>
      <c r="E1297" t="s">
        <v>3290</v>
      </c>
      <c r="F1297" t="s">
        <v>25</v>
      </c>
      <c r="G1297" t="s">
        <v>26</v>
      </c>
      <c r="H1297" t="s">
        <v>3291</v>
      </c>
      <c r="I1297" t="s">
        <v>368</v>
      </c>
      <c r="J1297" t="s">
        <v>29</v>
      </c>
      <c r="K1297" t="s">
        <v>3292</v>
      </c>
      <c r="L1297" t="s">
        <v>113</v>
      </c>
      <c r="M1297" t="s">
        <v>25</v>
      </c>
      <c r="N1297" t="s">
        <v>203</v>
      </c>
      <c r="O1297" t="s">
        <v>204</v>
      </c>
      <c r="P1297" t="s">
        <v>35</v>
      </c>
      <c r="Q1297">
        <v>30</v>
      </c>
      <c r="R1297">
        <v>15.75</v>
      </c>
      <c r="S1297">
        <v>472.5</v>
      </c>
      <c r="T1297">
        <v>9.8699999999999992</v>
      </c>
      <c r="U1297">
        <v>8</v>
      </c>
      <c r="V1297">
        <v>11</v>
      </c>
      <c r="W1297">
        <v>824</v>
      </c>
      <c r="X1297" t="s">
        <v>188</v>
      </c>
      <c r="Y1297" t="s">
        <v>36</v>
      </c>
      <c r="Z1297">
        <v>50.61</v>
      </c>
    </row>
    <row r="1298" spans="1:26" x14ac:dyDescent="0.25">
      <c r="A1298">
        <v>101296</v>
      </c>
      <c r="B1298" s="3">
        <v>45483</v>
      </c>
      <c r="C1298" s="3">
        <v>45484</v>
      </c>
      <c r="D1298" s="3">
        <v>45501</v>
      </c>
      <c r="E1298" t="s">
        <v>3293</v>
      </c>
      <c r="F1298" t="s">
        <v>54</v>
      </c>
      <c r="G1298" t="s">
        <v>129</v>
      </c>
      <c r="H1298" t="s">
        <v>3294</v>
      </c>
      <c r="I1298" t="s">
        <v>144</v>
      </c>
      <c r="J1298" t="s">
        <v>52</v>
      </c>
      <c r="K1298" t="s">
        <v>1158</v>
      </c>
      <c r="L1298" t="s">
        <v>44</v>
      </c>
      <c r="M1298" t="s">
        <v>54</v>
      </c>
      <c r="N1298" t="s">
        <v>151</v>
      </c>
      <c r="O1298" t="s">
        <v>152</v>
      </c>
      <c r="P1298" t="s">
        <v>76</v>
      </c>
      <c r="Q1298">
        <v>478</v>
      </c>
      <c r="R1298">
        <v>23.83</v>
      </c>
      <c r="S1298">
        <v>11390.74</v>
      </c>
      <c r="T1298">
        <v>12.39</v>
      </c>
      <c r="U1298">
        <v>17</v>
      </c>
      <c r="V1298">
        <v>18</v>
      </c>
      <c r="W1298">
        <v>1055</v>
      </c>
      <c r="X1298" t="s">
        <v>3742</v>
      </c>
      <c r="Y1298" t="s">
        <v>188</v>
      </c>
      <c r="Z1298">
        <v>827.96</v>
      </c>
    </row>
    <row r="1299" spans="1:26" x14ac:dyDescent="0.25">
      <c r="A1299">
        <v>101297</v>
      </c>
      <c r="B1299" s="3">
        <v>45724</v>
      </c>
      <c r="C1299" s="3">
        <v>45724</v>
      </c>
      <c r="D1299" s="3">
        <v>45734</v>
      </c>
      <c r="E1299" t="s">
        <v>3295</v>
      </c>
      <c r="F1299" t="s">
        <v>25</v>
      </c>
      <c r="G1299" t="s">
        <v>26</v>
      </c>
      <c r="H1299" t="s">
        <v>3296</v>
      </c>
      <c r="I1299" t="s">
        <v>79</v>
      </c>
      <c r="J1299" t="s">
        <v>80</v>
      </c>
      <c r="K1299" t="s">
        <v>3297</v>
      </c>
      <c r="L1299" t="s">
        <v>64</v>
      </c>
      <c r="M1299" t="s">
        <v>32</v>
      </c>
      <c r="N1299" t="s">
        <v>102</v>
      </c>
      <c r="O1299" t="s">
        <v>103</v>
      </c>
      <c r="P1299" t="s">
        <v>76</v>
      </c>
      <c r="Q1299">
        <v>53</v>
      </c>
      <c r="R1299">
        <v>48.68</v>
      </c>
      <c r="S1299">
        <v>2580.04</v>
      </c>
      <c r="T1299">
        <v>8.98</v>
      </c>
      <c r="U1299">
        <v>10</v>
      </c>
      <c r="V1299">
        <v>10</v>
      </c>
      <c r="W1299">
        <v>488</v>
      </c>
      <c r="X1299" t="s">
        <v>188</v>
      </c>
      <c r="Y1299" t="s">
        <v>36</v>
      </c>
      <c r="Z1299">
        <v>375.05</v>
      </c>
    </row>
    <row r="1300" spans="1:26" x14ac:dyDescent="0.25">
      <c r="A1300">
        <v>101298</v>
      </c>
      <c r="B1300" s="3">
        <v>45712</v>
      </c>
      <c r="C1300" s="3">
        <v>45712</v>
      </c>
      <c r="D1300" s="3">
        <v>45722</v>
      </c>
      <c r="E1300" t="s">
        <v>3298</v>
      </c>
      <c r="F1300" t="s">
        <v>38</v>
      </c>
      <c r="G1300" t="s">
        <v>39</v>
      </c>
      <c r="H1300" t="s">
        <v>3299</v>
      </c>
      <c r="I1300" t="s">
        <v>116</v>
      </c>
      <c r="J1300" t="s">
        <v>62</v>
      </c>
      <c r="K1300" t="s">
        <v>1897</v>
      </c>
      <c r="L1300" t="s">
        <v>31</v>
      </c>
      <c r="M1300" t="s">
        <v>32</v>
      </c>
      <c r="N1300" t="s">
        <v>33</v>
      </c>
      <c r="O1300" t="s">
        <v>34</v>
      </c>
      <c r="P1300" t="s">
        <v>35</v>
      </c>
      <c r="Q1300">
        <v>359</v>
      </c>
      <c r="R1300">
        <v>16.02</v>
      </c>
      <c r="S1300">
        <v>5751.18</v>
      </c>
      <c r="T1300">
        <v>22.65</v>
      </c>
      <c r="U1300">
        <v>10</v>
      </c>
      <c r="V1300">
        <v>10</v>
      </c>
      <c r="W1300">
        <v>2159</v>
      </c>
      <c r="X1300" t="s">
        <v>188</v>
      </c>
      <c r="Y1300" t="s">
        <v>36</v>
      </c>
      <c r="Z1300">
        <v>710.04</v>
      </c>
    </row>
    <row r="1301" spans="1:26" x14ac:dyDescent="0.25">
      <c r="A1301">
        <v>101299</v>
      </c>
      <c r="B1301" s="3">
        <v>45347</v>
      </c>
      <c r="C1301" s="3">
        <v>45349</v>
      </c>
      <c r="D1301" s="3">
        <v>45351</v>
      </c>
      <c r="E1301" t="s">
        <v>3300</v>
      </c>
      <c r="F1301" t="s">
        <v>32</v>
      </c>
      <c r="G1301" t="s">
        <v>110</v>
      </c>
      <c r="H1301" t="s">
        <v>3301</v>
      </c>
      <c r="I1301" t="s">
        <v>246</v>
      </c>
      <c r="J1301" t="s">
        <v>29</v>
      </c>
      <c r="K1301" t="s">
        <v>265</v>
      </c>
      <c r="L1301" t="s">
        <v>91</v>
      </c>
      <c r="M1301" t="s">
        <v>54</v>
      </c>
      <c r="N1301" t="s">
        <v>203</v>
      </c>
      <c r="O1301" t="s">
        <v>204</v>
      </c>
      <c r="P1301" t="s">
        <v>68</v>
      </c>
      <c r="Q1301">
        <v>73</v>
      </c>
      <c r="R1301">
        <v>102.83</v>
      </c>
      <c r="S1301">
        <v>7506.59</v>
      </c>
      <c r="T1301">
        <v>33.24</v>
      </c>
      <c r="U1301">
        <v>2</v>
      </c>
      <c r="V1301">
        <v>4</v>
      </c>
      <c r="W1301">
        <v>1515</v>
      </c>
      <c r="X1301" t="s">
        <v>3741</v>
      </c>
      <c r="Y1301" t="s">
        <v>36</v>
      </c>
      <c r="Z1301">
        <v>804.02</v>
      </c>
    </row>
    <row r="1302" spans="1:26" x14ac:dyDescent="0.25">
      <c r="A1302">
        <v>101300</v>
      </c>
      <c r="B1302" s="3">
        <v>45317</v>
      </c>
      <c r="C1302" s="3">
        <v>45321</v>
      </c>
      <c r="D1302" s="3">
        <v>45340</v>
      </c>
      <c r="E1302" t="s">
        <v>3302</v>
      </c>
      <c r="F1302" t="s">
        <v>65</v>
      </c>
      <c r="G1302" t="s">
        <v>70</v>
      </c>
      <c r="H1302" t="s">
        <v>3303</v>
      </c>
      <c r="I1302" t="s">
        <v>28</v>
      </c>
      <c r="J1302" t="s">
        <v>29</v>
      </c>
      <c r="K1302" t="s">
        <v>3304</v>
      </c>
      <c r="L1302" t="s">
        <v>118</v>
      </c>
      <c r="M1302" t="s">
        <v>25</v>
      </c>
      <c r="N1302" t="s">
        <v>107</v>
      </c>
      <c r="O1302" t="s">
        <v>108</v>
      </c>
      <c r="P1302" t="s">
        <v>76</v>
      </c>
      <c r="Q1302">
        <v>429</v>
      </c>
      <c r="R1302">
        <v>71.400000000000006</v>
      </c>
      <c r="S1302">
        <v>30630.6</v>
      </c>
      <c r="T1302">
        <v>15.84</v>
      </c>
      <c r="U1302">
        <v>19</v>
      </c>
      <c r="V1302">
        <v>23</v>
      </c>
      <c r="W1302">
        <v>800</v>
      </c>
      <c r="X1302" t="s">
        <v>188</v>
      </c>
      <c r="Y1302" t="s">
        <v>36</v>
      </c>
      <c r="Z1302">
        <v>5423.43</v>
      </c>
    </row>
    <row r="1303" spans="1:26" x14ac:dyDescent="0.25">
      <c r="A1303">
        <v>101301</v>
      </c>
      <c r="B1303" s="3">
        <v>45863</v>
      </c>
      <c r="C1303" s="3">
        <v>45868</v>
      </c>
      <c r="D1303" s="3">
        <v>45873</v>
      </c>
      <c r="E1303" t="s">
        <v>3305</v>
      </c>
      <c r="F1303" t="s">
        <v>54</v>
      </c>
      <c r="G1303" t="s">
        <v>165</v>
      </c>
      <c r="H1303" t="s">
        <v>3306</v>
      </c>
      <c r="I1303" t="s">
        <v>28</v>
      </c>
      <c r="J1303" t="s">
        <v>29</v>
      </c>
      <c r="K1303" t="s">
        <v>1885</v>
      </c>
      <c r="L1303" t="s">
        <v>187</v>
      </c>
      <c r="M1303" t="s">
        <v>38</v>
      </c>
      <c r="N1303" t="s">
        <v>203</v>
      </c>
      <c r="O1303" t="s">
        <v>204</v>
      </c>
      <c r="P1303" t="s">
        <v>68</v>
      </c>
      <c r="Q1303">
        <v>342</v>
      </c>
      <c r="R1303">
        <v>54.93</v>
      </c>
      <c r="S1303">
        <v>18786.060000000001</v>
      </c>
      <c r="T1303">
        <v>50.67</v>
      </c>
      <c r="U1303">
        <v>5</v>
      </c>
      <c r="V1303">
        <v>10</v>
      </c>
      <c r="W1303">
        <v>2400</v>
      </c>
      <c r="X1303" t="s">
        <v>188</v>
      </c>
      <c r="Y1303" t="s">
        <v>36</v>
      </c>
      <c r="Z1303">
        <v>2546.67</v>
      </c>
    </row>
    <row r="1304" spans="1:26" x14ac:dyDescent="0.25">
      <c r="A1304">
        <v>101302</v>
      </c>
      <c r="B1304" s="3">
        <v>45709</v>
      </c>
      <c r="C1304" s="3">
        <v>45710</v>
      </c>
      <c r="D1304" s="3">
        <v>45722</v>
      </c>
      <c r="E1304" t="s">
        <v>3307</v>
      </c>
      <c r="F1304" t="s">
        <v>65</v>
      </c>
      <c r="G1304" t="s">
        <v>142</v>
      </c>
      <c r="H1304" t="s">
        <v>3308</v>
      </c>
      <c r="I1304" t="s">
        <v>198</v>
      </c>
      <c r="J1304" t="s">
        <v>52</v>
      </c>
      <c r="K1304" t="s">
        <v>3309</v>
      </c>
      <c r="L1304" t="s">
        <v>113</v>
      </c>
      <c r="M1304" t="s">
        <v>38</v>
      </c>
      <c r="N1304" t="s">
        <v>92</v>
      </c>
      <c r="O1304" t="s">
        <v>93</v>
      </c>
      <c r="P1304" t="s">
        <v>76</v>
      </c>
      <c r="Q1304">
        <v>362</v>
      </c>
      <c r="R1304">
        <v>88.76</v>
      </c>
      <c r="S1304">
        <v>32131.119999999999</v>
      </c>
      <c r="T1304">
        <v>14.62</v>
      </c>
      <c r="U1304">
        <v>12</v>
      </c>
      <c r="V1304">
        <v>13</v>
      </c>
      <c r="W1304">
        <v>4026</v>
      </c>
      <c r="X1304" t="s">
        <v>188</v>
      </c>
      <c r="Y1304" t="s">
        <v>36</v>
      </c>
      <c r="Z1304">
        <v>2349.37</v>
      </c>
    </row>
    <row r="1305" spans="1:26" x14ac:dyDescent="0.25">
      <c r="A1305">
        <v>101303</v>
      </c>
      <c r="B1305" s="3">
        <v>45797</v>
      </c>
      <c r="C1305" s="3">
        <v>45802</v>
      </c>
      <c r="D1305" s="3">
        <v>45805</v>
      </c>
      <c r="E1305" t="s">
        <v>3310</v>
      </c>
      <c r="F1305" t="s">
        <v>65</v>
      </c>
      <c r="G1305" t="s">
        <v>70</v>
      </c>
      <c r="H1305" t="s">
        <v>3311</v>
      </c>
      <c r="I1305" t="s">
        <v>51</v>
      </c>
      <c r="J1305" t="s">
        <v>52</v>
      </c>
      <c r="K1305" t="s">
        <v>359</v>
      </c>
      <c r="L1305" t="s">
        <v>64</v>
      </c>
      <c r="M1305" t="s">
        <v>65</v>
      </c>
      <c r="N1305" t="s">
        <v>74</v>
      </c>
      <c r="O1305" t="s">
        <v>75</v>
      </c>
      <c r="P1305" t="s">
        <v>35</v>
      </c>
      <c r="Q1305">
        <v>343</v>
      </c>
      <c r="R1305">
        <v>42.3</v>
      </c>
      <c r="S1305">
        <v>14508.9</v>
      </c>
      <c r="T1305">
        <v>16.440000000000001</v>
      </c>
      <c r="U1305">
        <v>3</v>
      </c>
      <c r="V1305">
        <v>8</v>
      </c>
      <c r="W1305">
        <v>3362</v>
      </c>
      <c r="X1305" t="s">
        <v>188</v>
      </c>
      <c r="Y1305" t="s">
        <v>36</v>
      </c>
      <c r="Z1305">
        <v>30.58</v>
      </c>
    </row>
    <row r="1306" spans="1:26" x14ac:dyDescent="0.25">
      <c r="A1306">
        <v>101304</v>
      </c>
      <c r="B1306" s="3">
        <v>45840</v>
      </c>
      <c r="C1306" s="3">
        <v>45845</v>
      </c>
      <c r="D1306" s="3">
        <v>45855</v>
      </c>
      <c r="E1306" t="s">
        <v>3312</v>
      </c>
      <c r="F1306" t="s">
        <v>25</v>
      </c>
      <c r="G1306" t="s">
        <v>169</v>
      </c>
      <c r="H1306" t="s">
        <v>3313</v>
      </c>
      <c r="I1306" t="s">
        <v>61</v>
      </c>
      <c r="J1306" t="s">
        <v>62</v>
      </c>
      <c r="K1306" t="s">
        <v>907</v>
      </c>
      <c r="L1306" t="s">
        <v>64</v>
      </c>
      <c r="M1306" t="s">
        <v>25</v>
      </c>
      <c r="N1306" t="s">
        <v>33</v>
      </c>
      <c r="O1306" t="s">
        <v>34</v>
      </c>
      <c r="P1306" t="s">
        <v>35</v>
      </c>
      <c r="Q1306">
        <v>469</v>
      </c>
      <c r="R1306">
        <v>27.05</v>
      </c>
      <c r="S1306">
        <v>12686.45</v>
      </c>
      <c r="T1306">
        <v>19.09</v>
      </c>
      <c r="U1306">
        <v>10</v>
      </c>
      <c r="V1306">
        <v>15</v>
      </c>
      <c r="W1306">
        <v>3244</v>
      </c>
      <c r="X1306" t="s">
        <v>188</v>
      </c>
      <c r="Y1306" t="s">
        <v>36</v>
      </c>
      <c r="Z1306">
        <v>2211.5100000000002</v>
      </c>
    </row>
    <row r="1307" spans="1:26" x14ac:dyDescent="0.25">
      <c r="A1307">
        <v>101305</v>
      </c>
      <c r="B1307" s="3">
        <v>45427</v>
      </c>
      <c r="C1307" s="3">
        <v>45432</v>
      </c>
      <c r="D1307" s="3">
        <v>45437</v>
      </c>
      <c r="E1307" t="s">
        <v>3314</v>
      </c>
      <c r="F1307" t="s">
        <v>54</v>
      </c>
      <c r="G1307" t="s">
        <v>193</v>
      </c>
      <c r="H1307" t="s">
        <v>3315</v>
      </c>
      <c r="I1307" t="s">
        <v>149</v>
      </c>
      <c r="J1307" t="s">
        <v>42</v>
      </c>
      <c r="K1307" t="s">
        <v>907</v>
      </c>
      <c r="L1307" t="s">
        <v>118</v>
      </c>
      <c r="M1307" t="s">
        <v>32</v>
      </c>
      <c r="N1307" t="s">
        <v>203</v>
      </c>
      <c r="O1307" t="s">
        <v>204</v>
      </c>
      <c r="P1307" t="s">
        <v>123</v>
      </c>
      <c r="Q1307">
        <v>333</v>
      </c>
      <c r="R1307">
        <v>398.98</v>
      </c>
      <c r="S1307">
        <v>132860.34</v>
      </c>
      <c r="T1307">
        <v>18.78</v>
      </c>
      <c r="U1307">
        <v>5</v>
      </c>
      <c r="V1307">
        <v>10</v>
      </c>
      <c r="W1307">
        <v>1354</v>
      </c>
      <c r="X1307" t="s">
        <v>188</v>
      </c>
      <c r="Y1307" t="s">
        <v>36</v>
      </c>
      <c r="Z1307">
        <v>12629.23</v>
      </c>
    </row>
    <row r="1308" spans="1:26" x14ac:dyDescent="0.25">
      <c r="A1308">
        <v>101306</v>
      </c>
      <c r="B1308" s="3">
        <v>45931</v>
      </c>
      <c r="C1308" s="3">
        <v>45932</v>
      </c>
      <c r="D1308" s="3">
        <v>45944</v>
      </c>
      <c r="E1308" t="s">
        <v>3316</v>
      </c>
      <c r="F1308" t="s">
        <v>54</v>
      </c>
      <c r="G1308" t="s">
        <v>158</v>
      </c>
      <c r="H1308" t="s">
        <v>3317</v>
      </c>
      <c r="I1308" t="s">
        <v>238</v>
      </c>
      <c r="J1308" t="s">
        <v>62</v>
      </c>
      <c r="K1308" t="s">
        <v>2199</v>
      </c>
      <c r="L1308" t="s">
        <v>31</v>
      </c>
      <c r="M1308" t="s">
        <v>54</v>
      </c>
      <c r="N1308" t="s">
        <v>203</v>
      </c>
      <c r="O1308" t="s">
        <v>204</v>
      </c>
      <c r="P1308" t="s">
        <v>35</v>
      </c>
      <c r="Q1308">
        <v>233</v>
      </c>
      <c r="R1308">
        <v>10.3</v>
      </c>
      <c r="S1308">
        <v>2399.9</v>
      </c>
      <c r="T1308">
        <v>14.13</v>
      </c>
      <c r="U1308">
        <v>12</v>
      </c>
      <c r="V1308">
        <v>13</v>
      </c>
      <c r="W1308">
        <v>1752</v>
      </c>
      <c r="X1308" t="s">
        <v>3742</v>
      </c>
      <c r="Y1308" t="s">
        <v>188</v>
      </c>
      <c r="Z1308">
        <v>268.51</v>
      </c>
    </row>
    <row r="1309" spans="1:26" x14ac:dyDescent="0.25">
      <c r="A1309">
        <v>101307</v>
      </c>
      <c r="B1309" s="3">
        <v>45357</v>
      </c>
      <c r="C1309" s="3">
        <v>45361</v>
      </c>
      <c r="D1309" s="3">
        <v>45363</v>
      </c>
      <c r="E1309" t="s">
        <v>3169</v>
      </c>
      <c r="F1309" t="s">
        <v>65</v>
      </c>
      <c r="G1309" t="s">
        <v>154</v>
      </c>
      <c r="H1309" t="s">
        <v>3318</v>
      </c>
      <c r="I1309" t="s">
        <v>230</v>
      </c>
      <c r="J1309" t="s">
        <v>80</v>
      </c>
      <c r="K1309" t="s">
        <v>683</v>
      </c>
      <c r="L1309" t="s">
        <v>118</v>
      </c>
      <c r="M1309" t="s">
        <v>65</v>
      </c>
      <c r="N1309" t="s">
        <v>33</v>
      </c>
      <c r="O1309" t="s">
        <v>34</v>
      </c>
      <c r="P1309" t="s">
        <v>68</v>
      </c>
      <c r="Q1309">
        <v>133</v>
      </c>
      <c r="R1309">
        <v>128.01</v>
      </c>
      <c r="S1309">
        <v>17025.330000000002</v>
      </c>
      <c r="T1309">
        <v>27.5</v>
      </c>
      <c r="U1309">
        <v>2</v>
      </c>
      <c r="V1309">
        <v>6</v>
      </c>
      <c r="W1309">
        <v>1863</v>
      </c>
      <c r="X1309" t="s">
        <v>3741</v>
      </c>
      <c r="Y1309" t="s">
        <v>36</v>
      </c>
      <c r="Z1309">
        <v>4153.8900000000003</v>
      </c>
    </row>
    <row r="1310" spans="1:26" x14ac:dyDescent="0.25">
      <c r="A1310">
        <v>101308</v>
      </c>
      <c r="B1310" s="3">
        <v>46019</v>
      </c>
      <c r="C1310" s="3">
        <v>46023</v>
      </c>
      <c r="D1310" s="3">
        <v>46030</v>
      </c>
      <c r="E1310" t="s">
        <v>3319</v>
      </c>
      <c r="F1310" t="s">
        <v>54</v>
      </c>
      <c r="G1310" t="s">
        <v>193</v>
      </c>
      <c r="H1310" t="s">
        <v>3320</v>
      </c>
      <c r="I1310" t="s">
        <v>238</v>
      </c>
      <c r="J1310" t="s">
        <v>62</v>
      </c>
      <c r="K1310" t="s">
        <v>2062</v>
      </c>
      <c r="L1310" t="s">
        <v>91</v>
      </c>
      <c r="M1310" t="s">
        <v>25</v>
      </c>
      <c r="N1310" t="s">
        <v>74</v>
      </c>
      <c r="O1310" t="s">
        <v>75</v>
      </c>
      <c r="P1310" t="s">
        <v>123</v>
      </c>
      <c r="Q1310">
        <v>443</v>
      </c>
      <c r="R1310">
        <v>24.53</v>
      </c>
      <c r="S1310">
        <v>10866.79</v>
      </c>
      <c r="T1310">
        <v>21.46</v>
      </c>
      <c r="U1310">
        <v>7</v>
      </c>
      <c r="V1310">
        <v>11</v>
      </c>
      <c r="W1310">
        <v>4042</v>
      </c>
      <c r="X1310" t="s">
        <v>188</v>
      </c>
      <c r="Y1310" t="s">
        <v>36</v>
      </c>
      <c r="Z1310">
        <v>1391.14</v>
      </c>
    </row>
    <row r="1311" spans="1:26" x14ac:dyDescent="0.25">
      <c r="A1311">
        <v>101309</v>
      </c>
      <c r="B1311" s="3">
        <v>45486</v>
      </c>
      <c r="C1311" s="3">
        <v>45486</v>
      </c>
      <c r="D1311" s="3">
        <v>45508</v>
      </c>
      <c r="E1311" t="s">
        <v>3321</v>
      </c>
      <c r="F1311" t="s">
        <v>25</v>
      </c>
      <c r="G1311" t="s">
        <v>244</v>
      </c>
      <c r="H1311" t="s">
        <v>3322</v>
      </c>
      <c r="I1311" t="s">
        <v>246</v>
      </c>
      <c r="J1311" t="s">
        <v>29</v>
      </c>
      <c r="K1311" t="s">
        <v>3323</v>
      </c>
      <c r="L1311" t="s">
        <v>122</v>
      </c>
      <c r="M1311" t="s">
        <v>54</v>
      </c>
      <c r="N1311" t="s">
        <v>203</v>
      </c>
      <c r="O1311" t="s">
        <v>204</v>
      </c>
      <c r="P1311" t="s">
        <v>76</v>
      </c>
      <c r="Q1311">
        <v>163</v>
      </c>
      <c r="R1311">
        <v>67.92</v>
      </c>
      <c r="S1311">
        <v>11070.96</v>
      </c>
      <c r="T1311">
        <v>10.99</v>
      </c>
      <c r="U1311">
        <v>22</v>
      </c>
      <c r="V1311">
        <v>22</v>
      </c>
      <c r="W1311">
        <v>3029</v>
      </c>
      <c r="X1311" t="s">
        <v>3742</v>
      </c>
      <c r="Y1311" t="s">
        <v>188</v>
      </c>
      <c r="Z1311">
        <v>1744.4</v>
      </c>
    </row>
    <row r="1312" spans="1:26" x14ac:dyDescent="0.25">
      <c r="A1312">
        <v>101310</v>
      </c>
      <c r="B1312" s="3">
        <v>45557</v>
      </c>
      <c r="C1312" s="3">
        <v>45558</v>
      </c>
      <c r="D1312" s="3">
        <v>45562</v>
      </c>
      <c r="E1312" t="s">
        <v>3324</v>
      </c>
      <c r="F1312" t="s">
        <v>25</v>
      </c>
      <c r="G1312" t="s">
        <v>244</v>
      </c>
      <c r="H1312" t="s">
        <v>3325</v>
      </c>
      <c r="I1312" t="s">
        <v>61</v>
      </c>
      <c r="J1312" t="s">
        <v>62</v>
      </c>
      <c r="K1312" t="s">
        <v>3326</v>
      </c>
      <c r="L1312" t="s">
        <v>98</v>
      </c>
      <c r="M1312" t="s">
        <v>25</v>
      </c>
      <c r="N1312" t="s">
        <v>203</v>
      </c>
      <c r="O1312" t="s">
        <v>204</v>
      </c>
      <c r="P1312" t="s">
        <v>68</v>
      </c>
      <c r="Q1312">
        <v>149</v>
      </c>
      <c r="R1312">
        <v>7.15</v>
      </c>
      <c r="S1312">
        <v>1065.3499999999999</v>
      </c>
      <c r="T1312">
        <v>28.27</v>
      </c>
      <c r="U1312">
        <v>4</v>
      </c>
      <c r="V1312">
        <v>5</v>
      </c>
      <c r="W1312">
        <v>4259</v>
      </c>
      <c r="X1312" t="s">
        <v>3742</v>
      </c>
      <c r="Y1312" t="s">
        <v>57</v>
      </c>
      <c r="Z1312">
        <v>100.52</v>
      </c>
    </row>
    <row r="1313" spans="1:26" x14ac:dyDescent="0.25">
      <c r="A1313">
        <v>101311</v>
      </c>
      <c r="B1313" s="3">
        <v>45334</v>
      </c>
      <c r="C1313" s="3">
        <v>45338</v>
      </c>
      <c r="D1313" s="3">
        <v>45345</v>
      </c>
      <c r="E1313" t="s">
        <v>3327</v>
      </c>
      <c r="F1313" t="s">
        <v>38</v>
      </c>
      <c r="G1313" t="s">
        <v>39</v>
      </c>
      <c r="H1313" t="s">
        <v>3328</v>
      </c>
      <c r="I1313" t="s">
        <v>238</v>
      </c>
      <c r="J1313" t="s">
        <v>62</v>
      </c>
      <c r="K1313" t="s">
        <v>1312</v>
      </c>
      <c r="L1313" t="s">
        <v>91</v>
      </c>
      <c r="M1313" t="s">
        <v>38</v>
      </c>
      <c r="N1313" t="s">
        <v>203</v>
      </c>
      <c r="O1313" t="s">
        <v>204</v>
      </c>
      <c r="P1313" t="s">
        <v>123</v>
      </c>
      <c r="Q1313">
        <v>492</v>
      </c>
      <c r="R1313">
        <v>21.91</v>
      </c>
      <c r="S1313">
        <v>10779.72</v>
      </c>
      <c r="T1313">
        <v>16.78</v>
      </c>
      <c r="U1313">
        <v>7</v>
      </c>
      <c r="V1313">
        <v>11</v>
      </c>
      <c r="W1313">
        <v>1556</v>
      </c>
      <c r="X1313" t="s">
        <v>188</v>
      </c>
      <c r="Y1313" t="s">
        <v>36</v>
      </c>
      <c r="Z1313">
        <v>1772.73</v>
      </c>
    </row>
    <row r="1314" spans="1:26" x14ac:dyDescent="0.25">
      <c r="A1314">
        <v>101312</v>
      </c>
      <c r="B1314" s="3">
        <v>45670</v>
      </c>
      <c r="C1314" s="3">
        <v>45670</v>
      </c>
      <c r="D1314" s="3">
        <v>45694</v>
      </c>
      <c r="E1314" t="s">
        <v>2314</v>
      </c>
      <c r="F1314" t="s">
        <v>25</v>
      </c>
      <c r="G1314" t="s">
        <v>172</v>
      </c>
      <c r="H1314" t="s">
        <v>3329</v>
      </c>
      <c r="I1314" t="s">
        <v>126</v>
      </c>
      <c r="J1314" t="s">
        <v>42</v>
      </c>
      <c r="K1314" t="s">
        <v>1068</v>
      </c>
      <c r="L1314" t="s">
        <v>122</v>
      </c>
      <c r="M1314" t="s">
        <v>65</v>
      </c>
      <c r="N1314" t="s">
        <v>102</v>
      </c>
      <c r="O1314" t="s">
        <v>103</v>
      </c>
      <c r="P1314" t="s">
        <v>76</v>
      </c>
      <c r="Q1314">
        <v>355</v>
      </c>
      <c r="R1314">
        <v>431.57</v>
      </c>
      <c r="S1314">
        <v>153207.35</v>
      </c>
      <c r="T1314">
        <v>14.49</v>
      </c>
      <c r="U1314">
        <v>24</v>
      </c>
      <c r="V1314">
        <v>24</v>
      </c>
      <c r="W1314">
        <v>1180</v>
      </c>
      <c r="X1314" t="s">
        <v>3742</v>
      </c>
      <c r="Y1314" t="s">
        <v>57</v>
      </c>
      <c r="Z1314">
        <v>23331.56</v>
      </c>
    </row>
    <row r="1315" spans="1:26" x14ac:dyDescent="0.25">
      <c r="A1315">
        <v>101313</v>
      </c>
      <c r="B1315" s="3">
        <v>45896</v>
      </c>
      <c r="C1315" s="3">
        <v>45900</v>
      </c>
      <c r="D1315" s="3">
        <v>45903</v>
      </c>
      <c r="E1315" t="s">
        <v>3330</v>
      </c>
      <c r="F1315" t="s">
        <v>32</v>
      </c>
      <c r="G1315" t="s">
        <v>364</v>
      </c>
      <c r="H1315" t="s">
        <v>3331</v>
      </c>
      <c r="I1315" t="s">
        <v>177</v>
      </c>
      <c r="J1315" t="s">
        <v>29</v>
      </c>
      <c r="K1315" t="s">
        <v>2999</v>
      </c>
      <c r="L1315" t="s">
        <v>212</v>
      </c>
      <c r="M1315" t="s">
        <v>25</v>
      </c>
      <c r="N1315" t="s">
        <v>203</v>
      </c>
      <c r="O1315" t="s">
        <v>204</v>
      </c>
      <c r="P1315" t="s">
        <v>35</v>
      </c>
      <c r="Q1315">
        <v>268</v>
      </c>
      <c r="R1315">
        <v>24.12</v>
      </c>
      <c r="S1315">
        <v>6464.16</v>
      </c>
      <c r="T1315">
        <v>20.07</v>
      </c>
      <c r="U1315">
        <v>3</v>
      </c>
      <c r="V1315">
        <v>7</v>
      </c>
      <c r="W1315">
        <v>2202</v>
      </c>
      <c r="X1315" t="s">
        <v>3741</v>
      </c>
      <c r="Y1315" t="s">
        <v>36</v>
      </c>
      <c r="Z1315">
        <v>1228.81</v>
      </c>
    </row>
    <row r="1316" spans="1:26" x14ac:dyDescent="0.25">
      <c r="A1316">
        <v>101314</v>
      </c>
      <c r="B1316" s="3">
        <v>45335</v>
      </c>
      <c r="C1316" s="3">
        <v>45335</v>
      </c>
      <c r="D1316" s="3">
        <v>45344</v>
      </c>
      <c r="E1316" t="s">
        <v>878</v>
      </c>
      <c r="F1316" t="s">
        <v>65</v>
      </c>
      <c r="G1316" t="s">
        <v>154</v>
      </c>
      <c r="H1316" t="s">
        <v>3332</v>
      </c>
      <c r="I1316" t="s">
        <v>416</v>
      </c>
      <c r="J1316" t="s">
        <v>80</v>
      </c>
      <c r="K1316" t="s">
        <v>3333</v>
      </c>
      <c r="L1316" t="s">
        <v>91</v>
      </c>
      <c r="M1316" t="s">
        <v>32</v>
      </c>
      <c r="N1316" t="s">
        <v>55</v>
      </c>
      <c r="O1316" t="s">
        <v>56</v>
      </c>
      <c r="P1316" t="s">
        <v>123</v>
      </c>
      <c r="Q1316">
        <v>29</v>
      </c>
      <c r="R1316">
        <v>228.58</v>
      </c>
      <c r="S1316">
        <v>6628.82</v>
      </c>
      <c r="T1316">
        <v>11.4</v>
      </c>
      <c r="U1316">
        <v>9</v>
      </c>
      <c r="V1316">
        <v>9</v>
      </c>
      <c r="W1316">
        <v>2176</v>
      </c>
      <c r="X1316" t="s">
        <v>188</v>
      </c>
      <c r="Y1316" t="s">
        <v>36</v>
      </c>
      <c r="Z1316">
        <v>1612.19</v>
      </c>
    </row>
    <row r="1317" spans="1:26" x14ac:dyDescent="0.25">
      <c r="A1317">
        <v>101315</v>
      </c>
      <c r="B1317" s="3">
        <v>45341</v>
      </c>
      <c r="C1317" s="3">
        <v>45344</v>
      </c>
      <c r="D1317" s="3">
        <v>45360</v>
      </c>
      <c r="E1317" t="s">
        <v>3334</v>
      </c>
      <c r="F1317" t="s">
        <v>38</v>
      </c>
      <c r="G1317" t="s">
        <v>49</v>
      </c>
      <c r="H1317" t="s">
        <v>3335</v>
      </c>
      <c r="I1317" t="s">
        <v>238</v>
      </c>
      <c r="J1317" t="s">
        <v>62</v>
      </c>
      <c r="K1317" t="s">
        <v>73</v>
      </c>
      <c r="L1317" t="s">
        <v>44</v>
      </c>
      <c r="M1317" t="s">
        <v>65</v>
      </c>
      <c r="N1317" t="s">
        <v>45</v>
      </c>
      <c r="O1317" t="s">
        <v>46</v>
      </c>
      <c r="P1317" t="s">
        <v>76</v>
      </c>
      <c r="Q1317">
        <v>360</v>
      </c>
      <c r="R1317">
        <v>21.89</v>
      </c>
      <c r="S1317">
        <v>7880.4</v>
      </c>
      <c r="T1317">
        <v>14.58</v>
      </c>
      <c r="U1317">
        <v>16</v>
      </c>
      <c r="V1317">
        <v>19</v>
      </c>
      <c r="W1317">
        <v>4790</v>
      </c>
      <c r="X1317" t="s">
        <v>3742</v>
      </c>
      <c r="Y1317" t="s">
        <v>57</v>
      </c>
      <c r="Z1317">
        <v>1136.3</v>
      </c>
    </row>
    <row r="1318" spans="1:26" x14ac:dyDescent="0.25">
      <c r="A1318">
        <v>101316</v>
      </c>
      <c r="B1318" s="3">
        <v>45739</v>
      </c>
      <c r="C1318" s="3">
        <v>45739</v>
      </c>
      <c r="D1318" s="3">
        <v>45751</v>
      </c>
      <c r="E1318" t="s">
        <v>3336</v>
      </c>
      <c r="F1318" t="s">
        <v>32</v>
      </c>
      <c r="G1318" t="s">
        <v>137</v>
      </c>
      <c r="H1318" t="s">
        <v>3337</v>
      </c>
      <c r="I1318" t="s">
        <v>149</v>
      </c>
      <c r="J1318" t="s">
        <v>42</v>
      </c>
      <c r="K1318" t="s">
        <v>3338</v>
      </c>
      <c r="L1318" t="s">
        <v>212</v>
      </c>
      <c r="M1318" t="s">
        <v>32</v>
      </c>
      <c r="N1318" t="s">
        <v>45</v>
      </c>
      <c r="O1318" t="s">
        <v>46</v>
      </c>
      <c r="P1318" t="s">
        <v>123</v>
      </c>
      <c r="Q1318">
        <v>74</v>
      </c>
      <c r="R1318">
        <v>329.64</v>
      </c>
      <c r="S1318">
        <v>24393.360000000001</v>
      </c>
      <c r="T1318">
        <v>9.25</v>
      </c>
      <c r="U1318">
        <v>12</v>
      </c>
      <c r="V1318">
        <v>12</v>
      </c>
      <c r="W1318">
        <v>1648</v>
      </c>
      <c r="X1318" t="s">
        <v>188</v>
      </c>
      <c r="Y1318" t="s">
        <v>36</v>
      </c>
      <c r="Z1318">
        <v>2164.79</v>
      </c>
    </row>
    <row r="1319" spans="1:26" x14ac:dyDescent="0.25">
      <c r="A1319">
        <v>101317</v>
      </c>
      <c r="B1319" s="3">
        <v>45914</v>
      </c>
      <c r="C1319" s="3">
        <v>45916</v>
      </c>
      <c r="D1319" s="3">
        <v>45934</v>
      </c>
      <c r="E1319" t="s">
        <v>1363</v>
      </c>
      <c r="F1319" t="s">
        <v>32</v>
      </c>
      <c r="G1319" t="s">
        <v>364</v>
      </c>
      <c r="H1319" t="s">
        <v>3339</v>
      </c>
      <c r="I1319" t="s">
        <v>61</v>
      </c>
      <c r="J1319" t="s">
        <v>62</v>
      </c>
      <c r="K1319" t="s">
        <v>1788</v>
      </c>
      <c r="L1319" t="s">
        <v>187</v>
      </c>
      <c r="M1319" t="s">
        <v>65</v>
      </c>
      <c r="N1319" t="s">
        <v>45</v>
      </c>
      <c r="O1319" t="s">
        <v>46</v>
      </c>
      <c r="P1319" t="s">
        <v>76</v>
      </c>
      <c r="Q1319">
        <v>458</v>
      </c>
      <c r="R1319">
        <v>44.45</v>
      </c>
      <c r="S1319">
        <v>20358.099999999999</v>
      </c>
      <c r="T1319">
        <v>16.37</v>
      </c>
      <c r="U1319">
        <v>18</v>
      </c>
      <c r="V1319">
        <v>20</v>
      </c>
      <c r="W1319">
        <v>2312</v>
      </c>
      <c r="X1319" t="s">
        <v>188</v>
      </c>
      <c r="Y1319" t="s">
        <v>36</v>
      </c>
      <c r="Z1319">
        <v>1888.61</v>
      </c>
    </row>
    <row r="1320" spans="1:26" x14ac:dyDescent="0.25">
      <c r="A1320">
        <v>101318</v>
      </c>
      <c r="B1320" s="3">
        <v>45516</v>
      </c>
      <c r="C1320" s="3">
        <v>45518</v>
      </c>
      <c r="D1320" s="3">
        <v>45542</v>
      </c>
      <c r="E1320" t="s">
        <v>3340</v>
      </c>
      <c r="F1320" t="s">
        <v>54</v>
      </c>
      <c r="G1320" t="s">
        <v>158</v>
      </c>
      <c r="H1320" t="s">
        <v>3341</v>
      </c>
      <c r="I1320" t="s">
        <v>85</v>
      </c>
      <c r="J1320" t="s">
        <v>52</v>
      </c>
      <c r="K1320" t="s">
        <v>1245</v>
      </c>
      <c r="L1320" t="s">
        <v>44</v>
      </c>
      <c r="M1320" t="s">
        <v>25</v>
      </c>
      <c r="N1320" t="s">
        <v>203</v>
      </c>
      <c r="O1320" t="s">
        <v>204</v>
      </c>
      <c r="P1320" t="s">
        <v>76</v>
      </c>
      <c r="Q1320">
        <v>122</v>
      </c>
      <c r="R1320">
        <v>68.58</v>
      </c>
      <c r="S1320">
        <v>8366.76</v>
      </c>
      <c r="T1320">
        <v>10.24</v>
      </c>
      <c r="U1320">
        <v>24</v>
      </c>
      <c r="V1320">
        <v>26</v>
      </c>
      <c r="W1320">
        <v>2920</v>
      </c>
      <c r="X1320" t="s">
        <v>188</v>
      </c>
      <c r="Y1320" t="s">
        <v>36</v>
      </c>
      <c r="Z1320">
        <v>1103.08</v>
      </c>
    </row>
    <row r="1321" spans="1:26" x14ac:dyDescent="0.25">
      <c r="A1321">
        <v>101319</v>
      </c>
      <c r="B1321" s="3">
        <v>45916</v>
      </c>
      <c r="C1321" s="3">
        <v>45919</v>
      </c>
      <c r="D1321" s="3">
        <v>45925</v>
      </c>
      <c r="E1321" t="s">
        <v>3342</v>
      </c>
      <c r="F1321" t="s">
        <v>38</v>
      </c>
      <c r="G1321" t="s">
        <v>83</v>
      </c>
      <c r="H1321" t="s">
        <v>3343</v>
      </c>
      <c r="I1321" t="s">
        <v>191</v>
      </c>
      <c r="J1321" t="s">
        <v>62</v>
      </c>
      <c r="K1321" t="s">
        <v>2892</v>
      </c>
      <c r="L1321" t="s">
        <v>64</v>
      </c>
      <c r="M1321" t="s">
        <v>54</v>
      </c>
      <c r="N1321" t="s">
        <v>92</v>
      </c>
      <c r="O1321" t="s">
        <v>93</v>
      </c>
      <c r="P1321" t="s">
        <v>123</v>
      </c>
      <c r="Q1321">
        <v>149</v>
      </c>
      <c r="R1321">
        <v>48.93</v>
      </c>
      <c r="S1321">
        <v>7290.57</v>
      </c>
      <c r="T1321">
        <v>14.31</v>
      </c>
      <c r="U1321">
        <v>6</v>
      </c>
      <c r="V1321">
        <v>9</v>
      </c>
      <c r="W1321">
        <v>2858</v>
      </c>
      <c r="X1321" t="s">
        <v>188</v>
      </c>
      <c r="Y1321" t="s">
        <v>36</v>
      </c>
      <c r="Z1321">
        <v>530.97</v>
      </c>
    </row>
    <row r="1322" spans="1:26" x14ac:dyDescent="0.25">
      <c r="A1322">
        <v>101320</v>
      </c>
      <c r="B1322" s="3">
        <v>45297</v>
      </c>
      <c r="C1322" s="3">
        <v>45302</v>
      </c>
      <c r="D1322" s="3">
        <v>45305</v>
      </c>
      <c r="E1322" t="s">
        <v>3344</v>
      </c>
      <c r="F1322" t="s">
        <v>38</v>
      </c>
      <c r="G1322" t="s">
        <v>39</v>
      </c>
      <c r="H1322" t="s">
        <v>3345</v>
      </c>
      <c r="I1322" t="s">
        <v>139</v>
      </c>
      <c r="J1322" t="s">
        <v>42</v>
      </c>
      <c r="K1322" t="s">
        <v>1509</v>
      </c>
      <c r="L1322" t="s">
        <v>44</v>
      </c>
      <c r="M1322" t="s">
        <v>65</v>
      </c>
      <c r="N1322" t="s">
        <v>74</v>
      </c>
      <c r="O1322" t="s">
        <v>75</v>
      </c>
      <c r="P1322" t="s">
        <v>35</v>
      </c>
      <c r="Q1322">
        <v>358</v>
      </c>
      <c r="R1322">
        <v>89.88</v>
      </c>
      <c r="S1322">
        <v>32177.040000000001</v>
      </c>
      <c r="T1322">
        <v>22.62</v>
      </c>
      <c r="U1322">
        <v>3</v>
      </c>
      <c r="V1322">
        <v>8</v>
      </c>
      <c r="W1322">
        <v>1241</v>
      </c>
      <c r="X1322" t="s">
        <v>3742</v>
      </c>
      <c r="Y1322" t="s">
        <v>57</v>
      </c>
      <c r="Z1322">
        <v>3236.79</v>
      </c>
    </row>
    <row r="1323" spans="1:26" x14ac:dyDescent="0.25">
      <c r="A1323">
        <v>101321</v>
      </c>
      <c r="B1323" s="3">
        <v>45394</v>
      </c>
      <c r="C1323" s="3">
        <v>45395</v>
      </c>
      <c r="D1323" s="3">
        <v>45398</v>
      </c>
      <c r="E1323" t="s">
        <v>3346</v>
      </c>
      <c r="F1323" t="s">
        <v>65</v>
      </c>
      <c r="G1323" t="s">
        <v>142</v>
      </c>
      <c r="H1323" t="s">
        <v>3347</v>
      </c>
      <c r="I1323" t="s">
        <v>230</v>
      </c>
      <c r="J1323" t="s">
        <v>80</v>
      </c>
      <c r="K1323" t="s">
        <v>2131</v>
      </c>
      <c r="L1323" t="s">
        <v>64</v>
      </c>
      <c r="M1323" t="s">
        <v>25</v>
      </c>
      <c r="N1323" t="s">
        <v>66</v>
      </c>
      <c r="O1323" t="s">
        <v>67</v>
      </c>
      <c r="P1323" t="s">
        <v>68</v>
      </c>
      <c r="Q1323">
        <v>115</v>
      </c>
      <c r="R1323">
        <v>324.64</v>
      </c>
      <c r="S1323">
        <v>37333.599999999999</v>
      </c>
      <c r="T1323">
        <v>35.96</v>
      </c>
      <c r="U1323">
        <v>3</v>
      </c>
      <c r="V1323">
        <v>4</v>
      </c>
      <c r="W1323">
        <v>375</v>
      </c>
      <c r="X1323" t="s">
        <v>3741</v>
      </c>
      <c r="Y1323" t="s">
        <v>36</v>
      </c>
      <c r="Z1323">
        <v>8179.13</v>
      </c>
    </row>
    <row r="1324" spans="1:26" x14ac:dyDescent="0.25">
      <c r="A1324">
        <v>101322</v>
      </c>
      <c r="B1324" s="3">
        <v>45626</v>
      </c>
      <c r="C1324" s="3">
        <v>45629</v>
      </c>
      <c r="D1324" s="3">
        <v>45639</v>
      </c>
      <c r="E1324" t="s">
        <v>3348</v>
      </c>
      <c r="F1324" t="s">
        <v>25</v>
      </c>
      <c r="G1324" t="s">
        <v>172</v>
      </c>
      <c r="H1324" t="s">
        <v>3349</v>
      </c>
      <c r="I1324" t="s">
        <v>28</v>
      </c>
      <c r="J1324" t="s">
        <v>29</v>
      </c>
      <c r="K1324" t="s">
        <v>3350</v>
      </c>
      <c r="L1324" t="s">
        <v>98</v>
      </c>
      <c r="M1324" t="s">
        <v>54</v>
      </c>
      <c r="N1324" t="s">
        <v>107</v>
      </c>
      <c r="O1324" t="s">
        <v>108</v>
      </c>
      <c r="P1324" t="s">
        <v>35</v>
      </c>
      <c r="Q1324">
        <v>465</v>
      </c>
      <c r="R1324">
        <v>100.84</v>
      </c>
      <c r="S1324">
        <v>46890.6</v>
      </c>
      <c r="T1324">
        <v>25.66</v>
      </c>
      <c r="U1324">
        <v>10</v>
      </c>
      <c r="V1324">
        <v>13</v>
      </c>
      <c r="W1324">
        <v>1638</v>
      </c>
      <c r="X1324" t="s">
        <v>188</v>
      </c>
      <c r="Y1324" t="s">
        <v>36</v>
      </c>
      <c r="Z1324">
        <v>4701.1499999999996</v>
      </c>
    </row>
    <row r="1325" spans="1:26" x14ac:dyDescent="0.25">
      <c r="A1325">
        <v>101323</v>
      </c>
      <c r="B1325" s="3">
        <v>45832</v>
      </c>
      <c r="C1325" s="3">
        <v>45834</v>
      </c>
      <c r="D1325" s="3">
        <v>45837</v>
      </c>
      <c r="E1325" t="s">
        <v>3351</v>
      </c>
      <c r="F1325" t="s">
        <v>54</v>
      </c>
      <c r="G1325" t="s">
        <v>193</v>
      </c>
      <c r="H1325" t="s">
        <v>3352</v>
      </c>
      <c r="I1325" t="s">
        <v>177</v>
      </c>
      <c r="J1325" t="s">
        <v>29</v>
      </c>
      <c r="K1325" t="s">
        <v>1242</v>
      </c>
      <c r="L1325" t="s">
        <v>64</v>
      </c>
      <c r="M1325" t="s">
        <v>65</v>
      </c>
      <c r="N1325" t="s">
        <v>107</v>
      </c>
      <c r="O1325" t="s">
        <v>108</v>
      </c>
      <c r="P1325" t="s">
        <v>35</v>
      </c>
      <c r="Q1325">
        <v>490</v>
      </c>
      <c r="R1325">
        <v>102.62</v>
      </c>
      <c r="S1325">
        <v>50283.8</v>
      </c>
      <c r="T1325">
        <v>26.37</v>
      </c>
      <c r="U1325">
        <v>3</v>
      </c>
      <c r="V1325">
        <v>5</v>
      </c>
      <c r="W1325">
        <v>3194</v>
      </c>
      <c r="X1325" t="s">
        <v>3741</v>
      </c>
      <c r="Y1325" t="s">
        <v>36</v>
      </c>
      <c r="Z1325">
        <v>11974.99</v>
      </c>
    </row>
    <row r="1326" spans="1:26" x14ac:dyDescent="0.25">
      <c r="A1326">
        <v>101324</v>
      </c>
      <c r="B1326" s="3">
        <v>45771</v>
      </c>
      <c r="C1326" s="3">
        <v>45771</v>
      </c>
      <c r="D1326" s="3">
        <v>45781</v>
      </c>
      <c r="E1326" t="s">
        <v>3353</v>
      </c>
      <c r="F1326" t="s">
        <v>25</v>
      </c>
      <c r="G1326" t="s">
        <v>26</v>
      </c>
      <c r="H1326" t="s">
        <v>3354</v>
      </c>
      <c r="I1326" t="s">
        <v>149</v>
      </c>
      <c r="J1326" t="s">
        <v>42</v>
      </c>
      <c r="K1326" t="s">
        <v>2170</v>
      </c>
      <c r="L1326" t="s">
        <v>122</v>
      </c>
      <c r="M1326" t="s">
        <v>65</v>
      </c>
      <c r="N1326" t="s">
        <v>74</v>
      </c>
      <c r="O1326" t="s">
        <v>75</v>
      </c>
      <c r="P1326" t="s">
        <v>35</v>
      </c>
      <c r="Q1326">
        <v>185</v>
      </c>
      <c r="R1326">
        <v>410.15</v>
      </c>
      <c r="S1326">
        <v>75877.75</v>
      </c>
      <c r="T1326">
        <v>17.72</v>
      </c>
      <c r="U1326">
        <v>10</v>
      </c>
      <c r="V1326">
        <v>10</v>
      </c>
      <c r="W1326">
        <v>82</v>
      </c>
      <c r="X1326" t="s">
        <v>188</v>
      </c>
      <c r="Y1326" t="s">
        <v>36</v>
      </c>
      <c r="Z1326">
        <v>7586.7</v>
      </c>
    </row>
    <row r="1327" spans="1:26" x14ac:dyDescent="0.25">
      <c r="A1327">
        <v>101325</v>
      </c>
      <c r="B1327" s="3">
        <v>45535</v>
      </c>
      <c r="C1327" s="3">
        <v>45539</v>
      </c>
      <c r="D1327" s="3">
        <v>45542</v>
      </c>
      <c r="E1327" t="s">
        <v>3355</v>
      </c>
      <c r="F1327" t="s">
        <v>38</v>
      </c>
      <c r="G1327" t="s">
        <v>147</v>
      </c>
      <c r="H1327" t="s">
        <v>3356</v>
      </c>
      <c r="I1327" t="s">
        <v>134</v>
      </c>
      <c r="J1327" t="s">
        <v>52</v>
      </c>
      <c r="K1327" t="s">
        <v>974</v>
      </c>
      <c r="L1327" t="s">
        <v>31</v>
      </c>
      <c r="M1327" t="s">
        <v>65</v>
      </c>
      <c r="N1327" t="s">
        <v>45</v>
      </c>
      <c r="O1327" t="s">
        <v>46</v>
      </c>
      <c r="P1327" t="s">
        <v>68</v>
      </c>
      <c r="Q1327">
        <v>415</v>
      </c>
      <c r="R1327">
        <v>25.75</v>
      </c>
      <c r="S1327">
        <v>10686.25</v>
      </c>
      <c r="T1327">
        <v>55.4</v>
      </c>
      <c r="U1327">
        <v>3</v>
      </c>
      <c r="V1327">
        <v>7</v>
      </c>
      <c r="W1327">
        <v>457</v>
      </c>
      <c r="X1327" t="s">
        <v>3741</v>
      </c>
      <c r="Y1327" t="s">
        <v>36</v>
      </c>
      <c r="Z1327">
        <v>1987.78</v>
      </c>
    </row>
    <row r="1328" spans="1:26" x14ac:dyDescent="0.25">
      <c r="A1328">
        <v>101326</v>
      </c>
      <c r="B1328" s="3">
        <v>45434</v>
      </c>
      <c r="C1328" s="3">
        <v>45435</v>
      </c>
      <c r="D1328" s="3">
        <v>45449</v>
      </c>
      <c r="E1328" t="s">
        <v>3357</v>
      </c>
      <c r="F1328" t="s">
        <v>25</v>
      </c>
      <c r="G1328" t="s">
        <v>172</v>
      </c>
      <c r="H1328" t="s">
        <v>3358</v>
      </c>
      <c r="I1328" t="s">
        <v>116</v>
      </c>
      <c r="J1328" t="s">
        <v>62</v>
      </c>
      <c r="K1328" t="s">
        <v>3359</v>
      </c>
      <c r="L1328" t="s">
        <v>44</v>
      </c>
      <c r="M1328" t="s">
        <v>25</v>
      </c>
      <c r="N1328" t="s">
        <v>55</v>
      </c>
      <c r="O1328" t="s">
        <v>56</v>
      </c>
      <c r="P1328" t="s">
        <v>123</v>
      </c>
      <c r="Q1328">
        <v>211</v>
      </c>
      <c r="R1328">
        <v>44.73</v>
      </c>
      <c r="S1328">
        <v>9438.0300000000007</v>
      </c>
      <c r="T1328">
        <v>11.72</v>
      </c>
      <c r="U1328">
        <v>14</v>
      </c>
      <c r="V1328">
        <v>15</v>
      </c>
      <c r="W1328">
        <v>3465</v>
      </c>
      <c r="X1328" t="s">
        <v>188</v>
      </c>
      <c r="Y1328" t="s">
        <v>36</v>
      </c>
      <c r="Z1328">
        <v>646.04</v>
      </c>
    </row>
    <row r="1329" spans="1:26" x14ac:dyDescent="0.25">
      <c r="A1329">
        <v>101327</v>
      </c>
      <c r="B1329" s="3">
        <v>45668</v>
      </c>
      <c r="C1329" s="3">
        <v>45669</v>
      </c>
      <c r="D1329" s="3">
        <v>45680</v>
      </c>
      <c r="E1329" t="s">
        <v>3360</v>
      </c>
      <c r="F1329" t="s">
        <v>32</v>
      </c>
      <c r="G1329" t="s">
        <v>255</v>
      </c>
      <c r="H1329" t="s">
        <v>3361</v>
      </c>
      <c r="I1329" t="s">
        <v>416</v>
      </c>
      <c r="J1329" t="s">
        <v>80</v>
      </c>
      <c r="K1329" t="s">
        <v>3362</v>
      </c>
      <c r="L1329" t="s">
        <v>44</v>
      </c>
      <c r="M1329" t="s">
        <v>38</v>
      </c>
      <c r="N1329" t="s">
        <v>55</v>
      </c>
      <c r="O1329" t="s">
        <v>56</v>
      </c>
      <c r="P1329" t="s">
        <v>76</v>
      </c>
      <c r="Q1329">
        <v>125</v>
      </c>
      <c r="R1329">
        <v>231.94</v>
      </c>
      <c r="S1329">
        <v>28992.5</v>
      </c>
      <c r="T1329">
        <v>10.3</v>
      </c>
      <c r="U1329">
        <v>11</v>
      </c>
      <c r="V1329">
        <v>12</v>
      </c>
      <c r="W1329">
        <v>108</v>
      </c>
      <c r="X1329" t="s">
        <v>3742</v>
      </c>
      <c r="Y1329" t="s">
        <v>57</v>
      </c>
      <c r="Z1329">
        <v>7478.94</v>
      </c>
    </row>
    <row r="1330" spans="1:26" x14ac:dyDescent="0.25">
      <c r="A1330">
        <v>101328</v>
      </c>
      <c r="B1330" s="3">
        <v>45884</v>
      </c>
      <c r="C1330" s="3">
        <v>45884</v>
      </c>
      <c r="D1330" s="3">
        <v>45887</v>
      </c>
      <c r="E1330" t="s">
        <v>3363</v>
      </c>
      <c r="F1330" t="s">
        <v>65</v>
      </c>
      <c r="G1330" t="s">
        <v>142</v>
      </c>
      <c r="H1330" t="s">
        <v>3364</v>
      </c>
      <c r="I1330" t="s">
        <v>230</v>
      </c>
      <c r="J1330" t="s">
        <v>80</v>
      </c>
      <c r="K1330" t="s">
        <v>766</v>
      </c>
      <c r="L1330" t="s">
        <v>118</v>
      </c>
      <c r="M1330" t="s">
        <v>32</v>
      </c>
      <c r="N1330" t="s">
        <v>151</v>
      </c>
      <c r="O1330" t="s">
        <v>152</v>
      </c>
      <c r="P1330" t="s">
        <v>68</v>
      </c>
      <c r="Q1330">
        <v>81</v>
      </c>
      <c r="R1330">
        <v>58.71</v>
      </c>
      <c r="S1330">
        <v>4755.51</v>
      </c>
      <c r="T1330">
        <v>33.76</v>
      </c>
      <c r="U1330">
        <v>3</v>
      </c>
      <c r="V1330">
        <v>3</v>
      </c>
      <c r="W1330">
        <v>1324</v>
      </c>
      <c r="X1330" t="s">
        <v>3741</v>
      </c>
      <c r="Y1330" t="s">
        <v>36</v>
      </c>
      <c r="Z1330">
        <v>554.34</v>
      </c>
    </row>
    <row r="1331" spans="1:26" x14ac:dyDescent="0.25">
      <c r="A1331">
        <v>101329</v>
      </c>
      <c r="B1331" s="3">
        <v>45753</v>
      </c>
      <c r="C1331" s="3">
        <v>45758</v>
      </c>
      <c r="D1331" s="3">
        <v>45779</v>
      </c>
      <c r="E1331" t="s">
        <v>3365</v>
      </c>
      <c r="F1331" t="s">
        <v>32</v>
      </c>
      <c r="G1331" t="s">
        <v>137</v>
      </c>
      <c r="H1331" t="s">
        <v>3366</v>
      </c>
      <c r="I1331" t="s">
        <v>134</v>
      </c>
      <c r="J1331" t="s">
        <v>52</v>
      </c>
      <c r="K1331" t="s">
        <v>1273</v>
      </c>
      <c r="L1331" t="s">
        <v>118</v>
      </c>
      <c r="M1331" t="s">
        <v>65</v>
      </c>
      <c r="N1331" t="s">
        <v>74</v>
      </c>
      <c r="O1331" t="s">
        <v>75</v>
      </c>
      <c r="P1331" t="s">
        <v>76</v>
      </c>
      <c r="Q1331">
        <v>363</v>
      </c>
      <c r="R1331">
        <v>46.36</v>
      </c>
      <c r="S1331">
        <v>16828.68</v>
      </c>
      <c r="T1331">
        <v>14.63</v>
      </c>
      <c r="U1331">
        <v>21</v>
      </c>
      <c r="V1331">
        <v>26</v>
      </c>
      <c r="W1331">
        <v>2577</v>
      </c>
      <c r="X1331" t="s">
        <v>3742</v>
      </c>
      <c r="Y1331" t="s">
        <v>47</v>
      </c>
      <c r="Z1331">
        <v>-128.28</v>
      </c>
    </row>
    <row r="1332" spans="1:26" x14ac:dyDescent="0.25">
      <c r="A1332">
        <v>101330</v>
      </c>
      <c r="B1332" s="3">
        <v>45477</v>
      </c>
      <c r="C1332" s="3">
        <v>45482</v>
      </c>
      <c r="D1332" s="3">
        <v>45486</v>
      </c>
      <c r="E1332" t="s">
        <v>3367</v>
      </c>
      <c r="F1332" t="s">
        <v>25</v>
      </c>
      <c r="G1332" t="s">
        <v>233</v>
      </c>
      <c r="H1332" t="s">
        <v>3368</v>
      </c>
      <c r="I1332" t="s">
        <v>72</v>
      </c>
      <c r="J1332" t="s">
        <v>42</v>
      </c>
      <c r="K1332" t="s">
        <v>3018</v>
      </c>
      <c r="L1332" t="s">
        <v>91</v>
      </c>
      <c r="M1332" t="s">
        <v>38</v>
      </c>
      <c r="N1332" t="s">
        <v>102</v>
      </c>
      <c r="O1332" t="s">
        <v>103</v>
      </c>
      <c r="P1332" t="s">
        <v>123</v>
      </c>
      <c r="Q1332">
        <v>337</v>
      </c>
      <c r="R1332">
        <v>68.5</v>
      </c>
      <c r="S1332">
        <v>23084.5</v>
      </c>
      <c r="T1332">
        <v>18.88</v>
      </c>
      <c r="U1332">
        <v>4</v>
      </c>
      <c r="V1332">
        <v>9</v>
      </c>
      <c r="W1332">
        <v>603</v>
      </c>
      <c r="X1332" t="s">
        <v>188</v>
      </c>
      <c r="Y1332" t="s">
        <v>36</v>
      </c>
      <c r="Z1332">
        <v>4311.8500000000004</v>
      </c>
    </row>
    <row r="1333" spans="1:26" x14ac:dyDescent="0.25">
      <c r="A1333">
        <v>101331</v>
      </c>
      <c r="B1333" s="3">
        <v>45314</v>
      </c>
      <c r="C1333" s="3">
        <v>45314</v>
      </c>
      <c r="D1333" s="3">
        <v>45322</v>
      </c>
      <c r="E1333" t="s">
        <v>3369</v>
      </c>
      <c r="F1333" t="s">
        <v>32</v>
      </c>
      <c r="G1333" t="s">
        <v>110</v>
      </c>
      <c r="H1333" t="s">
        <v>3370</v>
      </c>
      <c r="I1333" t="s">
        <v>28</v>
      </c>
      <c r="J1333" t="s">
        <v>29</v>
      </c>
      <c r="K1333" t="s">
        <v>1880</v>
      </c>
      <c r="L1333" t="s">
        <v>98</v>
      </c>
      <c r="M1333" t="s">
        <v>25</v>
      </c>
      <c r="N1333" t="s">
        <v>55</v>
      </c>
      <c r="O1333" t="s">
        <v>56</v>
      </c>
      <c r="P1333" t="s">
        <v>35</v>
      </c>
      <c r="Q1333">
        <v>384</v>
      </c>
      <c r="R1333">
        <v>97</v>
      </c>
      <c r="S1333">
        <v>37248</v>
      </c>
      <c r="T1333">
        <v>23.36</v>
      </c>
      <c r="U1333">
        <v>8</v>
      </c>
      <c r="V1333">
        <v>8</v>
      </c>
      <c r="W1333">
        <v>2826</v>
      </c>
      <c r="X1333" t="s">
        <v>188</v>
      </c>
      <c r="Y1333" t="s">
        <v>36</v>
      </c>
      <c r="Z1333">
        <v>4219.25</v>
      </c>
    </row>
    <row r="1334" spans="1:26" x14ac:dyDescent="0.25">
      <c r="A1334">
        <v>101332</v>
      </c>
      <c r="B1334" s="3">
        <v>45517</v>
      </c>
      <c r="C1334" s="3">
        <v>45519</v>
      </c>
      <c r="D1334" s="3">
        <v>45524</v>
      </c>
      <c r="E1334" t="s">
        <v>3371</v>
      </c>
      <c r="F1334" t="s">
        <v>32</v>
      </c>
      <c r="G1334" t="s">
        <v>255</v>
      </c>
      <c r="H1334" t="s">
        <v>3372</v>
      </c>
      <c r="I1334" t="s">
        <v>182</v>
      </c>
      <c r="J1334" t="s">
        <v>80</v>
      </c>
      <c r="K1334" t="s">
        <v>3373</v>
      </c>
      <c r="L1334" t="s">
        <v>118</v>
      </c>
      <c r="M1334" t="s">
        <v>38</v>
      </c>
      <c r="N1334" t="s">
        <v>33</v>
      </c>
      <c r="O1334" t="s">
        <v>34</v>
      </c>
      <c r="P1334" t="s">
        <v>35</v>
      </c>
      <c r="Q1334">
        <v>21</v>
      </c>
      <c r="R1334">
        <v>227.87</v>
      </c>
      <c r="S1334">
        <v>4785.2700000000004</v>
      </c>
      <c r="T1334">
        <v>13.07</v>
      </c>
      <c r="U1334">
        <v>5</v>
      </c>
      <c r="V1334">
        <v>7</v>
      </c>
      <c r="W1334">
        <v>618</v>
      </c>
      <c r="X1334" t="s">
        <v>3742</v>
      </c>
      <c r="Y1334" t="s">
        <v>57</v>
      </c>
      <c r="Z1334">
        <v>699.98</v>
      </c>
    </row>
    <row r="1335" spans="1:26" x14ac:dyDescent="0.25">
      <c r="A1335">
        <v>101333</v>
      </c>
      <c r="B1335" s="3">
        <v>45363</v>
      </c>
      <c r="C1335" s="3">
        <v>45365</v>
      </c>
      <c r="D1335" s="3">
        <v>45377</v>
      </c>
      <c r="E1335" t="s">
        <v>3374</v>
      </c>
      <c r="F1335" t="s">
        <v>54</v>
      </c>
      <c r="G1335" t="s">
        <v>225</v>
      </c>
      <c r="H1335" t="s">
        <v>3375</v>
      </c>
      <c r="I1335" t="s">
        <v>79</v>
      </c>
      <c r="J1335" t="s">
        <v>80</v>
      </c>
      <c r="K1335" t="s">
        <v>1371</v>
      </c>
      <c r="L1335" t="s">
        <v>91</v>
      </c>
      <c r="M1335" t="s">
        <v>54</v>
      </c>
      <c r="N1335" t="s">
        <v>55</v>
      </c>
      <c r="O1335" t="s">
        <v>56</v>
      </c>
      <c r="P1335" t="s">
        <v>76</v>
      </c>
      <c r="Q1335">
        <v>128</v>
      </c>
      <c r="R1335">
        <v>182.54</v>
      </c>
      <c r="S1335">
        <v>23365.119999999999</v>
      </c>
      <c r="T1335">
        <v>7.67</v>
      </c>
      <c r="U1335">
        <v>12</v>
      </c>
      <c r="V1335">
        <v>14</v>
      </c>
      <c r="W1335">
        <v>1312</v>
      </c>
      <c r="X1335" t="s">
        <v>3742</v>
      </c>
      <c r="Y1335" t="s">
        <v>57</v>
      </c>
      <c r="Z1335">
        <v>3013.21</v>
      </c>
    </row>
    <row r="1336" spans="1:26" x14ac:dyDescent="0.25">
      <c r="A1336">
        <v>101334</v>
      </c>
      <c r="B1336" s="3">
        <v>45786</v>
      </c>
      <c r="C1336" s="3">
        <v>45786</v>
      </c>
      <c r="D1336" s="3">
        <v>45789</v>
      </c>
      <c r="E1336" t="s">
        <v>3376</v>
      </c>
      <c r="F1336" t="s">
        <v>32</v>
      </c>
      <c r="G1336" t="s">
        <v>273</v>
      </c>
      <c r="H1336" t="s">
        <v>3377</v>
      </c>
      <c r="I1336" t="s">
        <v>126</v>
      </c>
      <c r="J1336" t="s">
        <v>42</v>
      </c>
      <c r="K1336" t="s">
        <v>3378</v>
      </c>
      <c r="L1336" t="s">
        <v>212</v>
      </c>
      <c r="M1336" t="s">
        <v>32</v>
      </c>
      <c r="N1336" t="s">
        <v>55</v>
      </c>
      <c r="O1336" t="s">
        <v>56</v>
      </c>
      <c r="P1336" t="s">
        <v>68</v>
      </c>
      <c r="Q1336">
        <v>411</v>
      </c>
      <c r="R1336">
        <v>150.25</v>
      </c>
      <c r="S1336">
        <v>61752.75</v>
      </c>
      <c r="T1336">
        <v>40.85</v>
      </c>
      <c r="U1336">
        <v>3</v>
      </c>
      <c r="V1336">
        <v>3</v>
      </c>
      <c r="W1336">
        <v>1096</v>
      </c>
      <c r="X1336" t="s">
        <v>3741</v>
      </c>
      <c r="Y1336" t="s">
        <v>36</v>
      </c>
      <c r="Z1336">
        <v>7423.94</v>
      </c>
    </row>
    <row r="1337" spans="1:26" x14ac:dyDescent="0.25">
      <c r="A1337">
        <v>101335</v>
      </c>
      <c r="B1337" s="3">
        <v>45444</v>
      </c>
      <c r="C1337" s="3">
        <v>45444</v>
      </c>
      <c r="D1337" s="3">
        <v>45449</v>
      </c>
      <c r="E1337" t="s">
        <v>3379</v>
      </c>
      <c r="F1337" t="s">
        <v>38</v>
      </c>
      <c r="G1337" t="s">
        <v>39</v>
      </c>
      <c r="H1337" t="s">
        <v>3380</v>
      </c>
      <c r="I1337" t="s">
        <v>144</v>
      </c>
      <c r="J1337" t="s">
        <v>52</v>
      </c>
      <c r="K1337" t="s">
        <v>1143</v>
      </c>
      <c r="L1337" t="s">
        <v>98</v>
      </c>
      <c r="M1337" t="s">
        <v>65</v>
      </c>
      <c r="N1337" t="s">
        <v>45</v>
      </c>
      <c r="O1337" t="s">
        <v>46</v>
      </c>
      <c r="P1337" t="s">
        <v>35</v>
      </c>
      <c r="Q1337">
        <v>390</v>
      </c>
      <c r="R1337">
        <v>57.95</v>
      </c>
      <c r="S1337">
        <v>22600.5</v>
      </c>
      <c r="T1337">
        <v>23.53</v>
      </c>
      <c r="U1337">
        <v>5</v>
      </c>
      <c r="V1337">
        <v>5</v>
      </c>
      <c r="W1337">
        <v>3280</v>
      </c>
      <c r="X1337" t="s">
        <v>3741</v>
      </c>
      <c r="Y1337" t="s">
        <v>36</v>
      </c>
      <c r="Z1337">
        <v>1738.75</v>
      </c>
    </row>
    <row r="1338" spans="1:26" x14ac:dyDescent="0.25">
      <c r="A1338">
        <v>101336</v>
      </c>
      <c r="B1338" s="3">
        <v>45436</v>
      </c>
      <c r="C1338" s="3">
        <v>45439</v>
      </c>
      <c r="D1338" s="3">
        <v>45444</v>
      </c>
      <c r="E1338" t="s">
        <v>3381</v>
      </c>
      <c r="F1338" t="s">
        <v>65</v>
      </c>
      <c r="G1338" t="s">
        <v>142</v>
      </c>
      <c r="H1338" t="s">
        <v>3382</v>
      </c>
      <c r="I1338" t="s">
        <v>126</v>
      </c>
      <c r="J1338" t="s">
        <v>42</v>
      </c>
      <c r="K1338" t="s">
        <v>404</v>
      </c>
      <c r="L1338" t="s">
        <v>31</v>
      </c>
      <c r="M1338" t="s">
        <v>25</v>
      </c>
      <c r="N1338" t="s">
        <v>102</v>
      </c>
      <c r="O1338" t="s">
        <v>103</v>
      </c>
      <c r="P1338" t="s">
        <v>68</v>
      </c>
      <c r="Q1338">
        <v>95</v>
      </c>
      <c r="R1338">
        <v>393.14</v>
      </c>
      <c r="S1338">
        <v>37348.300000000003</v>
      </c>
      <c r="T1338">
        <v>34.67</v>
      </c>
      <c r="U1338">
        <v>5</v>
      </c>
      <c r="V1338">
        <v>8</v>
      </c>
      <c r="W1338">
        <v>1784</v>
      </c>
      <c r="X1338" t="s">
        <v>188</v>
      </c>
      <c r="Y1338" t="s">
        <v>36</v>
      </c>
      <c r="Z1338">
        <v>3440.75</v>
      </c>
    </row>
    <row r="1339" spans="1:26" x14ac:dyDescent="0.25">
      <c r="A1339">
        <v>101337</v>
      </c>
      <c r="B1339" s="3">
        <v>45680</v>
      </c>
      <c r="C1339" s="3">
        <v>45685</v>
      </c>
      <c r="D1339" s="3">
        <v>45702</v>
      </c>
      <c r="E1339" t="s">
        <v>3383</v>
      </c>
      <c r="F1339" t="s">
        <v>65</v>
      </c>
      <c r="G1339" t="s">
        <v>70</v>
      </c>
      <c r="H1339" t="s">
        <v>3384</v>
      </c>
      <c r="I1339" t="s">
        <v>238</v>
      </c>
      <c r="J1339" t="s">
        <v>62</v>
      </c>
      <c r="K1339" t="s">
        <v>2019</v>
      </c>
      <c r="L1339" t="s">
        <v>122</v>
      </c>
      <c r="M1339" t="s">
        <v>65</v>
      </c>
      <c r="N1339" t="s">
        <v>151</v>
      </c>
      <c r="O1339" t="s">
        <v>152</v>
      </c>
      <c r="P1339" t="s">
        <v>76</v>
      </c>
      <c r="Q1339">
        <v>274</v>
      </c>
      <c r="R1339">
        <v>36.75</v>
      </c>
      <c r="S1339">
        <v>10069.5</v>
      </c>
      <c r="T1339">
        <v>9.64</v>
      </c>
      <c r="U1339">
        <v>17</v>
      </c>
      <c r="V1339">
        <v>22</v>
      </c>
      <c r="W1339">
        <v>1773</v>
      </c>
      <c r="X1339" t="s">
        <v>188</v>
      </c>
      <c r="Y1339" t="s">
        <v>36</v>
      </c>
      <c r="Z1339">
        <v>1010.04</v>
      </c>
    </row>
    <row r="1340" spans="1:26" x14ac:dyDescent="0.25">
      <c r="A1340">
        <v>101338</v>
      </c>
      <c r="B1340" s="3">
        <v>45754</v>
      </c>
      <c r="C1340" s="3">
        <v>45754</v>
      </c>
      <c r="D1340" s="3">
        <v>45773</v>
      </c>
      <c r="E1340" t="s">
        <v>3385</v>
      </c>
      <c r="F1340" t="s">
        <v>32</v>
      </c>
      <c r="G1340" t="s">
        <v>110</v>
      </c>
      <c r="H1340" t="s">
        <v>3386</v>
      </c>
      <c r="I1340" t="s">
        <v>41</v>
      </c>
      <c r="J1340" t="s">
        <v>42</v>
      </c>
      <c r="K1340" t="s">
        <v>1951</v>
      </c>
      <c r="L1340" t="s">
        <v>64</v>
      </c>
      <c r="M1340" t="s">
        <v>38</v>
      </c>
      <c r="N1340" t="s">
        <v>74</v>
      </c>
      <c r="O1340" t="s">
        <v>75</v>
      </c>
      <c r="P1340" t="s">
        <v>76</v>
      </c>
      <c r="Q1340">
        <v>294</v>
      </c>
      <c r="R1340">
        <v>418.8</v>
      </c>
      <c r="S1340">
        <v>123127.2</v>
      </c>
      <c r="T1340">
        <v>13.38</v>
      </c>
      <c r="U1340">
        <v>19</v>
      </c>
      <c r="V1340">
        <v>19</v>
      </c>
      <c r="W1340">
        <v>93</v>
      </c>
      <c r="X1340" t="s">
        <v>188</v>
      </c>
      <c r="Y1340" t="s">
        <v>36</v>
      </c>
      <c r="Z1340">
        <v>18365.66</v>
      </c>
    </row>
    <row r="1341" spans="1:26" x14ac:dyDescent="0.25">
      <c r="A1341">
        <v>101339</v>
      </c>
      <c r="B1341" s="3">
        <v>45732</v>
      </c>
      <c r="C1341" s="3">
        <v>45737</v>
      </c>
      <c r="D1341" s="3">
        <v>45741</v>
      </c>
      <c r="E1341" t="s">
        <v>3387</v>
      </c>
      <c r="F1341" t="s">
        <v>25</v>
      </c>
      <c r="G1341" t="s">
        <v>26</v>
      </c>
      <c r="H1341" t="s">
        <v>3388</v>
      </c>
      <c r="I1341" t="s">
        <v>134</v>
      </c>
      <c r="J1341" t="s">
        <v>52</v>
      </c>
      <c r="K1341" t="s">
        <v>2107</v>
      </c>
      <c r="L1341" t="s">
        <v>122</v>
      </c>
      <c r="M1341" t="s">
        <v>54</v>
      </c>
      <c r="N1341" t="s">
        <v>55</v>
      </c>
      <c r="O1341" t="s">
        <v>56</v>
      </c>
      <c r="P1341" t="s">
        <v>68</v>
      </c>
      <c r="Q1341">
        <v>480</v>
      </c>
      <c r="R1341">
        <v>20.64</v>
      </c>
      <c r="S1341">
        <v>9907.2000000000007</v>
      </c>
      <c r="T1341">
        <v>59.62</v>
      </c>
      <c r="U1341">
        <v>4</v>
      </c>
      <c r="V1341">
        <v>9</v>
      </c>
      <c r="W1341">
        <v>3332</v>
      </c>
      <c r="X1341" t="s">
        <v>3742</v>
      </c>
      <c r="Y1341" t="s">
        <v>57</v>
      </c>
      <c r="Z1341">
        <v>1786.97</v>
      </c>
    </row>
    <row r="1342" spans="1:26" x14ac:dyDescent="0.25">
      <c r="A1342">
        <v>101340</v>
      </c>
      <c r="B1342" s="3">
        <v>45304</v>
      </c>
      <c r="C1342" s="3">
        <v>45305</v>
      </c>
      <c r="D1342" s="3">
        <v>45310</v>
      </c>
      <c r="E1342" t="s">
        <v>3389</v>
      </c>
      <c r="F1342" t="s">
        <v>65</v>
      </c>
      <c r="G1342" t="s">
        <v>70</v>
      </c>
      <c r="H1342" t="s">
        <v>3390</v>
      </c>
      <c r="I1342" t="s">
        <v>139</v>
      </c>
      <c r="J1342" t="s">
        <v>42</v>
      </c>
      <c r="K1342" t="s">
        <v>392</v>
      </c>
      <c r="L1342" t="s">
        <v>31</v>
      </c>
      <c r="M1342" t="s">
        <v>65</v>
      </c>
      <c r="N1342" t="s">
        <v>66</v>
      </c>
      <c r="O1342" t="s">
        <v>67</v>
      </c>
      <c r="P1342" t="s">
        <v>68</v>
      </c>
      <c r="Q1342">
        <v>228</v>
      </c>
      <c r="R1342">
        <v>158.38</v>
      </c>
      <c r="S1342">
        <v>36110.639999999999</v>
      </c>
      <c r="T1342">
        <v>32.06</v>
      </c>
      <c r="U1342">
        <v>5</v>
      </c>
      <c r="V1342">
        <v>6</v>
      </c>
      <c r="W1342">
        <v>503</v>
      </c>
      <c r="X1342" t="s">
        <v>3741</v>
      </c>
      <c r="Y1342" t="s">
        <v>36</v>
      </c>
      <c r="Z1342">
        <v>7205.96</v>
      </c>
    </row>
    <row r="1343" spans="1:26" x14ac:dyDescent="0.25">
      <c r="A1343">
        <v>101341</v>
      </c>
      <c r="B1343" s="3">
        <v>45900</v>
      </c>
      <c r="C1343" s="3">
        <v>45904</v>
      </c>
      <c r="D1343" s="3">
        <v>45906</v>
      </c>
      <c r="E1343" t="s">
        <v>3391</v>
      </c>
      <c r="F1343" t="s">
        <v>25</v>
      </c>
      <c r="G1343" t="s">
        <v>221</v>
      </c>
      <c r="H1343" t="s">
        <v>3392</v>
      </c>
      <c r="I1343" t="s">
        <v>198</v>
      </c>
      <c r="J1343" t="s">
        <v>52</v>
      </c>
      <c r="K1343" t="s">
        <v>3393</v>
      </c>
      <c r="L1343" t="s">
        <v>91</v>
      </c>
      <c r="M1343" t="s">
        <v>65</v>
      </c>
      <c r="N1343" t="s">
        <v>55</v>
      </c>
      <c r="O1343" t="s">
        <v>56</v>
      </c>
      <c r="P1343" t="s">
        <v>68</v>
      </c>
      <c r="Q1343">
        <v>260</v>
      </c>
      <c r="R1343">
        <v>13.37</v>
      </c>
      <c r="S1343">
        <v>3476.2</v>
      </c>
      <c r="T1343">
        <v>45.36</v>
      </c>
      <c r="U1343">
        <v>2</v>
      </c>
      <c r="V1343">
        <v>6</v>
      </c>
      <c r="W1343">
        <v>1109</v>
      </c>
      <c r="X1343" t="s">
        <v>3741</v>
      </c>
      <c r="Y1343" t="s">
        <v>36</v>
      </c>
      <c r="Z1343">
        <v>496.41</v>
      </c>
    </row>
    <row r="1344" spans="1:26" x14ac:dyDescent="0.25">
      <c r="A1344">
        <v>101342</v>
      </c>
      <c r="B1344" s="3">
        <v>45627</v>
      </c>
      <c r="C1344" s="3">
        <v>45629</v>
      </c>
      <c r="D1344" s="3">
        <v>45650</v>
      </c>
      <c r="E1344" t="s">
        <v>3394</v>
      </c>
      <c r="F1344" t="s">
        <v>54</v>
      </c>
      <c r="G1344" t="s">
        <v>193</v>
      </c>
      <c r="H1344" t="s">
        <v>3395</v>
      </c>
      <c r="I1344" t="s">
        <v>278</v>
      </c>
      <c r="J1344" t="s">
        <v>29</v>
      </c>
      <c r="K1344" t="s">
        <v>2378</v>
      </c>
      <c r="L1344" t="s">
        <v>31</v>
      </c>
      <c r="M1344" t="s">
        <v>38</v>
      </c>
      <c r="N1344" t="s">
        <v>203</v>
      </c>
      <c r="O1344" t="s">
        <v>204</v>
      </c>
      <c r="P1344" t="s">
        <v>76</v>
      </c>
      <c r="Q1344">
        <v>11</v>
      </c>
      <c r="R1344">
        <v>60.86</v>
      </c>
      <c r="S1344">
        <v>669.46</v>
      </c>
      <c r="T1344">
        <v>8.2200000000000006</v>
      </c>
      <c r="U1344">
        <v>21</v>
      </c>
      <c r="V1344">
        <v>23</v>
      </c>
      <c r="W1344">
        <v>1096</v>
      </c>
      <c r="X1344" t="s">
        <v>188</v>
      </c>
      <c r="Y1344" t="s">
        <v>36</v>
      </c>
      <c r="Z1344">
        <v>165.99</v>
      </c>
    </row>
    <row r="1345" spans="1:26" x14ac:dyDescent="0.25">
      <c r="A1345">
        <v>101343</v>
      </c>
      <c r="B1345" s="3">
        <v>45747</v>
      </c>
      <c r="C1345" s="3">
        <v>45748</v>
      </c>
      <c r="D1345" s="3">
        <v>45772</v>
      </c>
      <c r="E1345" t="s">
        <v>3396</v>
      </c>
      <c r="F1345" t="s">
        <v>54</v>
      </c>
      <c r="G1345" t="s">
        <v>193</v>
      </c>
      <c r="H1345" t="s">
        <v>3397</v>
      </c>
      <c r="I1345" t="s">
        <v>207</v>
      </c>
      <c r="J1345" t="s">
        <v>80</v>
      </c>
      <c r="K1345" t="s">
        <v>985</v>
      </c>
      <c r="L1345" t="s">
        <v>122</v>
      </c>
      <c r="M1345" t="s">
        <v>54</v>
      </c>
      <c r="N1345" t="s">
        <v>33</v>
      </c>
      <c r="O1345" t="s">
        <v>34</v>
      </c>
      <c r="P1345" t="s">
        <v>76</v>
      </c>
      <c r="Q1345">
        <v>66</v>
      </c>
      <c r="R1345">
        <v>123.7</v>
      </c>
      <c r="S1345">
        <v>8164.2</v>
      </c>
      <c r="T1345">
        <v>6.83</v>
      </c>
      <c r="U1345">
        <v>24</v>
      </c>
      <c r="V1345">
        <v>25</v>
      </c>
      <c r="W1345">
        <v>1038</v>
      </c>
      <c r="X1345" t="s">
        <v>188</v>
      </c>
      <c r="Y1345" t="s">
        <v>36</v>
      </c>
      <c r="Z1345">
        <v>1686.5</v>
      </c>
    </row>
    <row r="1346" spans="1:26" x14ac:dyDescent="0.25">
      <c r="A1346">
        <v>101344</v>
      </c>
      <c r="B1346" s="3">
        <v>46005</v>
      </c>
      <c r="C1346" s="3">
        <v>46006</v>
      </c>
      <c r="D1346" s="3">
        <v>46012</v>
      </c>
      <c r="E1346" t="s">
        <v>3398</v>
      </c>
      <c r="F1346" t="s">
        <v>32</v>
      </c>
      <c r="G1346" t="s">
        <v>137</v>
      </c>
      <c r="H1346" t="s">
        <v>3399</v>
      </c>
      <c r="I1346" t="s">
        <v>191</v>
      </c>
      <c r="J1346" t="s">
        <v>62</v>
      </c>
      <c r="K1346" t="s">
        <v>331</v>
      </c>
      <c r="L1346" t="s">
        <v>31</v>
      </c>
      <c r="M1346" t="s">
        <v>38</v>
      </c>
      <c r="N1346" t="s">
        <v>92</v>
      </c>
      <c r="O1346" t="s">
        <v>93</v>
      </c>
      <c r="P1346" t="s">
        <v>123</v>
      </c>
      <c r="Q1346">
        <v>236</v>
      </c>
      <c r="R1346">
        <v>25.85</v>
      </c>
      <c r="S1346">
        <v>6100.6</v>
      </c>
      <c r="T1346">
        <v>16.43</v>
      </c>
      <c r="U1346">
        <v>6</v>
      </c>
      <c r="V1346">
        <v>7</v>
      </c>
      <c r="W1346">
        <v>3519</v>
      </c>
      <c r="X1346" t="s">
        <v>3741</v>
      </c>
      <c r="Y1346" t="s">
        <v>36</v>
      </c>
      <c r="Z1346">
        <v>784.12</v>
      </c>
    </row>
    <row r="1347" spans="1:26" x14ac:dyDescent="0.25">
      <c r="A1347">
        <v>101345</v>
      </c>
      <c r="B1347" s="3">
        <v>45607</v>
      </c>
      <c r="C1347" s="3">
        <v>45610</v>
      </c>
      <c r="D1347" s="3">
        <v>45632</v>
      </c>
      <c r="E1347" t="s">
        <v>390</v>
      </c>
      <c r="F1347" t="s">
        <v>65</v>
      </c>
      <c r="G1347" t="s">
        <v>70</v>
      </c>
      <c r="H1347" t="s">
        <v>3400</v>
      </c>
      <c r="I1347" t="s">
        <v>28</v>
      </c>
      <c r="J1347" t="s">
        <v>29</v>
      </c>
      <c r="K1347" t="s">
        <v>1228</v>
      </c>
      <c r="L1347" t="s">
        <v>122</v>
      </c>
      <c r="M1347" t="s">
        <v>54</v>
      </c>
      <c r="N1347" t="s">
        <v>55</v>
      </c>
      <c r="O1347" t="s">
        <v>56</v>
      </c>
      <c r="P1347" t="s">
        <v>76</v>
      </c>
      <c r="Q1347">
        <v>360</v>
      </c>
      <c r="R1347">
        <v>12.87</v>
      </c>
      <c r="S1347">
        <v>4633.2</v>
      </c>
      <c r="T1347">
        <v>14.58</v>
      </c>
      <c r="U1347">
        <v>22</v>
      </c>
      <c r="V1347">
        <v>25</v>
      </c>
      <c r="W1347">
        <v>1401</v>
      </c>
      <c r="X1347" t="s">
        <v>3742</v>
      </c>
      <c r="Y1347" t="s">
        <v>188</v>
      </c>
      <c r="Z1347">
        <v>602.16</v>
      </c>
    </row>
    <row r="1348" spans="1:26" x14ac:dyDescent="0.25">
      <c r="A1348">
        <v>101346</v>
      </c>
      <c r="B1348" s="3">
        <v>45794</v>
      </c>
      <c r="C1348" s="3">
        <v>45797</v>
      </c>
      <c r="D1348" s="3">
        <v>45822</v>
      </c>
      <c r="E1348" t="s">
        <v>3401</v>
      </c>
      <c r="F1348" t="s">
        <v>25</v>
      </c>
      <c r="G1348" t="s">
        <v>244</v>
      </c>
      <c r="H1348" t="s">
        <v>3402</v>
      </c>
      <c r="I1348" t="s">
        <v>72</v>
      </c>
      <c r="J1348" t="s">
        <v>42</v>
      </c>
      <c r="K1348" t="s">
        <v>1717</v>
      </c>
      <c r="L1348" t="s">
        <v>31</v>
      </c>
      <c r="M1348" t="s">
        <v>54</v>
      </c>
      <c r="N1348" t="s">
        <v>203</v>
      </c>
      <c r="O1348" t="s">
        <v>204</v>
      </c>
      <c r="P1348" t="s">
        <v>76</v>
      </c>
      <c r="Q1348">
        <v>58</v>
      </c>
      <c r="R1348">
        <v>426.29</v>
      </c>
      <c r="S1348">
        <v>24724.82</v>
      </c>
      <c r="T1348">
        <v>9.08</v>
      </c>
      <c r="U1348">
        <v>25</v>
      </c>
      <c r="V1348">
        <v>28</v>
      </c>
      <c r="W1348">
        <v>1112</v>
      </c>
      <c r="X1348" t="s">
        <v>188</v>
      </c>
      <c r="Y1348" t="s">
        <v>36</v>
      </c>
      <c r="Z1348">
        <v>2909.63</v>
      </c>
    </row>
    <row r="1349" spans="1:26" x14ac:dyDescent="0.25">
      <c r="A1349">
        <v>101347</v>
      </c>
      <c r="B1349" s="3">
        <v>45424</v>
      </c>
      <c r="C1349" s="3">
        <v>45424</v>
      </c>
      <c r="D1349" s="3">
        <v>45433</v>
      </c>
      <c r="E1349" t="s">
        <v>3403</v>
      </c>
      <c r="F1349" t="s">
        <v>38</v>
      </c>
      <c r="G1349" t="s">
        <v>49</v>
      </c>
      <c r="H1349" t="s">
        <v>3404</v>
      </c>
      <c r="I1349" t="s">
        <v>149</v>
      </c>
      <c r="J1349" t="s">
        <v>42</v>
      </c>
      <c r="K1349" t="s">
        <v>3018</v>
      </c>
      <c r="L1349" t="s">
        <v>44</v>
      </c>
      <c r="M1349" t="s">
        <v>54</v>
      </c>
      <c r="N1349" t="s">
        <v>203</v>
      </c>
      <c r="O1349" t="s">
        <v>204</v>
      </c>
      <c r="P1349" t="s">
        <v>35</v>
      </c>
      <c r="Q1349">
        <v>398</v>
      </c>
      <c r="R1349">
        <v>438.45</v>
      </c>
      <c r="S1349">
        <v>174503.1</v>
      </c>
      <c r="T1349">
        <v>23.76</v>
      </c>
      <c r="U1349">
        <v>9</v>
      </c>
      <c r="V1349">
        <v>9</v>
      </c>
      <c r="W1349">
        <v>910</v>
      </c>
      <c r="X1349" t="s">
        <v>188</v>
      </c>
      <c r="Y1349" t="s">
        <v>36</v>
      </c>
      <c r="Z1349">
        <v>21069.37</v>
      </c>
    </row>
    <row r="1350" spans="1:26" x14ac:dyDescent="0.25">
      <c r="A1350">
        <v>101348</v>
      </c>
      <c r="B1350" s="3">
        <v>45859</v>
      </c>
      <c r="C1350" s="3">
        <v>45860</v>
      </c>
      <c r="D1350" s="3">
        <v>45870</v>
      </c>
      <c r="E1350" t="s">
        <v>2859</v>
      </c>
      <c r="F1350" t="s">
        <v>25</v>
      </c>
      <c r="G1350" t="s">
        <v>59</v>
      </c>
      <c r="H1350" t="s">
        <v>3405</v>
      </c>
      <c r="I1350" t="s">
        <v>41</v>
      </c>
      <c r="J1350" t="s">
        <v>42</v>
      </c>
      <c r="K1350" t="s">
        <v>1755</v>
      </c>
      <c r="L1350" t="s">
        <v>122</v>
      </c>
      <c r="M1350" t="s">
        <v>32</v>
      </c>
      <c r="N1350" t="s">
        <v>33</v>
      </c>
      <c r="O1350" t="s">
        <v>34</v>
      </c>
      <c r="P1350" t="s">
        <v>35</v>
      </c>
      <c r="Q1350">
        <v>19</v>
      </c>
      <c r="R1350">
        <v>240.27</v>
      </c>
      <c r="S1350">
        <v>4565.13</v>
      </c>
      <c r="T1350">
        <v>13.01</v>
      </c>
      <c r="U1350">
        <v>10</v>
      </c>
      <c r="V1350">
        <v>11</v>
      </c>
      <c r="W1350">
        <v>283</v>
      </c>
      <c r="X1350" t="s">
        <v>188</v>
      </c>
      <c r="Y1350" t="s">
        <v>36</v>
      </c>
      <c r="Z1350">
        <v>478.6</v>
      </c>
    </row>
    <row r="1351" spans="1:26" x14ac:dyDescent="0.25">
      <c r="A1351">
        <v>101349</v>
      </c>
      <c r="B1351" s="3">
        <v>45300</v>
      </c>
      <c r="C1351" s="3">
        <v>45304</v>
      </c>
      <c r="D1351" s="3">
        <v>45307</v>
      </c>
      <c r="E1351" t="s">
        <v>3406</v>
      </c>
      <c r="F1351" t="s">
        <v>32</v>
      </c>
      <c r="G1351" t="s">
        <v>255</v>
      </c>
      <c r="H1351" t="s">
        <v>3407</v>
      </c>
      <c r="I1351" t="s">
        <v>198</v>
      </c>
      <c r="J1351" t="s">
        <v>52</v>
      </c>
      <c r="K1351" t="s">
        <v>1374</v>
      </c>
      <c r="L1351" t="s">
        <v>187</v>
      </c>
      <c r="M1351" t="s">
        <v>25</v>
      </c>
      <c r="N1351" t="s">
        <v>102</v>
      </c>
      <c r="O1351" t="s">
        <v>103</v>
      </c>
      <c r="P1351" t="s">
        <v>68</v>
      </c>
      <c r="Q1351">
        <v>382</v>
      </c>
      <c r="R1351">
        <v>8.2799999999999994</v>
      </c>
      <c r="S1351">
        <v>3162.96</v>
      </c>
      <c r="T1351">
        <v>53.27</v>
      </c>
      <c r="U1351">
        <v>3</v>
      </c>
      <c r="V1351">
        <v>7</v>
      </c>
      <c r="W1351">
        <v>1154</v>
      </c>
      <c r="X1351" t="s">
        <v>3742</v>
      </c>
      <c r="Y1351" t="s">
        <v>47</v>
      </c>
      <c r="Z1351">
        <v>-199.35</v>
      </c>
    </row>
    <row r="1352" spans="1:26" x14ac:dyDescent="0.25">
      <c r="A1352">
        <v>101350</v>
      </c>
      <c r="B1352" s="3">
        <v>45606</v>
      </c>
      <c r="C1352" s="3">
        <v>45608</v>
      </c>
      <c r="D1352" s="3">
        <v>45609</v>
      </c>
      <c r="E1352" t="s">
        <v>3408</v>
      </c>
      <c r="F1352" t="s">
        <v>25</v>
      </c>
      <c r="G1352" t="s">
        <v>244</v>
      </c>
      <c r="H1352" t="s">
        <v>3409</v>
      </c>
      <c r="I1352" t="s">
        <v>61</v>
      </c>
      <c r="J1352" t="s">
        <v>62</v>
      </c>
      <c r="K1352" t="s">
        <v>775</v>
      </c>
      <c r="L1352" t="s">
        <v>212</v>
      </c>
      <c r="M1352" t="s">
        <v>54</v>
      </c>
      <c r="N1352" t="s">
        <v>66</v>
      </c>
      <c r="O1352" t="s">
        <v>67</v>
      </c>
      <c r="P1352" t="s">
        <v>68</v>
      </c>
      <c r="Q1352">
        <v>460</v>
      </c>
      <c r="R1352">
        <v>17.12</v>
      </c>
      <c r="S1352">
        <v>7875.2</v>
      </c>
      <c r="T1352">
        <v>58.32</v>
      </c>
      <c r="U1352">
        <v>1</v>
      </c>
      <c r="V1352">
        <v>3</v>
      </c>
      <c r="W1352">
        <v>2819</v>
      </c>
      <c r="X1352" t="s">
        <v>3741</v>
      </c>
      <c r="Y1352" t="s">
        <v>36</v>
      </c>
      <c r="Z1352">
        <v>627.49</v>
      </c>
    </row>
    <row r="1353" spans="1:26" x14ac:dyDescent="0.25">
      <c r="A1353">
        <v>101351</v>
      </c>
      <c r="B1353" s="3">
        <v>45827</v>
      </c>
      <c r="C1353" s="3">
        <v>45828</v>
      </c>
      <c r="D1353" s="3">
        <v>45831</v>
      </c>
      <c r="E1353" t="s">
        <v>3410</v>
      </c>
      <c r="F1353" t="s">
        <v>65</v>
      </c>
      <c r="G1353" t="s">
        <v>154</v>
      </c>
      <c r="H1353" t="s">
        <v>3364</v>
      </c>
      <c r="I1353" t="s">
        <v>191</v>
      </c>
      <c r="J1353" t="s">
        <v>62</v>
      </c>
      <c r="K1353" t="s">
        <v>867</v>
      </c>
      <c r="L1353" t="s">
        <v>187</v>
      </c>
      <c r="M1353" t="s">
        <v>38</v>
      </c>
      <c r="N1353" t="s">
        <v>107</v>
      </c>
      <c r="O1353" t="s">
        <v>108</v>
      </c>
      <c r="P1353" t="s">
        <v>68</v>
      </c>
      <c r="Q1353">
        <v>380</v>
      </c>
      <c r="R1353">
        <v>10.37</v>
      </c>
      <c r="S1353">
        <v>3940.6</v>
      </c>
      <c r="T1353">
        <v>53.14</v>
      </c>
      <c r="U1353">
        <v>3</v>
      </c>
      <c r="V1353">
        <v>4</v>
      </c>
      <c r="W1353">
        <v>475</v>
      </c>
      <c r="X1353" t="s">
        <v>3741</v>
      </c>
      <c r="Y1353" t="s">
        <v>36</v>
      </c>
      <c r="Z1353">
        <v>153.85</v>
      </c>
    </row>
    <row r="1354" spans="1:26" x14ac:dyDescent="0.25">
      <c r="A1354">
        <v>101352</v>
      </c>
      <c r="B1354" s="3">
        <v>45488</v>
      </c>
      <c r="C1354" s="3">
        <v>45491</v>
      </c>
      <c r="D1354" s="3">
        <v>45506</v>
      </c>
      <c r="E1354" t="s">
        <v>3411</v>
      </c>
      <c r="F1354" t="s">
        <v>25</v>
      </c>
      <c r="G1354" t="s">
        <v>59</v>
      </c>
      <c r="H1354" t="s">
        <v>3412</v>
      </c>
      <c r="I1354" t="s">
        <v>41</v>
      </c>
      <c r="J1354" t="s">
        <v>42</v>
      </c>
      <c r="K1354" t="s">
        <v>3413</v>
      </c>
      <c r="L1354" t="s">
        <v>118</v>
      </c>
      <c r="M1354" t="s">
        <v>65</v>
      </c>
      <c r="N1354" t="s">
        <v>33</v>
      </c>
      <c r="O1354" t="s">
        <v>34</v>
      </c>
      <c r="P1354" t="s">
        <v>35</v>
      </c>
      <c r="Q1354">
        <v>145</v>
      </c>
      <c r="R1354">
        <v>73.39</v>
      </c>
      <c r="S1354">
        <v>10641.55</v>
      </c>
      <c r="T1354">
        <v>16.579999999999998</v>
      </c>
      <c r="U1354">
        <v>15</v>
      </c>
      <c r="V1354">
        <v>18</v>
      </c>
      <c r="W1354">
        <v>578</v>
      </c>
      <c r="X1354" t="s">
        <v>3742</v>
      </c>
      <c r="Y1354" t="s">
        <v>188</v>
      </c>
      <c r="Z1354">
        <v>1373.6</v>
      </c>
    </row>
    <row r="1355" spans="1:26" x14ac:dyDescent="0.25">
      <c r="A1355">
        <v>101353</v>
      </c>
      <c r="B1355" s="3">
        <v>45813</v>
      </c>
      <c r="C1355" s="3">
        <v>45818</v>
      </c>
      <c r="D1355" s="3">
        <v>45824</v>
      </c>
      <c r="E1355" t="s">
        <v>3002</v>
      </c>
      <c r="F1355" t="s">
        <v>32</v>
      </c>
      <c r="G1355" t="s">
        <v>364</v>
      </c>
      <c r="H1355" t="s">
        <v>3414</v>
      </c>
      <c r="I1355" t="s">
        <v>89</v>
      </c>
      <c r="J1355" t="s">
        <v>62</v>
      </c>
      <c r="K1355" t="s">
        <v>1419</v>
      </c>
      <c r="L1355" t="s">
        <v>31</v>
      </c>
      <c r="M1355" t="s">
        <v>54</v>
      </c>
      <c r="N1355" t="s">
        <v>203</v>
      </c>
      <c r="O1355" t="s">
        <v>204</v>
      </c>
      <c r="P1355" t="s">
        <v>123</v>
      </c>
      <c r="Q1355">
        <v>116</v>
      </c>
      <c r="R1355">
        <v>7.29</v>
      </c>
      <c r="S1355">
        <v>845.64</v>
      </c>
      <c r="T1355">
        <v>13.51</v>
      </c>
      <c r="U1355">
        <v>6</v>
      </c>
      <c r="V1355">
        <v>11</v>
      </c>
      <c r="W1355">
        <v>4314</v>
      </c>
      <c r="X1355" t="s">
        <v>188</v>
      </c>
      <c r="Y1355" t="s">
        <v>36</v>
      </c>
      <c r="Z1355">
        <v>34.090000000000003</v>
      </c>
    </row>
    <row r="1356" spans="1:26" x14ac:dyDescent="0.25">
      <c r="A1356">
        <v>101354</v>
      </c>
      <c r="B1356" s="3">
        <v>45685</v>
      </c>
      <c r="C1356" s="3">
        <v>45686</v>
      </c>
      <c r="D1356" s="3">
        <v>45709</v>
      </c>
      <c r="E1356" t="s">
        <v>3415</v>
      </c>
      <c r="F1356" t="s">
        <v>65</v>
      </c>
      <c r="G1356" t="s">
        <v>142</v>
      </c>
      <c r="H1356" t="s">
        <v>3416</v>
      </c>
      <c r="I1356" t="s">
        <v>28</v>
      </c>
      <c r="J1356" t="s">
        <v>29</v>
      </c>
      <c r="K1356" t="s">
        <v>1242</v>
      </c>
      <c r="L1356" t="s">
        <v>91</v>
      </c>
      <c r="M1356" t="s">
        <v>25</v>
      </c>
      <c r="N1356" t="s">
        <v>92</v>
      </c>
      <c r="O1356" t="s">
        <v>93</v>
      </c>
      <c r="P1356" t="s">
        <v>76</v>
      </c>
      <c r="Q1356">
        <v>123</v>
      </c>
      <c r="R1356">
        <v>49.94</v>
      </c>
      <c r="S1356">
        <v>6142.62</v>
      </c>
      <c r="T1356">
        <v>10.26</v>
      </c>
      <c r="U1356">
        <v>23</v>
      </c>
      <c r="V1356">
        <v>24</v>
      </c>
      <c r="W1356">
        <v>1986</v>
      </c>
      <c r="X1356" t="s">
        <v>188</v>
      </c>
      <c r="Y1356" t="s">
        <v>36</v>
      </c>
      <c r="Z1356">
        <v>1129.99</v>
      </c>
    </row>
    <row r="1357" spans="1:26" x14ac:dyDescent="0.25">
      <c r="A1357">
        <v>101355</v>
      </c>
      <c r="B1357" s="3">
        <v>45402</v>
      </c>
      <c r="C1357" s="3">
        <v>45407</v>
      </c>
      <c r="D1357" s="3">
        <v>45431</v>
      </c>
      <c r="E1357" t="s">
        <v>2035</v>
      </c>
      <c r="F1357" t="s">
        <v>25</v>
      </c>
      <c r="G1357" t="s">
        <v>244</v>
      </c>
      <c r="H1357" t="s">
        <v>3417</v>
      </c>
      <c r="I1357" t="s">
        <v>139</v>
      </c>
      <c r="J1357" t="s">
        <v>42</v>
      </c>
      <c r="K1357" t="s">
        <v>1509</v>
      </c>
      <c r="L1357" t="s">
        <v>64</v>
      </c>
      <c r="M1357" t="s">
        <v>25</v>
      </c>
      <c r="N1357" t="s">
        <v>55</v>
      </c>
      <c r="O1357" t="s">
        <v>56</v>
      </c>
      <c r="P1357" t="s">
        <v>76</v>
      </c>
      <c r="Q1357">
        <v>442</v>
      </c>
      <c r="R1357">
        <v>238.16</v>
      </c>
      <c r="S1357">
        <v>105266.72</v>
      </c>
      <c r="T1357">
        <v>11.91</v>
      </c>
      <c r="U1357">
        <v>24</v>
      </c>
      <c r="V1357">
        <v>29</v>
      </c>
      <c r="W1357">
        <v>405</v>
      </c>
      <c r="X1357" t="s">
        <v>188</v>
      </c>
      <c r="Y1357" t="s">
        <v>36</v>
      </c>
      <c r="Z1357">
        <v>22597.61</v>
      </c>
    </row>
    <row r="1358" spans="1:26" x14ac:dyDescent="0.25">
      <c r="A1358">
        <v>101356</v>
      </c>
      <c r="B1358" s="3">
        <v>45711</v>
      </c>
      <c r="C1358" s="3">
        <v>45711</v>
      </c>
      <c r="D1358" s="3">
        <v>45715</v>
      </c>
      <c r="E1358" t="s">
        <v>3418</v>
      </c>
      <c r="F1358" t="s">
        <v>25</v>
      </c>
      <c r="G1358" t="s">
        <v>169</v>
      </c>
      <c r="H1358" t="s">
        <v>3419</v>
      </c>
      <c r="I1358" t="s">
        <v>41</v>
      </c>
      <c r="J1358" t="s">
        <v>42</v>
      </c>
      <c r="K1358" t="s">
        <v>489</v>
      </c>
      <c r="L1358" t="s">
        <v>212</v>
      </c>
      <c r="M1358" t="s">
        <v>32</v>
      </c>
      <c r="N1358" t="s">
        <v>66</v>
      </c>
      <c r="O1358" t="s">
        <v>67</v>
      </c>
      <c r="P1358" t="s">
        <v>68</v>
      </c>
      <c r="Q1358">
        <v>349</v>
      </c>
      <c r="R1358">
        <v>113.13</v>
      </c>
      <c r="S1358">
        <v>39482.370000000003</v>
      </c>
      <c r="T1358">
        <v>51.13</v>
      </c>
      <c r="U1358">
        <v>4</v>
      </c>
      <c r="V1358">
        <v>4</v>
      </c>
      <c r="W1358">
        <v>1592</v>
      </c>
      <c r="X1358" t="s">
        <v>3741</v>
      </c>
      <c r="Y1358" t="s">
        <v>36</v>
      </c>
      <c r="Z1358">
        <v>7223.75</v>
      </c>
    </row>
    <row r="1359" spans="1:26" x14ac:dyDescent="0.25">
      <c r="A1359">
        <v>101357</v>
      </c>
      <c r="B1359" s="3">
        <v>45857</v>
      </c>
      <c r="C1359" s="3">
        <v>45858</v>
      </c>
      <c r="D1359" s="3">
        <v>45871</v>
      </c>
      <c r="E1359" t="s">
        <v>3420</v>
      </c>
      <c r="F1359" t="s">
        <v>38</v>
      </c>
      <c r="G1359" t="s">
        <v>83</v>
      </c>
      <c r="H1359" t="s">
        <v>3421</v>
      </c>
      <c r="I1359" t="s">
        <v>85</v>
      </c>
      <c r="J1359" t="s">
        <v>52</v>
      </c>
      <c r="K1359" t="s">
        <v>455</v>
      </c>
      <c r="L1359" t="s">
        <v>91</v>
      </c>
      <c r="M1359" t="s">
        <v>32</v>
      </c>
      <c r="N1359" t="s">
        <v>107</v>
      </c>
      <c r="O1359" t="s">
        <v>108</v>
      </c>
      <c r="P1359" t="s">
        <v>123</v>
      </c>
      <c r="Q1359">
        <v>480</v>
      </c>
      <c r="R1359">
        <v>61.11</v>
      </c>
      <c r="S1359">
        <v>29332.799999999999</v>
      </c>
      <c r="T1359">
        <v>22.36</v>
      </c>
      <c r="U1359">
        <v>13</v>
      </c>
      <c r="V1359">
        <v>14</v>
      </c>
      <c r="W1359">
        <v>3905</v>
      </c>
      <c r="X1359" t="s">
        <v>188</v>
      </c>
      <c r="Y1359" t="s">
        <v>36</v>
      </c>
      <c r="Z1359">
        <v>5625.55</v>
      </c>
    </row>
    <row r="1360" spans="1:26" x14ac:dyDescent="0.25">
      <c r="A1360">
        <v>101358</v>
      </c>
      <c r="B1360" s="3">
        <v>45755</v>
      </c>
      <c r="C1360" s="3">
        <v>45756</v>
      </c>
      <c r="D1360" s="3">
        <v>45758</v>
      </c>
      <c r="E1360" t="s">
        <v>3422</v>
      </c>
      <c r="F1360" t="s">
        <v>65</v>
      </c>
      <c r="G1360" t="s">
        <v>70</v>
      </c>
      <c r="H1360" t="s">
        <v>3423</v>
      </c>
      <c r="I1360" t="s">
        <v>177</v>
      </c>
      <c r="J1360" t="s">
        <v>29</v>
      </c>
      <c r="K1360" t="s">
        <v>1679</v>
      </c>
      <c r="L1360" t="s">
        <v>64</v>
      </c>
      <c r="M1360" t="s">
        <v>65</v>
      </c>
      <c r="N1360" t="s">
        <v>33</v>
      </c>
      <c r="O1360" t="s">
        <v>34</v>
      </c>
      <c r="P1360" t="s">
        <v>68</v>
      </c>
      <c r="Q1360">
        <v>163</v>
      </c>
      <c r="R1360">
        <v>38.17</v>
      </c>
      <c r="S1360">
        <v>6221.71</v>
      </c>
      <c r="T1360">
        <v>28.94</v>
      </c>
      <c r="U1360">
        <v>2</v>
      </c>
      <c r="V1360">
        <v>3</v>
      </c>
      <c r="W1360">
        <v>2284</v>
      </c>
      <c r="X1360" t="s">
        <v>3741</v>
      </c>
      <c r="Y1360" t="s">
        <v>36</v>
      </c>
      <c r="Z1360">
        <v>1163.82</v>
      </c>
    </row>
    <row r="1361" spans="1:26" x14ac:dyDescent="0.25">
      <c r="A1361">
        <v>101359</v>
      </c>
      <c r="B1361" s="3">
        <v>45414</v>
      </c>
      <c r="C1361" s="3">
        <v>45414</v>
      </c>
      <c r="D1361" s="3">
        <v>45418</v>
      </c>
      <c r="E1361" t="s">
        <v>3424</v>
      </c>
      <c r="F1361" t="s">
        <v>32</v>
      </c>
      <c r="G1361" t="s">
        <v>180</v>
      </c>
      <c r="H1361" t="s">
        <v>3425</v>
      </c>
      <c r="I1361" t="s">
        <v>238</v>
      </c>
      <c r="J1361" t="s">
        <v>62</v>
      </c>
      <c r="K1361" t="s">
        <v>1617</v>
      </c>
      <c r="L1361" t="s">
        <v>122</v>
      </c>
      <c r="M1361" t="s">
        <v>54</v>
      </c>
      <c r="N1361" t="s">
        <v>92</v>
      </c>
      <c r="O1361" t="s">
        <v>93</v>
      </c>
      <c r="P1361" t="s">
        <v>35</v>
      </c>
      <c r="Q1361">
        <v>314</v>
      </c>
      <c r="R1361">
        <v>10.5</v>
      </c>
      <c r="S1361">
        <v>3297</v>
      </c>
      <c r="T1361">
        <v>21.38</v>
      </c>
      <c r="U1361">
        <v>4</v>
      </c>
      <c r="V1361">
        <v>4</v>
      </c>
      <c r="W1361">
        <v>1608</v>
      </c>
      <c r="X1361" t="s">
        <v>3741</v>
      </c>
      <c r="Y1361" t="s">
        <v>36</v>
      </c>
      <c r="Z1361">
        <v>219.82</v>
      </c>
    </row>
    <row r="1362" spans="1:26" x14ac:dyDescent="0.25">
      <c r="A1362">
        <v>101360</v>
      </c>
      <c r="B1362" s="3">
        <v>45322</v>
      </c>
      <c r="C1362" s="3">
        <v>45327</v>
      </c>
      <c r="D1362" s="3">
        <v>45337</v>
      </c>
      <c r="E1362" t="s">
        <v>3426</v>
      </c>
      <c r="F1362" t="s">
        <v>25</v>
      </c>
      <c r="G1362" t="s">
        <v>172</v>
      </c>
      <c r="H1362" t="s">
        <v>3427</v>
      </c>
      <c r="I1362" t="s">
        <v>51</v>
      </c>
      <c r="J1362" t="s">
        <v>52</v>
      </c>
      <c r="K1362" t="s">
        <v>2754</v>
      </c>
      <c r="L1362" t="s">
        <v>98</v>
      </c>
      <c r="M1362" t="s">
        <v>32</v>
      </c>
      <c r="N1362" t="s">
        <v>33</v>
      </c>
      <c r="O1362" t="s">
        <v>34</v>
      </c>
      <c r="P1362" t="s">
        <v>123</v>
      </c>
      <c r="Q1362">
        <v>341</v>
      </c>
      <c r="R1362">
        <v>68.06</v>
      </c>
      <c r="S1362">
        <v>23208.46</v>
      </c>
      <c r="T1362">
        <v>18.98</v>
      </c>
      <c r="U1362">
        <v>10</v>
      </c>
      <c r="V1362">
        <v>15</v>
      </c>
      <c r="W1362">
        <v>1334</v>
      </c>
      <c r="X1362" t="s">
        <v>188</v>
      </c>
      <c r="Y1362" t="s">
        <v>36</v>
      </c>
      <c r="Z1362">
        <v>3797.71</v>
      </c>
    </row>
    <row r="1363" spans="1:26" x14ac:dyDescent="0.25">
      <c r="A1363">
        <v>101361</v>
      </c>
      <c r="B1363" s="3">
        <v>45345</v>
      </c>
      <c r="C1363" s="3">
        <v>45345</v>
      </c>
      <c r="D1363" s="3">
        <v>45348</v>
      </c>
      <c r="E1363" t="s">
        <v>3428</v>
      </c>
      <c r="F1363" t="s">
        <v>32</v>
      </c>
      <c r="G1363" t="s">
        <v>273</v>
      </c>
      <c r="H1363" t="s">
        <v>3429</v>
      </c>
      <c r="I1363" t="s">
        <v>207</v>
      </c>
      <c r="J1363" t="s">
        <v>80</v>
      </c>
      <c r="K1363" t="s">
        <v>1402</v>
      </c>
      <c r="L1363" t="s">
        <v>64</v>
      </c>
      <c r="M1363" t="s">
        <v>54</v>
      </c>
      <c r="N1363" t="s">
        <v>203</v>
      </c>
      <c r="O1363" t="s">
        <v>204</v>
      </c>
      <c r="P1363" t="s">
        <v>68</v>
      </c>
      <c r="Q1363">
        <v>353</v>
      </c>
      <c r="R1363">
        <v>285.7</v>
      </c>
      <c r="S1363">
        <v>100852.1</v>
      </c>
      <c r="T1363">
        <v>51.39</v>
      </c>
      <c r="U1363">
        <v>3</v>
      </c>
      <c r="V1363">
        <v>3</v>
      </c>
      <c r="W1363">
        <v>1846</v>
      </c>
      <c r="X1363" t="s">
        <v>3741</v>
      </c>
      <c r="Y1363" t="s">
        <v>36</v>
      </c>
      <c r="Z1363">
        <v>21521.59</v>
      </c>
    </row>
    <row r="1364" spans="1:26" x14ac:dyDescent="0.25">
      <c r="A1364">
        <v>101362</v>
      </c>
      <c r="B1364" s="3">
        <v>45519</v>
      </c>
      <c r="C1364" s="3">
        <v>45523</v>
      </c>
      <c r="D1364" s="3">
        <v>45530</v>
      </c>
      <c r="E1364" t="s">
        <v>1330</v>
      </c>
      <c r="F1364" t="s">
        <v>54</v>
      </c>
      <c r="G1364" t="s">
        <v>225</v>
      </c>
      <c r="H1364" t="s">
        <v>884</v>
      </c>
      <c r="I1364" t="s">
        <v>28</v>
      </c>
      <c r="J1364" t="s">
        <v>29</v>
      </c>
      <c r="K1364" t="s">
        <v>2692</v>
      </c>
      <c r="L1364" t="s">
        <v>31</v>
      </c>
      <c r="M1364" t="s">
        <v>54</v>
      </c>
      <c r="N1364" t="s">
        <v>203</v>
      </c>
      <c r="O1364" t="s">
        <v>204</v>
      </c>
      <c r="P1364" t="s">
        <v>123</v>
      </c>
      <c r="Q1364">
        <v>46</v>
      </c>
      <c r="R1364">
        <v>108.11</v>
      </c>
      <c r="S1364">
        <v>4973.0600000000004</v>
      </c>
      <c r="T1364">
        <v>8.75</v>
      </c>
      <c r="U1364">
        <v>7</v>
      </c>
      <c r="V1364">
        <v>11</v>
      </c>
      <c r="W1364">
        <v>1588</v>
      </c>
      <c r="X1364" t="s">
        <v>188</v>
      </c>
      <c r="Y1364" t="s">
        <v>36</v>
      </c>
      <c r="Z1364">
        <v>1424.91</v>
      </c>
    </row>
    <row r="1365" spans="1:26" x14ac:dyDescent="0.25">
      <c r="A1365">
        <v>101363</v>
      </c>
      <c r="B1365" s="3">
        <v>45816</v>
      </c>
      <c r="C1365" s="3">
        <v>45819</v>
      </c>
      <c r="D1365" s="3">
        <v>45830</v>
      </c>
      <c r="E1365" t="s">
        <v>3430</v>
      </c>
      <c r="F1365" t="s">
        <v>38</v>
      </c>
      <c r="G1365" t="s">
        <v>147</v>
      </c>
      <c r="H1365" t="s">
        <v>3431</v>
      </c>
      <c r="I1365" t="s">
        <v>79</v>
      </c>
      <c r="J1365" t="s">
        <v>80</v>
      </c>
      <c r="K1365" t="s">
        <v>183</v>
      </c>
      <c r="L1365" t="s">
        <v>118</v>
      </c>
      <c r="M1365" t="s">
        <v>32</v>
      </c>
      <c r="N1365" t="s">
        <v>203</v>
      </c>
      <c r="O1365" t="s">
        <v>204</v>
      </c>
      <c r="P1365" t="s">
        <v>123</v>
      </c>
      <c r="Q1365">
        <v>244</v>
      </c>
      <c r="R1365">
        <v>279.79000000000002</v>
      </c>
      <c r="S1365">
        <v>68268.759999999995</v>
      </c>
      <c r="T1365">
        <v>16.62</v>
      </c>
      <c r="U1365">
        <v>11</v>
      </c>
      <c r="V1365">
        <v>14</v>
      </c>
      <c r="W1365">
        <v>2175</v>
      </c>
      <c r="X1365" t="s">
        <v>188</v>
      </c>
      <c r="Y1365" t="s">
        <v>36</v>
      </c>
      <c r="Z1365">
        <v>10931.41</v>
      </c>
    </row>
    <row r="1366" spans="1:26" x14ac:dyDescent="0.25">
      <c r="A1366">
        <v>101364</v>
      </c>
      <c r="B1366" s="3">
        <v>45773</v>
      </c>
      <c r="C1366" s="3">
        <v>45775</v>
      </c>
      <c r="D1366" s="3">
        <v>45781</v>
      </c>
      <c r="E1366" t="s">
        <v>3432</v>
      </c>
      <c r="F1366" t="s">
        <v>38</v>
      </c>
      <c r="G1366" t="s">
        <v>39</v>
      </c>
      <c r="H1366" t="s">
        <v>3433</v>
      </c>
      <c r="I1366" t="s">
        <v>144</v>
      </c>
      <c r="J1366" t="s">
        <v>52</v>
      </c>
      <c r="K1366" t="s">
        <v>1063</v>
      </c>
      <c r="L1366" t="s">
        <v>31</v>
      </c>
      <c r="M1366" t="s">
        <v>25</v>
      </c>
      <c r="N1366" t="s">
        <v>45</v>
      </c>
      <c r="O1366" t="s">
        <v>46</v>
      </c>
      <c r="P1366" t="s">
        <v>35</v>
      </c>
      <c r="Q1366">
        <v>306</v>
      </c>
      <c r="R1366">
        <v>14.93</v>
      </c>
      <c r="S1366">
        <v>4568.58</v>
      </c>
      <c r="T1366">
        <v>21.15</v>
      </c>
      <c r="U1366">
        <v>6</v>
      </c>
      <c r="V1366">
        <v>8</v>
      </c>
      <c r="W1366">
        <v>3569</v>
      </c>
      <c r="X1366" t="s">
        <v>188</v>
      </c>
      <c r="Y1366" t="s">
        <v>36</v>
      </c>
      <c r="Z1366">
        <v>354.26</v>
      </c>
    </row>
    <row r="1367" spans="1:26" x14ac:dyDescent="0.25">
      <c r="A1367">
        <v>101365</v>
      </c>
      <c r="B1367" s="3">
        <v>45399</v>
      </c>
      <c r="C1367" s="3">
        <v>45402</v>
      </c>
      <c r="D1367" s="3">
        <v>45404</v>
      </c>
      <c r="E1367" t="s">
        <v>3434</v>
      </c>
      <c r="F1367" t="s">
        <v>25</v>
      </c>
      <c r="G1367" t="s">
        <v>244</v>
      </c>
      <c r="H1367" t="s">
        <v>3435</v>
      </c>
      <c r="I1367" t="s">
        <v>139</v>
      </c>
      <c r="J1367" t="s">
        <v>42</v>
      </c>
      <c r="K1367" t="s">
        <v>838</v>
      </c>
      <c r="L1367" t="s">
        <v>118</v>
      </c>
      <c r="M1367" t="s">
        <v>54</v>
      </c>
      <c r="N1367" t="s">
        <v>66</v>
      </c>
      <c r="O1367" t="s">
        <v>67</v>
      </c>
      <c r="P1367" t="s">
        <v>68</v>
      </c>
      <c r="Q1367">
        <v>260</v>
      </c>
      <c r="R1367">
        <v>187.05</v>
      </c>
      <c r="S1367">
        <v>48633</v>
      </c>
      <c r="T1367">
        <v>45.36</v>
      </c>
      <c r="U1367">
        <v>2</v>
      </c>
      <c r="V1367">
        <v>5</v>
      </c>
      <c r="W1367">
        <v>175</v>
      </c>
      <c r="X1367" t="s">
        <v>3741</v>
      </c>
      <c r="Y1367" t="s">
        <v>36</v>
      </c>
      <c r="Z1367">
        <v>4956.6000000000004</v>
      </c>
    </row>
    <row r="1368" spans="1:26" x14ac:dyDescent="0.25">
      <c r="A1368">
        <v>101366</v>
      </c>
      <c r="B1368" s="3">
        <v>45815</v>
      </c>
      <c r="C1368" s="3">
        <v>45816</v>
      </c>
      <c r="D1368" s="3">
        <v>45823</v>
      </c>
      <c r="E1368" t="s">
        <v>3436</v>
      </c>
      <c r="F1368" t="s">
        <v>25</v>
      </c>
      <c r="G1368" t="s">
        <v>169</v>
      </c>
      <c r="H1368" t="s">
        <v>3437</v>
      </c>
      <c r="I1368" t="s">
        <v>28</v>
      </c>
      <c r="J1368" t="s">
        <v>29</v>
      </c>
      <c r="K1368" t="s">
        <v>3438</v>
      </c>
      <c r="L1368" t="s">
        <v>98</v>
      </c>
      <c r="M1368" t="s">
        <v>54</v>
      </c>
      <c r="N1368" t="s">
        <v>66</v>
      </c>
      <c r="O1368" t="s">
        <v>67</v>
      </c>
      <c r="P1368" t="s">
        <v>35</v>
      </c>
      <c r="Q1368">
        <v>218</v>
      </c>
      <c r="R1368">
        <v>97.71</v>
      </c>
      <c r="S1368">
        <v>21300.78</v>
      </c>
      <c r="T1368">
        <v>18.649999999999999</v>
      </c>
      <c r="U1368">
        <v>7</v>
      </c>
      <c r="V1368">
        <v>8</v>
      </c>
      <c r="W1368">
        <v>1020</v>
      </c>
      <c r="X1368" t="s">
        <v>188</v>
      </c>
      <c r="Y1368" t="s">
        <v>36</v>
      </c>
      <c r="Z1368">
        <v>5306.9</v>
      </c>
    </row>
    <row r="1369" spans="1:26" x14ac:dyDescent="0.25">
      <c r="A1369">
        <v>101367</v>
      </c>
      <c r="B1369" s="3">
        <v>45773</v>
      </c>
      <c r="C1369" s="3">
        <v>45775</v>
      </c>
      <c r="D1369" s="3">
        <v>45779</v>
      </c>
      <c r="E1369" t="s">
        <v>3439</v>
      </c>
      <c r="F1369" t="s">
        <v>32</v>
      </c>
      <c r="G1369" t="s">
        <v>273</v>
      </c>
      <c r="H1369" t="s">
        <v>3440</v>
      </c>
      <c r="I1369" t="s">
        <v>89</v>
      </c>
      <c r="J1369" t="s">
        <v>62</v>
      </c>
      <c r="K1369" t="s">
        <v>3441</v>
      </c>
      <c r="L1369" t="s">
        <v>122</v>
      </c>
      <c r="M1369" t="s">
        <v>25</v>
      </c>
      <c r="N1369" t="s">
        <v>66</v>
      </c>
      <c r="O1369" t="s">
        <v>67</v>
      </c>
      <c r="P1369" t="s">
        <v>123</v>
      </c>
      <c r="Q1369">
        <v>151</v>
      </c>
      <c r="R1369">
        <v>26.88</v>
      </c>
      <c r="S1369">
        <v>4058.88</v>
      </c>
      <c r="T1369">
        <v>14.36</v>
      </c>
      <c r="U1369">
        <v>4</v>
      </c>
      <c r="V1369">
        <v>6</v>
      </c>
      <c r="W1369">
        <v>2992</v>
      </c>
      <c r="X1369" t="s">
        <v>3741</v>
      </c>
      <c r="Y1369" t="s">
        <v>36</v>
      </c>
      <c r="Z1369">
        <v>547.53</v>
      </c>
    </row>
    <row r="1370" spans="1:26" x14ac:dyDescent="0.25">
      <c r="A1370">
        <v>101368</v>
      </c>
      <c r="B1370" s="3">
        <v>45547</v>
      </c>
      <c r="C1370" s="3">
        <v>45547</v>
      </c>
      <c r="D1370" s="3">
        <v>45561</v>
      </c>
      <c r="E1370" t="s">
        <v>3442</v>
      </c>
      <c r="F1370" t="s">
        <v>25</v>
      </c>
      <c r="G1370" t="s">
        <v>26</v>
      </c>
      <c r="H1370" t="s">
        <v>3443</v>
      </c>
      <c r="I1370" t="s">
        <v>207</v>
      </c>
      <c r="J1370" t="s">
        <v>80</v>
      </c>
      <c r="K1370" t="s">
        <v>2711</v>
      </c>
      <c r="L1370" t="s">
        <v>187</v>
      </c>
      <c r="M1370" t="s">
        <v>25</v>
      </c>
      <c r="N1370" t="s">
        <v>55</v>
      </c>
      <c r="O1370" t="s">
        <v>56</v>
      </c>
      <c r="P1370" t="s">
        <v>123</v>
      </c>
      <c r="Q1370">
        <v>155</v>
      </c>
      <c r="R1370">
        <v>191.94</v>
      </c>
      <c r="S1370">
        <v>29750.7</v>
      </c>
      <c r="T1370">
        <v>10.71</v>
      </c>
      <c r="U1370">
        <v>14</v>
      </c>
      <c r="V1370">
        <v>14</v>
      </c>
      <c r="W1370">
        <v>1326</v>
      </c>
      <c r="X1370" t="s">
        <v>188</v>
      </c>
      <c r="Y1370" t="s">
        <v>36</v>
      </c>
      <c r="Z1370">
        <v>4245.7299999999996</v>
      </c>
    </row>
    <row r="1371" spans="1:26" x14ac:dyDescent="0.25">
      <c r="A1371">
        <v>101369</v>
      </c>
      <c r="B1371" s="3">
        <v>45580</v>
      </c>
      <c r="C1371" s="3">
        <v>45581</v>
      </c>
      <c r="D1371" s="3">
        <v>45586</v>
      </c>
      <c r="E1371" t="s">
        <v>3444</v>
      </c>
      <c r="F1371" t="s">
        <v>54</v>
      </c>
      <c r="G1371" t="s">
        <v>225</v>
      </c>
      <c r="H1371" t="s">
        <v>3445</v>
      </c>
      <c r="I1371" t="s">
        <v>89</v>
      </c>
      <c r="J1371" t="s">
        <v>62</v>
      </c>
      <c r="K1371" t="s">
        <v>1705</v>
      </c>
      <c r="L1371" t="s">
        <v>122</v>
      </c>
      <c r="M1371" t="s">
        <v>65</v>
      </c>
      <c r="N1371" t="s">
        <v>66</v>
      </c>
      <c r="O1371" t="s">
        <v>67</v>
      </c>
      <c r="P1371" t="s">
        <v>35</v>
      </c>
      <c r="Q1371">
        <v>400</v>
      </c>
      <c r="R1371">
        <v>9.77</v>
      </c>
      <c r="S1371">
        <v>3908</v>
      </c>
      <c r="T1371">
        <v>23.81</v>
      </c>
      <c r="U1371">
        <v>5</v>
      </c>
      <c r="V1371">
        <v>6</v>
      </c>
      <c r="W1371">
        <v>1679</v>
      </c>
      <c r="X1371" t="s">
        <v>3741</v>
      </c>
      <c r="Y1371" t="s">
        <v>36</v>
      </c>
      <c r="Z1371">
        <v>643.12</v>
      </c>
    </row>
    <row r="1372" spans="1:26" x14ac:dyDescent="0.25">
      <c r="A1372">
        <v>101370</v>
      </c>
      <c r="B1372" s="3">
        <v>45866</v>
      </c>
      <c r="C1372" s="3">
        <v>45870</v>
      </c>
      <c r="D1372" s="3">
        <v>45876</v>
      </c>
      <c r="E1372" t="s">
        <v>3446</v>
      </c>
      <c r="F1372" t="s">
        <v>32</v>
      </c>
      <c r="G1372" t="s">
        <v>364</v>
      </c>
      <c r="H1372" t="s">
        <v>3447</v>
      </c>
      <c r="I1372" t="s">
        <v>149</v>
      </c>
      <c r="J1372" t="s">
        <v>42</v>
      </c>
      <c r="K1372" t="s">
        <v>356</v>
      </c>
      <c r="L1372" t="s">
        <v>91</v>
      </c>
      <c r="M1372" t="s">
        <v>32</v>
      </c>
      <c r="N1372" t="s">
        <v>66</v>
      </c>
      <c r="O1372" t="s">
        <v>67</v>
      </c>
      <c r="P1372" t="s">
        <v>35</v>
      </c>
      <c r="Q1372">
        <v>228</v>
      </c>
      <c r="R1372">
        <v>78.62</v>
      </c>
      <c r="S1372">
        <v>17925.36</v>
      </c>
      <c r="T1372">
        <v>14.03</v>
      </c>
      <c r="U1372">
        <v>6</v>
      </c>
      <c r="V1372">
        <v>10</v>
      </c>
      <c r="W1372">
        <v>1708</v>
      </c>
      <c r="X1372" t="s">
        <v>188</v>
      </c>
      <c r="Y1372" t="s">
        <v>36</v>
      </c>
      <c r="Z1372">
        <v>1484.11</v>
      </c>
    </row>
    <row r="1373" spans="1:26" x14ac:dyDescent="0.25">
      <c r="A1373">
        <v>101371</v>
      </c>
      <c r="B1373" s="3">
        <v>45868</v>
      </c>
      <c r="C1373" s="3">
        <v>45869</v>
      </c>
      <c r="D1373" s="3">
        <v>45881</v>
      </c>
      <c r="E1373" t="s">
        <v>3448</v>
      </c>
      <c r="F1373" t="s">
        <v>32</v>
      </c>
      <c r="G1373" t="s">
        <v>255</v>
      </c>
      <c r="H1373" t="s">
        <v>3449</v>
      </c>
      <c r="I1373" t="s">
        <v>134</v>
      </c>
      <c r="J1373" t="s">
        <v>52</v>
      </c>
      <c r="K1373" t="s">
        <v>1617</v>
      </c>
      <c r="L1373" t="s">
        <v>113</v>
      </c>
      <c r="M1373" t="s">
        <v>54</v>
      </c>
      <c r="N1373" t="s">
        <v>74</v>
      </c>
      <c r="O1373" t="s">
        <v>75</v>
      </c>
      <c r="P1373" t="s">
        <v>123</v>
      </c>
      <c r="Q1373">
        <v>37</v>
      </c>
      <c r="R1373">
        <v>43.76</v>
      </c>
      <c r="S1373">
        <v>1619.12</v>
      </c>
      <c r="T1373">
        <v>11.59</v>
      </c>
      <c r="U1373">
        <v>12</v>
      </c>
      <c r="V1373">
        <v>13</v>
      </c>
      <c r="W1373">
        <v>215</v>
      </c>
      <c r="X1373" t="s">
        <v>188</v>
      </c>
      <c r="Y1373" t="s">
        <v>36</v>
      </c>
      <c r="Z1373">
        <v>161.05000000000001</v>
      </c>
    </row>
    <row r="1374" spans="1:26" x14ac:dyDescent="0.25">
      <c r="A1374">
        <v>101372</v>
      </c>
      <c r="B1374" s="3">
        <v>45745</v>
      </c>
      <c r="C1374" s="3">
        <v>45746</v>
      </c>
      <c r="D1374" s="3">
        <v>45755</v>
      </c>
      <c r="E1374" t="s">
        <v>3450</v>
      </c>
      <c r="F1374" t="s">
        <v>25</v>
      </c>
      <c r="G1374" t="s">
        <v>169</v>
      </c>
      <c r="H1374" t="s">
        <v>3451</v>
      </c>
      <c r="I1374" t="s">
        <v>126</v>
      </c>
      <c r="J1374" t="s">
        <v>42</v>
      </c>
      <c r="K1374" t="s">
        <v>2486</v>
      </c>
      <c r="L1374" t="s">
        <v>187</v>
      </c>
      <c r="M1374" t="s">
        <v>25</v>
      </c>
      <c r="N1374" t="s">
        <v>55</v>
      </c>
      <c r="O1374" t="s">
        <v>56</v>
      </c>
      <c r="P1374" t="s">
        <v>123</v>
      </c>
      <c r="Q1374">
        <v>254</v>
      </c>
      <c r="R1374">
        <v>429.82</v>
      </c>
      <c r="S1374">
        <v>109174.28</v>
      </c>
      <c r="T1374">
        <v>12.49</v>
      </c>
      <c r="U1374">
        <v>9</v>
      </c>
      <c r="V1374">
        <v>10</v>
      </c>
      <c r="W1374">
        <v>992</v>
      </c>
      <c r="X1374" t="s">
        <v>188</v>
      </c>
      <c r="Y1374" t="s">
        <v>36</v>
      </c>
      <c r="Z1374">
        <v>11840.52</v>
      </c>
    </row>
    <row r="1375" spans="1:26" x14ac:dyDescent="0.25">
      <c r="A1375">
        <v>101373</v>
      </c>
      <c r="B1375" s="3">
        <v>45701</v>
      </c>
      <c r="C1375" s="3">
        <v>45706</v>
      </c>
      <c r="D1375" s="3">
        <v>45723</v>
      </c>
      <c r="E1375" t="s">
        <v>3452</v>
      </c>
      <c r="F1375" t="s">
        <v>38</v>
      </c>
      <c r="G1375" t="s">
        <v>49</v>
      </c>
      <c r="H1375" t="s">
        <v>3453</v>
      </c>
      <c r="I1375" t="s">
        <v>72</v>
      </c>
      <c r="J1375" t="s">
        <v>42</v>
      </c>
      <c r="K1375" t="s">
        <v>610</v>
      </c>
      <c r="L1375" t="s">
        <v>91</v>
      </c>
      <c r="M1375" t="s">
        <v>54</v>
      </c>
      <c r="N1375" t="s">
        <v>102</v>
      </c>
      <c r="O1375" t="s">
        <v>103</v>
      </c>
      <c r="P1375" t="s">
        <v>76</v>
      </c>
      <c r="Q1375">
        <v>482</v>
      </c>
      <c r="R1375">
        <v>276.64999999999998</v>
      </c>
      <c r="S1375">
        <v>133345.29999999999</v>
      </c>
      <c r="T1375">
        <v>16.8</v>
      </c>
      <c r="U1375">
        <v>17</v>
      </c>
      <c r="V1375">
        <v>22</v>
      </c>
      <c r="W1375">
        <v>992</v>
      </c>
      <c r="X1375" t="s">
        <v>188</v>
      </c>
      <c r="Y1375" t="s">
        <v>36</v>
      </c>
      <c r="Z1375">
        <v>14785.67</v>
      </c>
    </row>
    <row r="1376" spans="1:26" x14ac:dyDescent="0.25">
      <c r="A1376">
        <v>101374</v>
      </c>
      <c r="B1376" s="3">
        <v>45719</v>
      </c>
      <c r="C1376" s="3">
        <v>45719</v>
      </c>
      <c r="D1376" s="3">
        <v>45723</v>
      </c>
      <c r="E1376" t="s">
        <v>3454</v>
      </c>
      <c r="F1376" t="s">
        <v>38</v>
      </c>
      <c r="G1376" t="s">
        <v>147</v>
      </c>
      <c r="H1376" t="s">
        <v>3455</v>
      </c>
      <c r="I1376" t="s">
        <v>28</v>
      </c>
      <c r="J1376" t="s">
        <v>29</v>
      </c>
      <c r="K1376" t="s">
        <v>3456</v>
      </c>
      <c r="L1376" t="s">
        <v>91</v>
      </c>
      <c r="M1376" t="s">
        <v>32</v>
      </c>
      <c r="N1376" t="s">
        <v>107</v>
      </c>
      <c r="O1376" t="s">
        <v>108</v>
      </c>
      <c r="P1376" t="s">
        <v>68</v>
      </c>
      <c r="Q1376">
        <v>25</v>
      </c>
      <c r="R1376">
        <v>13.78</v>
      </c>
      <c r="S1376">
        <v>344.5</v>
      </c>
      <c r="T1376">
        <v>30.13</v>
      </c>
      <c r="U1376">
        <v>4</v>
      </c>
      <c r="V1376">
        <v>4</v>
      </c>
      <c r="W1376">
        <v>2732</v>
      </c>
      <c r="X1376" t="s">
        <v>3741</v>
      </c>
      <c r="Y1376" t="s">
        <v>36</v>
      </c>
      <c r="Z1376">
        <v>8.65</v>
      </c>
    </row>
    <row r="1377" spans="1:26" x14ac:dyDescent="0.25">
      <c r="A1377">
        <v>101375</v>
      </c>
      <c r="B1377" s="3">
        <v>45948</v>
      </c>
      <c r="C1377" s="3">
        <v>45953</v>
      </c>
      <c r="D1377" s="3">
        <v>45955</v>
      </c>
      <c r="E1377" t="s">
        <v>3457</v>
      </c>
      <c r="F1377" t="s">
        <v>38</v>
      </c>
      <c r="G1377" t="s">
        <v>39</v>
      </c>
      <c r="H1377" t="s">
        <v>944</v>
      </c>
      <c r="I1377" t="s">
        <v>191</v>
      </c>
      <c r="J1377" t="s">
        <v>62</v>
      </c>
      <c r="K1377" t="s">
        <v>1292</v>
      </c>
      <c r="L1377" t="s">
        <v>91</v>
      </c>
      <c r="M1377" t="s">
        <v>38</v>
      </c>
      <c r="N1377" t="s">
        <v>151</v>
      </c>
      <c r="O1377" t="s">
        <v>152</v>
      </c>
      <c r="P1377" t="s">
        <v>35</v>
      </c>
      <c r="Q1377">
        <v>70</v>
      </c>
      <c r="R1377">
        <v>28.65</v>
      </c>
      <c r="S1377">
        <v>2005.5</v>
      </c>
      <c r="T1377">
        <v>10.71</v>
      </c>
      <c r="U1377">
        <v>2</v>
      </c>
      <c r="V1377">
        <v>7</v>
      </c>
      <c r="W1377">
        <v>3754</v>
      </c>
      <c r="X1377" t="s">
        <v>3741</v>
      </c>
      <c r="Y1377" t="s">
        <v>36</v>
      </c>
      <c r="Z1377">
        <v>276.17</v>
      </c>
    </row>
    <row r="1378" spans="1:26" x14ac:dyDescent="0.25">
      <c r="A1378">
        <v>101376</v>
      </c>
      <c r="B1378" s="3">
        <v>45684</v>
      </c>
      <c r="C1378" s="3">
        <v>45688</v>
      </c>
      <c r="D1378" s="3">
        <v>45699</v>
      </c>
      <c r="E1378" t="s">
        <v>2266</v>
      </c>
      <c r="F1378" t="s">
        <v>54</v>
      </c>
      <c r="G1378" t="s">
        <v>193</v>
      </c>
      <c r="H1378" t="s">
        <v>3458</v>
      </c>
      <c r="I1378" t="s">
        <v>144</v>
      </c>
      <c r="J1378" t="s">
        <v>52</v>
      </c>
      <c r="K1378" t="s">
        <v>2195</v>
      </c>
      <c r="L1378" t="s">
        <v>44</v>
      </c>
      <c r="M1378" t="s">
        <v>54</v>
      </c>
      <c r="N1378" t="s">
        <v>92</v>
      </c>
      <c r="O1378" t="s">
        <v>93</v>
      </c>
      <c r="P1378" t="s">
        <v>76</v>
      </c>
      <c r="Q1378">
        <v>138</v>
      </c>
      <c r="R1378">
        <v>66.81</v>
      </c>
      <c r="S1378">
        <v>9219.7800000000007</v>
      </c>
      <c r="T1378">
        <v>7.8</v>
      </c>
      <c r="U1378">
        <v>11</v>
      </c>
      <c r="V1378">
        <v>15</v>
      </c>
      <c r="W1378">
        <v>2062</v>
      </c>
      <c r="X1378" t="s">
        <v>3742</v>
      </c>
      <c r="Y1378" t="s">
        <v>57</v>
      </c>
      <c r="Z1378">
        <v>637.98</v>
      </c>
    </row>
    <row r="1379" spans="1:26" x14ac:dyDescent="0.25">
      <c r="A1379">
        <v>101377</v>
      </c>
      <c r="B1379" s="3">
        <v>46009</v>
      </c>
      <c r="C1379" s="3">
        <v>46013</v>
      </c>
      <c r="D1379" s="3">
        <v>46018</v>
      </c>
      <c r="E1379" t="s">
        <v>3459</v>
      </c>
      <c r="F1379" t="s">
        <v>54</v>
      </c>
      <c r="G1379" t="s">
        <v>129</v>
      </c>
      <c r="H1379" t="s">
        <v>3460</v>
      </c>
      <c r="I1379" t="s">
        <v>89</v>
      </c>
      <c r="J1379" t="s">
        <v>62</v>
      </c>
      <c r="K1379" t="s">
        <v>1003</v>
      </c>
      <c r="L1379" t="s">
        <v>64</v>
      </c>
      <c r="M1379" t="s">
        <v>54</v>
      </c>
      <c r="N1379" t="s">
        <v>45</v>
      </c>
      <c r="O1379" t="s">
        <v>46</v>
      </c>
      <c r="P1379" t="s">
        <v>68</v>
      </c>
      <c r="Q1379">
        <v>359</v>
      </c>
      <c r="R1379">
        <v>7.01</v>
      </c>
      <c r="S1379">
        <v>2516.59</v>
      </c>
      <c r="T1379">
        <v>38.35</v>
      </c>
      <c r="U1379">
        <v>5</v>
      </c>
      <c r="V1379">
        <v>9</v>
      </c>
      <c r="W1379">
        <v>2021</v>
      </c>
      <c r="X1379" t="s">
        <v>188</v>
      </c>
      <c r="Y1379" t="s">
        <v>36</v>
      </c>
      <c r="Z1379">
        <v>222.37</v>
      </c>
    </row>
    <row r="1380" spans="1:26" x14ac:dyDescent="0.25">
      <c r="A1380">
        <v>101378</v>
      </c>
      <c r="B1380" s="3">
        <v>45396</v>
      </c>
      <c r="C1380" s="3">
        <v>45396</v>
      </c>
      <c r="D1380" s="3">
        <v>45408</v>
      </c>
      <c r="E1380" t="s">
        <v>3461</v>
      </c>
      <c r="F1380" t="s">
        <v>25</v>
      </c>
      <c r="G1380" t="s">
        <v>172</v>
      </c>
      <c r="H1380" t="s">
        <v>3462</v>
      </c>
      <c r="I1380" t="s">
        <v>139</v>
      </c>
      <c r="J1380" t="s">
        <v>42</v>
      </c>
      <c r="K1380" t="s">
        <v>1492</v>
      </c>
      <c r="L1380" t="s">
        <v>212</v>
      </c>
      <c r="M1380" t="s">
        <v>65</v>
      </c>
      <c r="N1380" t="s">
        <v>151</v>
      </c>
      <c r="O1380" t="s">
        <v>152</v>
      </c>
      <c r="P1380" t="s">
        <v>68</v>
      </c>
      <c r="Q1380">
        <v>113</v>
      </c>
      <c r="R1380">
        <v>232.05</v>
      </c>
      <c r="S1380">
        <v>26221.65</v>
      </c>
      <c r="T1380">
        <v>35.83</v>
      </c>
      <c r="U1380">
        <v>12</v>
      </c>
      <c r="V1380">
        <v>12</v>
      </c>
      <c r="W1380">
        <v>1140</v>
      </c>
      <c r="X1380" t="s">
        <v>3742</v>
      </c>
      <c r="Y1380" t="s">
        <v>188</v>
      </c>
      <c r="Z1380">
        <v>4641.53</v>
      </c>
    </row>
    <row r="1381" spans="1:26" x14ac:dyDescent="0.25">
      <c r="A1381">
        <v>101379</v>
      </c>
      <c r="B1381" s="3">
        <v>45934</v>
      </c>
      <c r="C1381" s="3">
        <v>45938</v>
      </c>
      <c r="D1381" s="3">
        <v>45955</v>
      </c>
      <c r="E1381" t="s">
        <v>3463</v>
      </c>
      <c r="F1381" t="s">
        <v>65</v>
      </c>
      <c r="G1381" t="s">
        <v>70</v>
      </c>
      <c r="H1381" t="s">
        <v>3464</v>
      </c>
      <c r="I1381" t="s">
        <v>198</v>
      </c>
      <c r="J1381" t="s">
        <v>52</v>
      </c>
      <c r="K1381" t="s">
        <v>1676</v>
      </c>
      <c r="L1381" t="s">
        <v>44</v>
      </c>
      <c r="M1381" t="s">
        <v>32</v>
      </c>
      <c r="N1381" t="s">
        <v>55</v>
      </c>
      <c r="O1381" t="s">
        <v>56</v>
      </c>
      <c r="P1381" t="s">
        <v>76</v>
      </c>
      <c r="Q1381">
        <v>237</v>
      </c>
      <c r="R1381">
        <v>69.53</v>
      </c>
      <c r="S1381">
        <v>16478.61</v>
      </c>
      <c r="T1381">
        <v>12.34</v>
      </c>
      <c r="U1381">
        <v>17</v>
      </c>
      <c r="V1381">
        <v>21</v>
      </c>
      <c r="W1381">
        <v>1528</v>
      </c>
      <c r="X1381" t="s">
        <v>188</v>
      </c>
      <c r="Y1381" t="s">
        <v>36</v>
      </c>
      <c r="Z1381">
        <v>1970.76</v>
      </c>
    </row>
    <row r="1382" spans="1:26" x14ac:dyDescent="0.25">
      <c r="A1382">
        <v>101380</v>
      </c>
      <c r="B1382" s="3">
        <v>45522</v>
      </c>
      <c r="C1382" s="3">
        <v>45523</v>
      </c>
      <c r="D1382" s="3">
        <v>45527</v>
      </c>
      <c r="E1382" t="s">
        <v>3465</v>
      </c>
      <c r="F1382" t="s">
        <v>65</v>
      </c>
      <c r="G1382" t="s">
        <v>70</v>
      </c>
      <c r="H1382" t="s">
        <v>3466</v>
      </c>
      <c r="I1382" t="s">
        <v>85</v>
      </c>
      <c r="J1382" t="s">
        <v>52</v>
      </c>
      <c r="K1382" t="s">
        <v>3467</v>
      </c>
      <c r="L1382" t="s">
        <v>187</v>
      </c>
      <c r="M1382" t="s">
        <v>32</v>
      </c>
      <c r="N1382" t="s">
        <v>107</v>
      </c>
      <c r="O1382" t="s">
        <v>108</v>
      </c>
      <c r="P1382" t="s">
        <v>35</v>
      </c>
      <c r="Q1382">
        <v>78</v>
      </c>
      <c r="R1382">
        <v>37.520000000000003</v>
      </c>
      <c r="S1382">
        <v>2926.56</v>
      </c>
      <c r="T1382">
        <v>14.69</v>
      </c>
      <c r="U1382">
        <v>4</v>
      </c>
      <c r="V1382">
        <v>5</v>
      </c>
      <c r="W1382">
        <v>3926</v>
      </c>
      <c r="X1382" t="s">
        <v>3741</v>
      </c>
      <c r="Y1382" t="s">
        <v>36</v>
      </c>
      <c r="Z1382">
        <v>405.87</v>
      </c>
    </row>
    <row r="1383" spans="1:26" x14ac:dyDescent="0.25">
      <c r="A1383">
        <v>101381</v>
      </c>
      <c r="B1383" s="3">
        <v>45733</v>
      </c>
      <c r="C1383" s="3">
        <v>45738</v>
      </c>
      <c r="D1383" s="3">
        <v>45748</v>
      </c>
      <c r="E1383" t="s">
        <v>3468</v>
      </c>
      <c r="F1383" t="s">
        <v>38</v>
      </c>
      <c r="G1383" t="s">
        <v>147</v>
      </c>
      <c r="H1383" t="s">
        <v>3469</v>
      </c>
      <c r="I1383" t="s">
        <v>149</v>
      </c>
      <c r="J1383" t="s">
        <v>42</v>
      </c>
      <c r="K1383" t="s">
        <v>1127</v>
      </c>
      <c r="L1383" t="s">
        <v>113</v>
      </c>
      <c r="M1383" t="s">
        <v>25</v>
      </c>
      <c r="N1383" t="s">
        <v>151</v>
      </c>
      <c r="O1383" t="s">
        <v>152</v>
      </c>
      <c r="P1383" t="s">
        <v>35</v>
      </c>
      <c r="Q1383">
        <v>10</v>
      </c>
      <c r="R1383">
        <v>357.11</v>
      </c>
      <c r="S1383">
        <v>3571.1</v>
      </c>
      <c r="T1383">
        <v>12.76</v>
      </c>
      <c r="U1383">
        <v>10</v>
      </c>
      <c r="V1383">
        <v>15</v>
      </c>
      <c r="W1383">
        <v>430</v>
      </c>
      <c r="X1383" t="s">
        <v>188</v>
      </c>
      <c r="Y1383" t="s">
        <v>36</v>
      </c>
      <c r="Z1383">
        <v>453.35</v>
      </c>
    </row>
    <row r="1384" spans="1:26" x14ac:dyDescent="0.25">
      <c r="A1384">
        <v>101382</v>
      </c>
      <c r="B1384" s="3">
        <v>45323</v>
      </c>
      <c r="C1384" s="3">
        <v>45323</v>
      </c>
      <c r="D1384" s="3">
        <v>45325</v>
      </c>
      <c r="E1384" t="s">
        <v>3470</v>
      </c>
      <c r="F1384" t="s">
        <v>25</v>
      </c>
      <c r="G1384" t="s">
        <v>169</v>
      </c>
      <c r="H1384" t="s">
        <v>3471</v>
      </c>
      <c r="I1384" t="s">
        <v>139</v>
      </c>
      <c r="J1384" t="s">
        <v>42</v>
      </c>
      <c r="K1384" t="s">
        <v>864</v>
      </c>
      <c r="L1384" t="s">
        <v>98</v>
      </c>
      <c r="M1384" t="s">
        <v>54</v>
      </c>
      <c r="N1384" t="s">
        <v>102</v>
      </c>
      <c r="O1384" t="s">
        <v>103</v>
      </c>
      <c r="P1384" t="s">
        <v>68</v>
      </c>
      <c r="Q1384">
        <v>450</v>
      </c>
      <c r="R1384">
        <v>305.17</v>
      </c>
      <c r="S1384">
        <v>137326.5</v>
      </c>
      <c r="T1384">
        <v>57.67</v>
      </c>
      <c r="U1384">
        <v>2</v>
      </c>
      <c r="V1384">
        <v>2</v>
      </c>
      <c r="W1384">
        <v>1427</v>
      </c>
      <c r="X1384" t="s">
        <v>3741</v>
      </c>
      <c r="Y1384" t="s">
        <v>36</v>
      </c>
      <c r="Z1384">
        <v>1321.67</v>
      </c>
    </row>
    <row r="1385" spans="1:26" x14ac:dyDescent="0.25">
      <c r="A1385">
        <v>101383</v>
      </c>
      <c r="B1385" s="3">
        <v>45438</v>
      </c>
      <c r="C1385" s="3">
        <v>45441</v>
      </c>
      <c r="D1385" s="3">
        <v>45452</v>
      </c>
      <c r="E1385" t="s">
        <v>3472</v>
      </c>
      <c r="F1385" t="s">
        <v>65</v>
      </c>
      <c r="G1385" t="s">
        <v>154</v>
      </c>
      <c r="H1385" t="s">
        <v>3473</v>
      </c>
      <c r="I1385" t="s">
        <v>28</v>
      </c>
      <c r="J1385" t="s">
        <v>29</v>
      </c>
      <c r="K1385" t="s">
        <v>3474</v>
      </c>
      <c r="L1385" t="s">
        <v>44</v>
      </c>
      <c r="M1385" t="s">
        <v>65</v>
      </c>
      <c r="N1385" t="s">
        <v>203</v>
      </c>
      <c r="O1385" t="s">
        <v>204</v>
      </c>
      <c r="P1385" t="s">
        <v>76</v>
      </c>
      <c r="Q1385">
        <v>196</v>
      </c>
      <c r="R1385">
        <v>70.790000000000006</v>
      </c>
      <c r="S1385">
        <v>13874.84</v>
      </c>
      <c r="T1385">
        <v>8.59</v>
      </c>
      <c r="U1385">
        <v>11</v>
      </c>
      <c r="V1385">
        <v>14</v>
      </c>
      <c r="W1385">
        <v>525</v>
      </c>
      <c r="X1385" t="s">
        <v>188</v>
      </c>
      <c r="Y1385" t="s">
        <v>36</v>
      </c>
      <c r="Z1385">
        <v>1572.63</v>
      </c>
    </row>
    <row r="1386" spans="1:26" x14ac:dyDescent="0.25">
      <c r="A1386">
        <v>101384</v>
      </c>
      <c r="B1386" s="3">
        <v>45813</v>
      </c>
      <c r="C1386" s="3">
        <v>45815</v>
      </c>
      <c r="D1386" s="3">
        <v>45821</v>
      </c>
      <c r="E1386" t="s">
        <v>3475</v>
      </c>
      <c r="F1386" t="s">
        <v>38</v>
      </c>
      <c r="G1386" t="s">
        <v>49</v>
      </c>
      <c r="H1386" t="s">
        <v>3476</v>
      </c>
      <c r="I1386" t="s">
        <v>149</v>
      </c>
      <c r="J1386" t="s">
        <v>42</v>
      </c>
      <c r="K1386" t="s">
        <v>2874</v>
      </c>
      <c r="L1386" t="s">
        <v>91</v>
      </c>
      <c r="M1386" t="s">
        <v>54</v>
      </c>
      <c r="N1386" t="s">
        <v>55</v>
      </c>
      <c r="O1386" t="s">
        <v>56</v>
      </c>
      <c r="P1386" t="s">
        <v>35</v>
      </c>
      <c r="Q1386">
        <v>411</v>
      </c>
      <c r="R1386">
        <v>399.7</v>
      </c>
      <c r="S1386">
        <v>164276.70000000001</v>
      </c>
      <c r="T1386">
        <v>24.13</v>
      </c>
      <c r="U1386">
        <v>6</v>
      </c>
      <c r="V1386">
        <v>8</v>
      </c>
      <c r="W1386">
        <v>1638</v>
      </c>
      <c r="X1386" t="s">
        <v>188</v>
      </c>
      <c r="Y1386" t="s">
        <v>36</v>
      </c>
      <c r="Z1386">
        <v>31925.87</v>
      </c>
    </row>
    <row r="1387" spans="1:26" x14ac:dyDescent="0.25">
      <c r="A1387">
        <v>101385</v>
      </c>
      <c r="B1387" s="3">
        <v>45814</v>
      </c>
      <c r="C1387" s="3">
        <v>45815</v>
      </c>
      <c r="D1387" s="3">
        <v>45819</v>
      </c>
      <c r="E1387" t="s">
        <v>3477</v>
      </c>
      <c r="F1387" t="s">
        <v>65</v>
      </c>
      <c r="G1387" t="s">
        <v>70</v>
      </c>
      <c r="H1387" t="s">
        <v>3478</v>
      </c>
      <c r="I1387" t="s">
        <v>61</v>
      </c>
      <c r="J1387" t="s">
        <v>62</v>
      </c>
      <c r="K1387" t="s">
        <v>1371</v>
      </c>
      <c r="L1387" t="s">
        <v>44</v>
      </c>
      <c r="M1387" t="s">
        <v>25</v>
      </c>
      <c r="N1387" t="s">
        <v>45</v>
      </c>
      <c r="O1387" t="s">
        <v>46</v>
      </c>
      <c r="P1387" t="s">
        <v>35</v>
      </c>
      <c r="Q1387">
        <v>157</v>
      </c>
      <c r="R1387">
        <v>28.75</v>
      </c>
      <c r="S1387">
        <v>4513.75</v>
      </c>
      <c r="T1387">
        <v>16.920000000000002</v>
      </c>
      <c r="U1387">
        <v>4</v>
      </c>
      <c r="V1387">
        <v>5</v>
      </c>
      <c r="W1387">
        <v>402</v>
      </c>
      <c r="X1387" t="s">
        <v>3742</v>
      </c>
      <c r="Y1387" t="s">
        <v>57</v>
      </c>
      <c r="Z1387">
        <v>375.52</v>
      </c>
    </row>
    <row r="1388" spans="1:26" x14ac:dyDescent="0.25">
      <c r="A1388">
        <v>101386</v>
      </c>
      <c r="B1388" s="3">
        <v>45802</v>
      </c>
      <c r="C1388" s="3">
        <v>45807</v>
      </c>
      <c r="D1388" s="3">
        <v>45824</v>
      </c>
      <c r="E1388" t="s">
        <v>2024</v>
      </c>
      <c r="F1388" t="s">
        <v>32</v>
      </c>
      <c r="G1388" t="s">
        <v>180</v>
      </c>
      <c r="H1388" t="s">
        <v>3479</v>
      </c>
      <c r="I1388" t="s">
        <v>116</v>
      </c>
      <c r="J1388" t="s">
        <v>62</v>
      </c>
      <c r="K1388" t="s">
        <v>2711</v>
      </c>
      <c r="L1388" t="s">
        <v>118</v>
      </c>
      <c r="M1388" t="s">
        <v>38</v>
      </c>
      <c r="N1388" t="s">
        <v>102</v>
      </c>
      <c r="O1388" t="s">
        <v>103</v>
      </c>
      <c r="P1388" t="s">
        <v>76</v>
      </c>
      <c r="Q1388">
        <v>444</v>
      </c>
      <c r="R1388">
        <v>22.91</v>
      </c>
      <c r="S1388">
        <v>10172.040000000001</v>
      </c>
      <c r="T1388">
        <v>16.11</v>
      </c>
      <c r="U1388">
        <v>17</v>
      </c>
      <c r="V1388">
        <v>22</v>
      </c>
      <c r="W1388">
        <v>354</v>
      </c>
      <c r="X1388" t="s">
        <v>188</v>
      </c>
      <c r="Y1388" t="s">
        <v>36</v>
      </c>
      <c r="Z1388">
        <v>1109.93</v>
      </c>
    </row>
    <row r="1389" spans="1:26" x14ac:dyDescent="0.25">
      <c r="A1389">
        <v>101387</v>
      </c>
      <c r="B1389" s="3">
        <v>45609</v>
      </c>
      <c r="C1389" s="3">
        <v>45612</v>
      </c>
      <c r="D1389" s="3">
        <v>45617</v>
      </c>
      <c r="E1389" t="s">
        <v>3480</v>
      </c>
      <c r="F1389" t="s">
        <v>54</v>
      </c>
      <c r="G1389" t="s">
        <v>193</v>
      </c>
      <c r="H1389" t="s">
        <v>3481</v>
      </c>
      <c r="I1389" t="s">
        <v>278</v>
      </c>
      <c r="J1389" t="s">
        <v>29</v>
      </c>
      <c r="K1389" t="s">
        <v>737</v>
      </c>
      <c r="L1389" t="s">
        <v>64</v>
      </c>
      <c r="M1389" t="s">
        <v>38</v>
      </c>
      <c r="N1389" t="s">
        <v>203</v>
      </c>
      <c r="O1389" t="s">
        <v>204</v>
      </c>
      <c r="P1389" t="s">
        <v>68</v>
      </c>
      <c r="Q1389">
        <v>122</v>
      </c>
      <c r="R1389">
        <v>11.55</v>
      </c>
      <c r="S1389">
        <v>1409.1</v>
      </c>
      <c r="T1389">
        <v>36.42</v>
      </c>
      <c r="U1389">
        <v>5</v>
      </c>
      <c r="V1389">
        <v>8</v>
      </c>
      <c r="W1389">
        <v>2936</v>
      </c>
      <c r="X1389" t="s">
        <v>188</v>
      </c>
      <c r="Y1389" t="s">
        <v>36</v>
      </c>
      <c r="Z1389">
        <v>253.33</v>
      </c>
    </row>
    <row r="1390" spans="1:26" x14ac:dyDescent="0.25">
      <c r="A1390">
        <v>101388</v>
      </c>
      <c r="B1390" s="3">
        <v>45345</v>
      </c>
      <c r="C1390" s="3">
        <v>45345</v>
      </c>
      <c r="D1390" s="3">
        <v>45348</v>
      </c>
      <c r="E1390" t="s">
        <v>3482</v>
      </c>
      <c r="F1390" t="s">
        <v>54</v>
      </c>
      <c r="G1390" t="s">
        <v>193</v>
      </c>
      <c r="H1390" t="s">
        <v>3483</v>
      </c>
      <c r="I1390" t="s">
        <v>116</v>
      </c>
      <c r="J1390" t="s">
        <v>62</v>
      </c>
      <c r="K1390" t="s">
        <v>858</v>
      </c>
      <c r="L1390" t="s">
        <v>212</v>
      </c>
      <c r="M1390" t="s">
        <v>25</v>
      </c>
      <c r="N1390" t="s">
        <v>66</v>
      </c>
      <c r="O1390" t="s">
        <v>67</v>
      </c>
      <c r="P1390" t="s">
        <v>35</v>
      </c>
      <c r="Q1390">
        <v>451</v>
      </c>
      <c r="R1390">
        <v>14.26</v>
      </c>
      <c r="S1390">
        <v>6431.26</v>
      </c>
      <c r="T1390">
        <v>25.26</v>
      </c>
      <c r="U1390">
        <v>3</v>
      </c>
      <c r="V1390">
        <v>3</v>
      </c>
      <c r="W1390">
        <v>2060</v>
      </c>
      <c r="X1390" t="s">
        <v>3741</v>
      </c>
      <c r="Y1390" t="s">
        <v>36</v>
      </c>
      <c r="Z1390">
        <v>457.17</v>
      </c>
    </row>
    <row r="1391" spans="1:26" x14ac:dyDescent="0.25">
      <c r="A1391">
        <v>101389</v>
      </c>
      <c r="B1391" s="3">
        <v>45861</v>
      </c>
      <c r="C1391" s="3">
        <v>45866</v>
      </c>
      <c r="D1391" s="3">
        <v>45879</v>
      </c>
      <c r="E1391" t="s">
        <v>3484</v>
      </c>
      <c r="F1391" t="s">
        <v>25</v>
      </c>
      <c r="G1391" t="s">
        <v>59</v>
      </c>
      <c r="H1391" t="s">
        <v>3485</v>
      </c>
      <c r="I1391" t="s">
        <v>126</v>
      </c>
      <c r="J1391" t="s">
        <v>42</v>
      </c>
      <c r="K1391" t="s">
        <v>512</v>
      </c>
      <c r="L1391" t="s">
        <v>98</v>
      </c>
      <c r="M1391" t="s">
        <v>38</v>
      </c>
      <c r="N1391" t="s">
        <v>33</v>
      </c>
      <c r="O1391" t="s">
        <v>34</v>
      </c>
      <c r="P1391" t="s">
        <v>123</v>
      </c>
      <c r="Q1391">
        <v>20</v>
      </c>
      <c r="R1391">
        <v>406.09</v>
      </c>
      <c r="S1391">
        <v>8121.8</v>
      </c>
      <c r="T1391">
        <v>11.18</v>
      </c>
      <c r="U1391">
        <v>13</v>
      </c>
      <c r="V1391">
        <v>18</v>
      </c>
      <c r="W1391">
        <v>1690</v>
      </c>
      <c r="X1391" t="s">
        <v>188</v>
      </c>
      <c r="Y1391" t="s">
        <v>36</v>
      </c>
      <c r="Z1391">
        <v>1692.4</v>
      </c>
    </row>
    <row r="1392" spans="1:26" x14ac:dyDescent="0.25">
      <c r="A1392">
        <v>101390</v>
      </c>
      <c r="B1392" s="3">
        <v>45786</v>
      </c>
      <c r="C1392" s="3">
        <v>45788</v>
      </c>
      <c r="D1392" s="3">
        <v>45802</v>
      </c>
      <c r="E1392" t="s">
        <v>3486</v>
      </c>
      <c r="F1392" t="s">
        <v>25</v>
      </c>
      <c r="G1392" t="s">
        <v>233</v>
      </c>
      <c r="H1392" t="s">
        <v>3487</v>
      </c>
      <c r="I1392" t="s">
        <v>28</v>
      </c>
      <c r="J1392" t="s">
        <v>29</v>
      </c>
      <c r="K1392" t="s">
        <v>1347</v>
      </c>
      <c r="L1392" t="s">
        <v>98</v>
      </c>
      <c r="M1392" t="s">
        <v>32</v>
      </c>
      <c r="N1392" t="s">
        <v>33</v>
      </c>
      <c r="O1392" t="s">
        <v>34</v>
      </c>
      <c r="P1392" t="s">
        <v>123</v>
      </c>
      <c r="Q1392">
        <v>226</v>
      </c>
      <c r="R1392">
        <v>69.62</v>
      </c>
      <c r="S1392">
        <v>15734.12</v>
      </c>
      <c r="T1392">
        <v>16.18</v>
      </c>
      <c r="U1392">
        <v>14</v>
      </c>
      <c r="V1392">
        <v>16</v>
      </c>
      <c r="W1392">
        <v>3209</v>
      </c>
      <c r="X1392" t="s">
        <v>188</v>
      </c>
      <c r="Y1392" t="s">
        <v>36</v>
      </c>
      <c r="Z1392">
        <v>1598.51</v>
      </c>
    </row>
    <row r="1393" spans="1:26" x14ac:dyDescent="0.25">
      <c r="A1393">
        <v>101391</v>
      </c>
      <c r="B1393" s="3">
        <v>45485</v>
      </c>
      <c r="C1393" s="3">
        <v>45489</v>
      </c>
      <c r="D1393" s="3">
        <v>45492</v>
      </c>
      <c r="E1393" t="s">
        <v>3488</v>
      </c>
      <c r="F1393" t="s">
        <v>38</v>
      </c>
      <c r="G1393" t="s">
        <v>83</v>
      </c>
      <c r="H1393" t="s">
        <v>3489</v>
      </c>
      <c r="I1393" t="s">
        <v>246</v>
      </c>
      <c r="J1393" t="s">
        <v>29</v>
      </c>
      <c r="K1393" t="s">
        <v>3490</v>
      </c>
      <c r="L1393" t="s">
        <v>44</v>
      </c>
      <c r="M1393" t="s">
        <v>32</v>
      </c>
      <c r="N1393" t="s">
        <v>92</v>
      </c>
      <c r="O1393" t="s">
        <v>93</v>
      </c>
      <c r="P1393" t="s">
        <v>68</v>
      </c>
      <c r="Q1393">
        <v>262</v>
      </c>
      <c r="R1393">
        <v>43.02</v>
      </c>
      <c r="S1393">
        <v>11271.24</v>
      </c>
      <c r="T1393">
        <v>45.49</v>
      </c>
      <c r="U1393">
        <v>3</v>
      </c>
      <c r="V1393">
        <v>7</v>
      </c>
      <c r="W1393">
        <v>1245</v>
      </c>
      <c r="X1393" t="s">
        <v>3741</v>
      </c>
      <c r="Y1393" t="s">
        <v>36</v>
      </c>
      <c r="Z1393">
        <v>3329.84</v>
      </c>
    </row>
    <row r="1394" spans="1:26" x14ac:dyDescent="0.25">
      <c r="A1394">
        <v>101392</v>
      </c>
      <c r="B1394" s="3">
        <v>45915</v>
      </c>
      <c r="C1394" s="3">
        <v>45918</v>
      </c>
      <c r="D1394" s="3">
        <v>45922</v>
      </c>
      <c r="E1394" t="s">
        <v>3491</v>
      </c>
      <c r="F1394" t="s">
        <v>54</v>
      </c>
      <c r="G1394" t="s">
        <v>165</v>
      </c>
      <c r="H1394" t="s">
        <v>3492</v>
      </c>
      <c r="I1394" t="s">
        <v>230</v>
      </c>
      <c r="J1394" t="s">
        <v>80</v>
      </c>
      <c r="K1394" t="s">
        <v>907</v>
      </c>
      <c r="L1394" t="s">
        <v>44</v>
      </c>
      <c r="M1394" t="s">
        <v>38</v>
      </c>
      <c r="N1394" t="s">
        <v>92</v>
      </c>
      <c r="O1394" t="s">
        <v>93</v>
      </c>
      <c r="P1394" t="s">
        <v>68</v>
      </c>
      <c r="Q1394">
        <v>189</v>
      </c>
      <c r="R1394">
        <v>50.87</v>
      </c>
      <c r="S1394">
        <v>9614.43</v>
      </c>
      <c r="T1394">
        <v>40.76</v>
      </c>
      <c r="U1394">
        <v>4</v>
      </c>
      <c r="V1394">
        <v>7</v>
      </c>
      <c r="W1394">
        <v>1575</v>
      </c>
      <c r="X1394" t="s">
        <v>3741</v>
      </c>
      <c r="Y1394" t="s">
        <v>36</v>
      </c>
      <c r="Z1394">
        <v>2164.81</v>
      </c>
    </row>
    <row r="1395" spans="1:26" x14ac:dyDescent="0.25">
      <c r="A1395">
        <v>101393</v>
      </c>
      <c r="B1395" s="3">
        <v>45555</v>
      </c>
      <c r="C1395" s="3">
        <v>45556</v>
      </c>
      <c r="D1395" s="3">
        <v>45566</v>
      </c>
      <c r="E1395" t="s">
        <v>3493</v>
      </c>
      <c r="F1395" t="s">
        <v>65</v>
      </c>
      <c r="G1395" t="s">
        <v>154</v>
      </c>
      <c r="H1395" t="s">
        <v>3494</v>
      </c>
      <c r="I1395" t="s">
        <v>182</v>
      </c>
      <c r="J1395" t="s">
        <v>80</v>
      </c>
      <c r="K1395" t="s">
        <v>1567</v>
      </c>
      <c r="L1395" t="s">
        <v>212</v>
      </c>
      <c r="M1395" t="s">
        <v>32</v>
      </c>
      <c r="N1395" t="s">
        <v>92</v>
      </c>
      <c r="O1395" t="s">
        <v>93</v>
      </c>
      <c r="P1395" t="s">
        <v>35</v>
      </c>
      <c r="Q1395">
        <v>141</v>
      </c>
      <c r="R1395">
        <v>319.26</v>
      </c>
      <c r="S1395">
        <v>45015.66</v>
      </c>
      <c r="T1395">
        <v>16.47</v>
      </c>
      <c r="U1395">
        <v>10</v>
      </c>
      <c r="V1395">
        <v>11</v>
      </c>
      <c r="W1395">
        <v>530</v>
      </c>
      <c r="X1395" t="s">
        <v>3742</v>
      </c>
      <c r="Y1395" t="s">
        <v>57</v>
      </c>
      <c r="Z1395">
        <v>9935.49</v>
      </c>
    </row>
    <row r="1396" spans="1:26" x14ac:dyDescent="0.25">
      <c r="A1396">
        <v>101394</v>
      </c>
      <c r="B1396" s="3">
        <v>45928</v>
      </c>
      <c r="C1396" s="3">
        <v>45929</v>
      </c>
      <c r="D1396" s="3">
        <v>45933</v>
      </c>
      <c r="E1396" t="s">
        <v>3495</v>
      </c>
      <c r="F1396" t="s">
        <v>38</v>
      </c>
      <c r="G1396" t="s">
        <v>147</v>
      </c>
      <c r="H1396" t="s">
        <v>3496</v>
      </c>
      <c r="I1396" t="s">
        <v>278</v>
      </c>
      <c r="J1396" t="s">
        <v>29</v>
      </c>
      <c r="K1396" t="s">
        <v>3497</v>
      </c>
      <c r="L1396" t="s">
        <v>44</v>
      </c>
      <c r="M1396" t="s">
        <v>54</v>
      </c>
      <c r="N1396" t="s">
        <v>102</v>
      </c>
      <c r="O1396" t="s">
        <v>103</v>
      </c>
      <c r="P1396" t="s">
        <v>68</v>
      </c>
      <c r="Q1396">
        <v>444</v>
      </c>
      <c r="R1396">
        <v>35.409999999999997</v>
      </c>
      <c r="S1396">
        <v>15722.04</v>
      </c>
      <c r="T1396">
        <v>57.28</v>
      </c>
      <c r="U1396">
        <v>4</v>
      </c>
      <c r="V1396">
        <v>5</v>
      </c>
      <c r="W1396">
        <v>1667</v>
      </c>
      <c r="X1396" t="s">
        <v>3741</v>
      </c>
      <c r="Y1396" t="s">
        <v>36</v>
      </c>
      <c r="Z1396">
        <v>1834.09</v>
      </c>
    </row>
    <row r="1397" spans="1:26" x14ac:dyDescent="0.25">
      <c r="A1397">
        <v>101395</v>
      </c>
      <c r="B1397" s="3">
        <v>45899</v>
      </c>
      <c r="C1397" s="3">
        <v>45902</v>
      </c>
      <c r="D1397" s="3">
        <v>45915</v>
      </c>
      <c r="E1397" t="s">
        <v>3498</v>
      </c>
      <c r="F1397" t="s">
        <v>65</v>
      </c>
      <c r="G1397" t="s">
        <v>142</v>
      </c>
      <c r="H1397" t="s">
        <v>3499</v>
      </c>
      <c r="I1397" t="s">
        <v>149</v>
      </c>
      <c r="J1397" t="s">
        <v>42</v>
      </c>
      <c r="K1397" t="s">
        <v>303</v>
      </c>
      <c r="L1397" t="s">
        <v>187</v>
      </c>
      <c r="M1397" t="s">
        <v>32</v>
      </c>
      <c r="N1397" t="s">
        <v>102</v>
      </c>
      <c r="O1397" t="s">
        <v>103</v>
      </c>
      <c r="P1397" t="s">
        <v>123</v>
      </c>
      <c r="Q1397">
        <v>487</v>
      </c>
      <c r="R1397">
        <v>431.19</v>
      </c>
      <c r="S1397">
        <v>209989.53</v>
      </c>
      <c r="T1397">
        <v>22.53</v>
      </c>
      <c r="U1397">
        <v>13</v>
      </c>
      <c r="V1397">
        <v>16</v>
      </c>
      <c r="W1397">
        <v>54</v>
      </c>
      <c r="X1397" t="s">
        <v>188</v>
      </c>
      <c r="Y1397" t="s">
        <v>36</v>
      </c>
      <c r="Z1397">
        <v>26327.82</v>
      </c>
    </row>
    <row r="1398" spans="1:26" x14ac:dyDescent="0.25">
      <c r="A1398">
        <v>101396</v>
      </c>
      <c r="B1398" s="3">
        <v>45633</v>
      </c>
      <c r="C1398" s="3">
        <v>45637</v>
      </c>
      <c r="D1398" s="3">
        <v>45639</v>
      </c>
      <c r="E1398" t="s">
        <v>3500</v>
      </c>
      <c r="F1398" t="s">
        <v>32</v>
      </c>
      <c r="G1398" t="s">
        <v>180</v>
      </c>
      <c r="H1398" t="s">
        <v>3501</v>
      </c>
      <c r="I1398" t="s">
        <v>139</v>
      </c>
      <c r="J1398" t="s">
        <v>42</v>
      </c>
      <c r="K1398" t="s">
        <v>3292</v>
      </c>
      <c r="L1398" t="s">
        <v>91</v>
      </c>
      <c r="M1398" t="s">
        <v>32</v>
      </c>
      <c r="N1398" t="s">
        <v>55</v>
      </c>
      <c r="O1398" t="s">
        <v>56</v>
      </c>
      <c r="P1398" t="s">
        <v>35</v>
      </c>
      <c r="Q1398">
        <v>12</v>
      </c>
      <c r="R1398">
        <v>380.82</v>
      </c>
      <c r="S1398">
        <v>4569.84</v>
      </c>
      <c r="T1398">
        <v>9.49</v>
      </c>
      <c r="U1398">
        <v>2</v>
      </c>
      <c r="V1398">
        <v>6</v>
      </c>
      <c r="W1398">
        <v>1075</v>
      </c>
      <c r="X1398" t="s">
        <v>3741</v>
      </c>
      <c r="Y1398" t="s">
        <v>36</v>
      </c>
      <c r="Z1398">
        <v>569.65</v>
      </c>
    </row>
    <row r="1399" spans="1:26" x14ac:dyDescent="0.25">
      <c r="A1399">
        <v>101397</v>
      </c>
      <c r="B1399" s="3">
        <v>45492</v>
      </c>
      <c r="C1399" s="3">
        <v>45495</v>
      </c>
      <c r="D1399" s="3">
        <v>45508</v>
      </c>
      <c r="E1399" t="s">
        <v>2538</v>
      </c>
      <c r="F1399" t="s">
        <v>25</v>
      </c>
      <c r="G1399" t="s">
        <v>244</v>
      </c>
      <c r="H1399" t="s">
        <v>3502</v>
      </c>
      <c r="I1399" t="s">
        <v>182</v>
      </c>
      <c r="J1399" t="s">
        <v>80</v>
      </c>
      <c r="K1399" t="s">
        <v>3093</v>
      </c>
      <c r="L1399" t="s">
        <v>44</v>
      </c>
      <c r="M1399" t="s">
        <v>65</v>
      </c>
      <c r="N1399" t="s">
        <v>92</v>
      </c>
      <c r="O1399" t="s">
        <v>93</v>
      </c>
      <c r="P1399" t="s">
        <v>123</v>
      </c>
      <c r="Q1399">
        <v>83</v>
      </c>
      <c r="R1399">
        <v>305.73</v>
      </c>
      <c r="S1399">
        <v>25375.59</v>
      </c>
      <c r="T1399">
        <v>12.71</v>
      </c>
      <c r="U1399">
        <v>13</v>
      </c>
      <c r="V1399">
        <v>16</v>
      </c>
      <c r="W1399">
        <v>1770</v>
      </c>
      <c r="X1399" t="s">
        <v>188</v>
      </c>
      <c r="Y1399" t="s">
        <v>36</v>
      </c>
      <c r="Z1399">
        <v>5235.25</v>
      </c>
    </row>
    <row r="1400" spans="1:26" x14ac:dyDescent="0.25">
      <c r="A1400">
        <v>101398</v>
      </c>
      <c r="B1400" s="3">
        <v>45727</v>
      </c>
      <c r="C1400" s="3">
        <v>45727</v>
      </c>
      <c r="D1400" s="3">
        <v>45733</v>
      </c>
      <c r="E1400" t="s">
        <v>3503</v>
      </c>
      <c r="F1400" t="s">
        <v>38</v>
      </c>
      <c r="G1400" t="s">
        <v>39</v>
      </c>
      <c r="H1400" t="s">
        <v>3504</v>
      </c>
      <c r="I1400" t="s">
        <v>41</v>
      </c>
      <c r="J1400" t="s">
        <v>42</v>
      </c>
      <c r="K1400" t="s">
        <v>756</v>
      </c>
      <c r="L1400" t="s">
        <v>122</v>
      </c>
      <c r="M1400" t="s">
        <v>25</v>
      </c>
      <c r="N1400" t="s">
        <v>203</v>
      </c>
      <c r="O1400" t="s">
        <v>204</v>
      </c>
      <c r="P1400" t="s">
        <v>123</v>
      </c>
      <c r="Q1400">
        <v>158</v>
      </c>
      <c r="R1400">
        <v>97.79</v>
      </c>
      <c r="S1400">
        <v>15450.82</v>
      </c>
      <c r="T1400">
        <v>14.53</v>
      </c>
      <c r="U1400">
        <v>6</v>
      </c>
      <c r="V1400">
        <v>6</v>
      </c>
      <c r="W1400">
        <v>643</v>
      </c>
      <c r="X1400" t="s">
        <v>3741</v>
      </c>
      <c r="Y1400" t="s">
        <v>36</v>
      </c>
      <c r="Z1400">
        <v>2814.79</v>
      </c>
    </row>
    <row r="1401" spans="1:26" x14ac:dyDescent="0.25">
      <c r="A1401">
        <v>101399</v>
      </c>
      <c r="B1401" s="3">
        <v>45334</v>
      </c>
      <c r="C1401" s="3">
        <v>45334</v>
      </c>
      <c r="D1401" s="3">
        <v>45340</v>
      </c>
      <c r="E1401" t="s">
        <v>3505</v>
      </c>
      <c r="F1401" t="s">
        <v>32</v>
      </c>
      <c r="G1401" t="s">
        <v>137</v>
      </c>
      <c r="H1401" t="s">
        <v>3506</v>
      </c>
      <c r="I1401" t="s">
        <v>246</v>
      </c>
      <c r="J1401" t="s">
        <v>29</v>
      </c>
      <c r="K1401" t="s">
        <v>328</v>
      </c>
      <c r="L1401" t="s">
        <v>64</v>
      </c>
      <c r="M1401" t="s">
        <v>65</v>
      </c>
      <c r="N1401" t="s">
        <v>55</v>
      </c>
      <c r="O1401" t="s">
        <v>56</v>
      </c>
      <c r="P1401" t="s">
        <v>123</v>
      </c>
      <c r="Q1401">
        <v>424</v>
      </c>
      <c r="R1401">
        <v>75.92</v>
      </c>
      <c r="S1401">
        <v>32190.080000000002</v>
      </c>
      <c r="T1401">
        <v>21</v>
      </c>
      <c r="U1401">
        <v>6</v>
      </c>
      <c r="V1401">
        <v>6</v>
      </c>
      <c r="W1401">
        <v>1788</v>
      </c>
      <c r="X1401" t="s">
        <v>3741</v>
      </c>
      <c r="Y1401" t="s">
        <v>36</v>
      </c>
      <c r="Z1401">
        <v>6006.01</v>
      </c>
    </row>
    <row r="1402" spans="1:26" x14ac:dyDescent="0.25">
      <c r="A1402">
        <v>101400</v>
      </c>
      <c r="B1402" s="3">
        <v>45925</v>
      </c>
      <c r="C1402" s="3">
        <v>45930</v>
      </c>
      <c r="D1402" s="3">
        <v>45935</v>
      </c>
      <c r="E1402" t="s">
        <v>3507</v>
      </c>
      <c r="F1402" t="s">
        <v>32</v>
      </c>
      <c r="G1402" t="s">
        <v>255</v>
      </c>
      <c r="H1402" t="s">
        <v>1155</v>
      </c>
      <c r="I1402" t="s">
        <v>416</v>
      </c>
      <c r="J1402" t="s">
        <v>80</v>
      </c>
      <c r="K1402" t="s">
        <v>936</v>
      </c>
      <c r="L1402" t="s">
        <v>98</v>
      </c>
      <c r="M1402" t="s">
        <v>54</v>
      </c>
      <c r="N1402" t="s">
        <v>151</v>
      </c>
      <c r="O1402" t="s">
        <v>152</v>
      </c>
      <c r="P1402" t="s">
        <v>123</v>
      </c>
      <c r="Q1402">
        <v>385</v>
      </c>
      <c r="R1402">
        <v>202.25</v>
      </c>
      <c r="S1402">
        <v>77866.25</v>
      </c>
      <c r="T1402">
        <v>20.05</v>
      </c>
      <c r="U1402">
        <v>5</v>
      </c>
      <c r="V1402">
        <v>10</v>
      </c>
      <c r="W1402">
        <v>2057</v>
      </c>
      <c r="X1402" t="s">
        <v>188</v>
      </c>
      <c r="Y1402" t="s">
        <v>36</v>
      </c>
      <c r="Z1402">
        <v>20631.810000000001</v>
      </c>
    </row>
    <row r="1403" spans="1:26" x14ac:dyDescent="0.25">
      <c r="A1403">
        <v>101401</v>
      </c>
      <c r="B1403" s="3">
        <v>45872</v>
      </c>
      <c r="C1403" s="3">
        <v>45877</v>
      </c>
      <c r="D1403" s="3">
        <v>45888</v>
      </c>
      <c r="E1403" t="s">
        <v>3508</v>
      </c>
      <c r="F1403" t="s">
        <v>54</v>
      </c>
      <c r="G1403" t="s">
        <v>193</v>
      </c>
      <c r="H1403" t="s">
        <v>1018</v>
      </c>
      <c r="I1403" t="s">
        <v>238</v>
      </c>
      <c r="J1403" t="s">
        <v>62</v>
      </c>
      <c r="K1403" t="s">
        <v>3509</v>
      </c>
      <c r="L1403" t="s">
        <v>212</v>
      </c>
      <c r="M1403" t="s">
        <v>25</v>
      </c>
      <c r="N1403" t="s">
        <v>55</v>
      </c>
      <c r="O1403" t="s">
        <v>56</v>
      </c>
      <c r="P1403" t="s">
        <v>76</v>
      </c>
      <c r="Q1403">
        <v>340</v>
      </c>
      <c r="R1403">
        <v>6.61</v>
      </c>
      <c r="S1403">
        <v>2247.4</v>
      </c>
      <c r="T1403">
        <v>14.22</v>
      </c>
      <c r="U1403">
        <v>11</v>
      </c>
      <c r="V1403">
        <v>16</v>
      </c>
      <c r="W1403">
        <v>500</v>
      </c>
      <c r="X1403" t="s">
        <v>188</v>
      </c>
      <c r="Y1403" t="s">
        <v>36</v>
      </c>
      <c r="Z1403">
        <v>313.18</v>
      </c>
    </row>
    <row r="1404" spans="1:26" x14ac:dyDescent="0.25">
      <c r="A1404">
        <v>101402</v>
      </c>
      <c r="B1404" s="3">
        <v>45835</v>
      </c>
      <c r="C1404" s="3">
        <v>45835</v>
      </c>
      <c r="D1404" s="3">
        <v>45842</v>
      </c>
      <c r="E1404" t="s">
        <v>3510</v>
      </c>
      <c r="F1404" t="s">
        <v>25</v>
      </c>
      <c r="G1404" t="s">
        <v>59</v>
      </c>
      <c r="H1404" t="s">
        <v>3511</v>
      </c>
      <c r="I1404" t="s">
        <v>177</v>
      </c>
      <c r="J1404" t="s">
        <v>29</v>
      </c>
      <c r="K1404" t="s">
        <v>1327</v>
      </c>
      <c r="L1404" t="s">
        <v>113</v>
      </c>
      <c r="M1404" t="s">
        <v>32</v>
      </c>
      <c r="N1404" t="s">
        <v>151</v>
      </c>
      <c r="O1404" t="s">
        <v>152</v>
      </c>
      <c r="P1404" t="s">
        <v>123</v>
      </c>
      <c r="Q1404">
        <v>496</v>
      </c>
      <c r="R1404">
        <v>55.7</v>
      </c>
      <c r="S1404">
        <v>27627.200000000001</v>
      </c>
      <c r="T1404">
        <v>22.74</v>
      </c>
      <c r="U1404">
        <v>7</v>
      </c>
      <c r="V1404">
        <v>7</v>
      </c>
      <c r="W1404">
        <v>1543</v>
      </c>
      <c r="X1404" t="s">
        <v>3742</v>
      </c>
      <c r="Y1404" t="s">
        <v>57</v>
      </c>
      <c r="Z1404">
        <v>3638.45</v>
      </c>
    </row>
    <row r="1405" spans="1:26" x14ac:dyDescent="0.25">
      <c r="A1405">
        <v>101403</v>
      </c>
      <c r="B1405" s="3">
        <v>45698</v>
      </c>
      <c r="C1405" s="3">
        <v>45703</v>
      </c>
      <c r="D1405" s="3">
        <v>45722</v>
      </c>
      <c r="E1405" t="s">
        <v>2724</v>
      </c>
      <c r="F1405" t="s">
        <v>25</v>
      </c>
      <c r="G1405" t="s">
        <v>59</v>
      </c>
      <c r="H1405" t="s">
        <v>3512</v>
      </c>
      <c r="I1405" t="s">
        <v>207</v>
      </c>
      <c r="J1405" t="s">
        <v>80</v>
      </c>
      <c r="K1405" t="s">
        <v>529</v>
      </c>
      <c r="L1405" t="s">
        <v>98</v>
      </c>
      <c r="M1405" t="s">
        <v>32</v>
      </c>
      <c r="N1405" t="s">
        <v>33</v>
      </c>
      <c r="O1405" t="s">
        <v>34</v>
      </c>
      <c r="P1405" t="s">
        <v>76</v>
      </c>
      <c r="Q1405">
        <v>66</v>
      </c>
      <c r="R1405">
        <v>234.89</v>
      </c>
      <c r="S1405">
        <v>15502.74</v>
      </c>
      <c r="T1405">
        <v>9.2200000000000006</v>
      </c>
      <c r="U1405">
        <v>19</v>
      </c>
      <c r="V1405">
        <v>24</v>
      </c>
      <c r="W1405">
        <v>2159</v>
      </c>
      <c r="X1405" t="s">
        <v>188</v>
      </c>
      <c r="Y1405" t="s">
        <v>36</v>
      </c>
      <c r="Z1405">
        <v>3463.75</v>
      </c>
    </row>
    <row r="1406" spans="1:26" x14ac:dyDescent="0.25">
      <c r="A1406">
        <v>101404</v>
      </c>
      <c r="B1406" s="3">
        <v>45317</v>
      </c>
      <c r="C1406" s="3">
        <v>45319</v>
      </c>
      <c r="D1406" s="3">
        <v>45337</v>
      </c>
      <c r="E1406" t="s">
        <v>3513</v>
      </c>
      <c r="F1406" t="s">
        <v>25</v>
      </c>
      <c r="G1406" t="s">
        <v>169</v>
      </c>
      <c r="H1406" t="s">
        <v>3514</v>
      </c>
      <c r="I1406" t="s">
        <v>416</v>
      </c>
      <c r="J1406" t="s">
        <v>80</v>
      </c>
      <c r="K1406" t="s">
        <v>297</v>
      </c>
      <c r="L1406" t="s">
        <v>98</v>
      </c>
      <c r="M1406" t="s">
        <v>54</v>
      </c>
      <c r="N1406" t="s">
        <v>203</v>
      </c>
      <c r="O1406" t="s">
        <v>204</v>
      </c>
      <c r="P1406" t="s">
        <v>76</v>
      </c>
      <c r="Q1406">
        <v>298</v>
      </c>
      <c r="R1406">
        <v>99.52</v>
      </c>
      <c r="S1406">
        <v>29656.959999999999</v>
      </c>
      <c r="T1406">
        <v>13.45</v>
      </c>
      <c r="U1406">
        <v>18</v>
      </c>
      <c r="V1406">
        <v>20</v>
      </c>
      <c r="W1406">
        <v>378</v>
      </c>
      <c r="X1406" t="s">
        <v>188</v>
      </c>
      <c r="Y1406" t="s">
        <v>36</v>
      </c>
      <c r="Z1406">
        <v>7264.24</v>
      </c>
    </row>
    <row r="1407" spans="1:26" x14ac:dyDescent="0.25">
      <c r="A1407">
        <v>101405</v>
      </c>
      <c r="B1407" s="3">
        <v>45401</v>
      </c>
      <c r="C1407" s="3">
        <v>45405</v>
      </c>
      <c r="D1407" s="3">
        <v>45424</v>
      </c>
      <c r="E1407" t="s">
        <v>3515</v>
      </c>
      <c r="F1407" t="s">
        <v>65</v>
      </c>
      <c r="G1407" t="s">
        <v>70</v>
      </c>
      <c r="H1407" t="s">
        <v>3516</v>
      </c>
      <c r="I1407" t="s">
        <v>41</v>
      </c>
      <c r="J1407" t="s">
        <v>42</v>
      </c>
      <c r="K1407" t="s">
        <v>2265</v>
      </c>
      <c r="L1407" t="s">
        <v>91</v>
      </c>
      <c r="M1407" t="s">
        <v>65</v>
      </c>
      <c r="N1407" t="s">
        <v>107</v>
      </c>
      <c r="O1407" t="s">
        <v>108</v>
      </c>
      <c r="P1407" t="s">
        <v>76</v>
      </c>
      <c r="Q1407">
        <v>434</v>
      </c>
      <c r="R1407">
        <v>294.45</v>
      </c>
      <c r="S1407">
        <v>127791.3</v>
      </c>
      <c r="T1407">
        <v>11.8</v>
      </c>
      <c r="U1407">
        <v>19</v>
      </c>
      <c r="V1407">
        <v>23</v>
      </c>
      <c r="W1407">
        <v>1141</v>
      </c>
      <c r="X1407" t="s">
        <v>3742</v>
      </c>
      <c r="Y1407" t="s">
        <v>188</v>
      </c>
      <c r="Z1407">
        <v>16472</v>
      </c>
    </row>
    <row r="1408" spans="1:26" x14ac:dyDescent="0.25">
      <c r="A1408">
        <v>101406</v>
      </c>
      <c r="B1408" s="3">
        <v>45795</v>
      </c>
      <c r="C1408" s="3">
        <v>45800</v>
      </c>
      <c r="D1408" s="3">
        <v>45820</v>
      </c>
      <c r="E1408" t="s">
        <v>3517</v>
      </c>
      <c r="F1408" t="s">
        <v>32</v>
      </c>
      <c r="G1408" t="s">
        <v>95</v>
      </c>
      <c r="H1408" t="s">
        <v>3518</v>
      </c>
      <c r="I1408" t="s">
        <v>182</v>
      </c>
      <c r="J1408" t="s">
        <v>80</v>
      </c>
      <c r="K1408" t="s">
        <v>3519</v>
      </c>
      <c r="L1408" t="s">
        <v>113</v>
      </c>
      <c r="M1408" t="s">
        <v>38</v>
      </c>
      <c r="N1408" t="s">
        <v>66</v>
      </c>
      <c r="O1408" t="s">
        <v>67</v>
      </c>
      <c r="P1408" t="s">
        <v>76</v>
      </c>
      <c r="Q1408">
        <v>346</v>
      </c>
      <c r="R1408">
        <v>184.5</v>
      </c>
      <c r="S1408">
        <v>63837</v>
      </c>
      <c r="T1408">
        <v>14.32</v>
      </c>
      <c r="U1408">
        <v>20</v>
      </c>
      <c r="V1408">
        <v>25</v>
      </c>
      <c r="W1408">
        <v>2014</v>
      </c>
      <c r="X1408" t="s">
        <v>3742</v>
      </c>
      <c r="Y1408" t="s">
        <v>47</v>
      </c>
      <c r="Z1408">
        <v>-29.21</v>
      </c>
    </row>
    <row r="1409" spans="1:26" x14ac:dyDescent="0.25">
      <c r="A1409">
        <v>101407</v>
      </c>
      <c r="B1409" s="3">
        <v>45454</v>
      </c>
      <c r="C1409" s="3">
        <v>45454</v>
      </c>
      <c r="D1409" s="3">
        <v>45465</v>
      </c>
      <c r="E1409" t="s">
        <v>3520</v>
      </c>
      <c r="F1409" t="s">
        <v>65</v>
      </c>
      <c r="G1409" t="s">
        <v>142</v>
      </c>
      <c r="H1409" t="s">
        <v>3521</v>
      </c>
      <c r="I1409" t="s">
        <v>51</v>
      </c>
      <c r="J1409" t="s">
        <v>52</v>
      </c>
      <c r="K1409" t="s">
        <v>3522</v>
      </c>
      <c r="L1409" t="s">
        <v>187</v>
      </c>
      <c r="M1409" t="s">
        <v>38</v>
      </c>
      <c r="N1409" t="s">
        <v>55</v>
      </c>
      <c r="O1409" t="s">
        <v>56</v>
      </c>
      <c r="P1409" t="s">
        <v>123</v>
      </c>
      <c r="Q1409">
        <v>464</v>
      </c>
      <c r="R1409">
        <v>75.66</v>
      </c>
      <c r="S1409">
        <v>35106.239999999998</v>
      </c>
      <c r="T1409">
        <v>21.97</v>
      </c>
      <c r="U1409">
        <v>11</v>
      </c>
      <c r="V1409">
        <v>11</v>
      </c>
      <c r="W1409">
        <v>1190</v>
      </c>
      <c r="X1409" t="s">
        <v>188</v>
      </c>
      <c r="Y1409" t="s">
        <v>36</v>
      </c>
      <c r="Z1409">
        <v>4159.76</v>
      </c>
    </row>
    <row r="1410" spans="1:26" x14ac:dyDescent="0.25">
      <c r="A1410">
        <v>101408</v>
      </c>
      <c r="B1410" s="3">
        <v>45371</v>
      </c>
      <c r="C1410" s="3">
        <v>45376</v>
      </c>
      <c r="D1410" s="3">
        <v>45394</v>
      </c>
      <c r="E1410" t="s">
        <v>3523</v>
      </c>
      <c r="F1410" t="s">
        <v>25</v>
      </c>
      <c r="G1410" t="s">
        <v>26</v>
      </c>
      <c r="H1410" t="s">
        <v>3524</v>
      </c>
      <c r="I1410" t="s">
        <v>144</v>
      </c>
      <c r="J1410" t="s">
        <v>52</v>
      </c>
      <c r="K1410" t="s">
        <v>3525</v>
      </c>
      <c r="L1410" t="s">
        <v>122</v>
      </c>
      <c r="M1410" t="s">
        <v>65</v>
      </c>
      <c r="N1410" t="s">
        <v>74</v>
      </c>
      <c r="O1410" t="s">
        <v>75</v>
      </c>
      <c r="P1410" t="s">
        <v>76</v>
      </c>
      <c r="Q1410">
        <v>455</v>
      </c>
      <c r="R1410">
        <v>24.9</v>
      </c>
      <c r="S1410">
        <v>11329.5</v>
      </c>
      <c r="T1410">
        <v>16.309999999999999</v>
      </c>
      <c r="U1410">
        <v>18</v>
      </c>
      <c r="V1410">
        <v>23</v>
      </c>
      <c r="W1410">
        <v>1637</v>
      </c>
      <c r="X1410" t="s">
        <v>3742</v>
      </c>
      <c r="Y1410" t="s">
        <v>47</v>
      </c>
      <c r="Z1410">
        <v>-67.08</v>
      </c>
    </row>
    <row r="1411" spans="1:26" x14ac:dyDescent="0.25">
      <c r="A1411">
        <v>101409</v>
      </c>
      <c r="B1411" s="3">
        <v>45501</v>
      </c>
      <c r="C1411" s="3">
        <v>45502</v>
      </c>
      <c r="D1411" s="3">
        <v>45512</v>
      </c>
      <c r="E1411" t="s">
        <v>3526</v>
      </c>
      <c r="F1411" t="s">
        <v>32</v>
      </c>
      <c r="G1411" t="s">
        <v>137</v>
      </c>
      <c r="H1411" t="s">
        <v>3527</v>
      </c>
      <c r="I1411" t="s">
        <v>61</v>
      </c>
      <c r="J1411" t="s">
        <v>62</v>
      </c>
      <c r="K1411" t="s">
        <v>3528</v>
      </c>
      <c r="L1411" t="s">
        <v>64</v>
      </c>
      <c r="M1411" t="s">
        <v>25</v>
      </c>
      <c r="N1411" t="s">
        <v>203</v>
      </c>
      <c r="O1411" t="s">
        <v>204</v>
      </c>
      <c r="P1411" t="s">
        <v>35</v>
      </c>
      <c r="Q1411">
        <v>189</v>
      </c>
      <c r="R1411">
        <v>14.25</v>
      </c>
      <c r="S1411">
        <v>2693.25</v>
      </c>
      <c r="T1411">
        <v>17.829999999999998</v>
      </c>
      <c r="U1411">
        <v>10</v>
      </c>
      <c r="V1411">
        <v>11</v>
      </c>
      <c r="W1411">
        <v>501</v>
      </c>
      <c r="X1411" t="s">
        <v>3742</v>
      </c>
      <c r="Y1411" t="s">
        <v>47</v>
      </c>
      <c r="Z1411">
        <v>-158.04</v>
      </c>
    </row>
    <row r="1412" spans="1:26" x14ac:dyDescent="0.25">
      <c r="A1412">
        <v>101410</v>
      </c>
      <c r="B1412" s="3">
        <v>45580</v>
      </c>
      <c r="C1412" s="3">
        <v>45584</v>
      </c>
      <c r="D1412" s="3">
        <v>45589</v>
      </c>
      <c r="E1412" t="s">
        <v>3529</v>
      </c>
      <c r="F1412" t="s">
        <v>38</v>
      </c>
      <c r="G1412" t="s">
        <v>217</v>
      </c>
      <c r="H1412" t="s">
        <v>3530</v>
      </c>
      <c r="I1412" t="s">
        <v>230</v>
      </c>
      <c r="J1412" t="s">
        <v>80</v>
      </c>
      <c r="K1412" t="s">
        <v>2548</v>
      </c>
      <c r="L1412" t="s">
        <v>113</v>
      </c>
      <c r="M1412" t="s">
        <v>38</v>
      </c>
      <c r="N1412" t="s">
        <v>33</v>
      </c>
      <c r="O1412" t="s">
        <v>34</v>
      </c>
      <c r="P1412" t="s">
        <v>68</v>
      </c>
      <c r="Q1412">
        <v>265</v>
      </c>
      <c r="R1412">
        <v>54.11</v>
      </c>
      <c r="S1412">
        <v>14339.15</v>
      </c>
      <c r="T1412">
        <v>33.840000000000003</v>
      </c>
      <c r="U1412">
        <v>5</v>
      </c>
      <c r="V1412">
        <v>9</v>
      </c>
      <c r="W1412">
        <v>1771</v>
      </c>
      <c r="X1412" t="s">
        <v>188</v>
      </c>
      <c r="Y1412" t="s">
        <v>36</v>
      </c>
      <c r="Z1412">
        <v>1709.53</v>
      </c>
    </row>
    <row r="1413" spans="1:26" x14ac:dyDescent="0.25">
      <c r="A1413">
        <v>101411</v>
      </c>
      <c r="B1413" s="3">
        <v>45395</v>
      </c>
      <c r="C1413" s="3">
        <v>45397</v>
      </c>
      <c r="D1413" s="3">
        <v>45401</v>
      </c>
      <c r="E1413" t="s">
        <v>2055</v>
      </c>
      <c r="F1413" t="s">
        <v>32</v>
      </c>
      <c r="G1413" t="s">
        <v>255</v>
      </c>
      <c r="H1413" t="s">
        <v>3531</v>
      </c>
      <c r="I1413" t="s">
        <v>61</v>
      </c>
      <c r="J1413" t="s">
        <v>62</v>
      </c>
      <c r="K1413" t="s">
        <v>1829</v>
      </c>
      <c r="L1413" t="s">
        <v>118</v>
      </c>
      <c r="M1413" t="s">
        <v>32</v>
      </c>
      <c r="N1413" t="s">
        <v>55</v>
      </c>
      <c r="O1413" t="s">
        <v>56</v>
      </c>
      <c r="P1413" t="s">
        <v>35</v>
      </c>
      <c r="Q1413">
        <v>47</v>
      </c>
      <c r="R1413">
        <v>11.83</v>
      </c>
      <c r="S1413">
        <v>556.01</v>
      </c>
      <c r="T1413">
        <v>10.23</v>
      </c>
      <c r="U1413">
        <v>4</v>
      </c>
      <c r="V1413">
        <v>6</v>
      </c>
      <c r="W1413">
        <v>1978</v>
      </c>
      <c r="X1413" t="s">
        <v>3741</v>
      </c>
      <c r="Y1413" t="s">
        <v>36</v>
      </c>
      <c r="Z1413">
        <v>73.849999999999994</v>
      </c>
    </row>
    <row r="1414" spans="1:26" x14ac:dyDescent="0.25">
      <c r="A1414">
        <v>101412</v>
      </c>
      <c r="B1414" s="3">
        <v>45648</v>
      </c>
      <c r="C1414" s="3">
        <v>45653</v>
      </c>
      <c r="D1414" s="3">
        <v>45657</v>
      </c>
      <c r="E1414" t="s">
        <v>3532</v>
      </c>
      <c r="F1414" t="s">
        <v>32</v>
      </c>
      <c r="G1414" t="s">
        <v>95</v>
      </c>
      <c r="H1414" t="s">
        <v>3533</v>
      </c>
      <c r="I1414" t="s">
        <v>191</v>
      </c>
      <c r="J1414" t="s">
        <v>62</v>
      </c>
      <c r="K1414" t="s">
        <v>3534</v>
      </c>
      <c r="L1414" t="s">
        <v>212</v>
      </c>
      <c r="M1414" t="s">
        <v>25</v>
      </c>
      <c r="N1414" t="s">
        <v>74</v>
      </c>
      <c r="O1414" t="s">
        <v>75</v>
      </c>
      <c r="P1414" t="s">
        <v>123</v>
      </c>
      <c r="Q1414">
        <v>434</v>
      </c>
      <c r="R1414">
        <v>38.67</v>
      </c>
      <c r="S1414">
        <v>16782.78</v>
      </c>
      <c r="T1414">
        <v>21.24</v>
      </c>
      <c r="U1414">
        <v>4</v>
      </c>
      <c r="V1414">
        <v>9</v>
      </c>
      <c r="W1414">
        <v>2474</v>
      </c>
      <c r="X1414" t="s">
        <v>188</v>
      </c>
      <c r="Y1414" t="s">
        <v>36</v>
      </c>
      <c r="Z1414">
        <v>2377.25</v>
      </c>
    </row>
    <row r="1415" spans="1:26" x14ac:dyDescent="0.25">
      <c r="A1415">
        <v>101413</v>
      </c>
      <c r="B1415" s="3">
        <v>45593</v>
      </c>
      <c r="C1415" s="3">
        <v>45595</v>
      </c>
      <c r="D1415" s="3">
        <v>45596</v>
      </c>
      <c r="E1415" t="s">
        <v>3535</v>
      </c>
      <c r="F1415" t="s">
        <v>25</v>
      </c>
      <c r="G1415" t="s">
        <v>169</v>
      </c>
      <c r="H1415" t="s">
        <v>3536</v>
      </c>
      <c r="I1415" t="s">
        <v>368</v>
      </c>
      <c r="J1415" t="s">
        <v>29</v>
      </c>
      <c r="K1415" t="s">
        <v>737</v>
      </c>
      <c r="L1415" t="s">
        <v>44</v>
      </c>
      <c r="M1415" t="s">
        <v>54</v>
      </c>
      <c r="N1415" t="s">
        <v>92</v>
      </c>
      <c r="O1415" t="s">
        <v>93</v>
      </c>
      <c r="P1415" t="s">
        <v>68</v>
      </c>
      <c r="Q1415">
        <v>18</v>
      </c>
      <c r="R1415">
        <v>96.14</v>
      </c>
      <c r="S1415">
        <v>1730.52</v>
      </c>
      <c r="T1415">
        <v>29.68</v>
      </c>
      <c r="U1415">
        <v>1</v>
      </c>
      <c r="V1415">
        <v>3</v>
      </c>
      <c r="W1415">
        <v>3335</v>
      </c>
      <c r="X1415" t="s">
        <v>3741</v>
      </c>
      <c r="Y1415" t="s">
        <v>36</v>
      </c>
      <c r="Z1415">
        <v>233.33</v>
      </c>
    </row>
    <row r="1416" spans="1:26" x14ac:dyDescent="0.25">
      <c r="A1416">
        <v>101414</v>
      </c>
      <c r="B1416" s="3">
        <v>45973</v>
      </c>
      <c r="C1416" s="3">
        <v>45978</v>
      </c>
      <c r="D1416" s="3">
        <v>45988</v>
      </c>
      <c r="E1416" t="s">
        <v>3537</v>
      </c>
      <c r="F1416" t="s">
        <v>54</v>
      </c>
      <c r="G1416" t="s">
        <v>165</v>
      </c>
      <c r="H1416" t="s">
        <v>3538</v>
      </c>
      <c r="I1416" t="s">
        <v>368</v>
      </c>
      <c r="J1416" t="s">
        <v>29</v>
      </c>
      <c r="K1416" t="s">
        <v>3539</v>
      </c>
      <c r="L1416" t="s">
        <v>91</v>
      </c>
      <c r="M1416" t="s">
        <v>38</v>
      </c>
      <c r="N1416" t="s">
        <v>74</v>
      </c>
      <c r="O1416" t="s">
        <v>75</v>
      </c>
      <c r="P1416" t="s">
        <v>123</v>
      </c>
      <c r="Q1416">
        <v>381</v>
      </c>
      <c r="R1416">
        <v>17.8</v>
      </c>
      <c r="S1416">
        <v>6781.8</v>
      </c>
      <c r="T1416">
        <v>19.95</v>
      </c>
      <c r="U1416">
        <v>10</v>
      </c>
      <c r="V1416">
        <v>15</v>
      </c>
      <c r="W1416">
        <v>2143</v>
      </c>
      <c r="X1416" t="s">
        <v>188</v>
      </c>
      <c r="Y1416" t="s">
        <v>36</v>
      </c>
      <c r="Z1416">
        <v>784.63</v>
      </c>
    </row>
    <row r="1417" spans="1:26" x14ac:dyDescent="0.25">
      <c r="A1417">
        <v>101415</v>
      </c>
      <c r="B1417" s="3">
        <v>45991</v>
      </c>
      <c r="C1417" s="3">
        <v>45994</v>
      </c>
      <c r="D1417" s="3">
        <v>46001</v>
      </c>
      <c r="E1417" t="s">
        <v>3540</v>
      </c>
      <c r="F1417" t="s">
        <v>32</v>
      </c>
      <c r="G1417" t="s">
        <v>137</v>
      </c>
      <c r="H1417" t="s">
        <v>3541</v>
      </c>
      <c r="I1417" t="s">
        <v>207</v>
      </c>
      <c r="J1417" t="s">
        <v>80</v>
      </c>
      <c r="K1417" t="s">
        <v>3542</v>
      </c>
      <c r="L1417" t="s">
        <v>122</v>
      </c>
      <c r="M1417" t="s">
        <v>38</v>
      </c>
      <c r="N1417" t="s">
        <v>55</v>
      </c>
      <c r="O1417" t="s">
        <v>56</v>
      </c>
      <c r="P1417" t="s">
        <v>35</v>
      </c>
      <c r="Q1417">
        <v>239</v>
      </c>
      <c r="R1417">
        <v>159.05000000000001</v>
      </c>
      <c r="S1417">
        <v>38012.949999999997</v>
      </c>
      <c r="T1417">
        <v>19.25</v>
      </c>
      <c r="U1417">
        <v>7</v>
      </c>
      <c r="V1417">
        <v>10</v>
      </c>
      <c r="W1417">
        <v>104</v>
      </c>
      <c r="X1417" t="s">
        <v>3742</v>
      </c>
      <c r="Y1417" t="s">
        <v>47</v>
      </c>
      <c r="Z1417">
        <v>-247.25</v>
      </c>
    </row>
    <row r="1418" spans="1:26" x14ac:dyDescent="0.25">
      <c r="A1418">
        <v>101416</v>
      </c>
      <c r="B1418" s="3">
        <v>45645</v>
      </c>
      <c r="C1418" s="3">
        <v>45648</v>
      </c>
      <c r="D1418" s="3">
        <v>45665</v>
      </c>
      <c r="E1418" t="s">
        <v>3543</v>
      </c>
      <c r="F1418" t="s">
        <v>38</v>
      </c>
      <c r="G1418" t="s">
        <v>39</v>
      </c>
      <c r="H1418" t="s">
        <v>3544</v>
      </c>
      <c r="I1418" t="s">
        <v>207</v>
      </c>
      <c r="J1418" t="s">
        <v>80</v>
      </c>
      <c r="K1418" t="s">
        <v>2816</v>
      </c>
      <c r="L1418" t="s">
        <v>91</v>
      </c>
      <c r="M1418" t="s">
        <v>65</v>
      </c>
      <c r="N1418" t="s">
        <v>55</v>
      </c>
      <c r="O1418" t="s">
        <v>56</v>
      </c>
      <c r="P1418" t="s">
        <v>76</v>
      </c>
      <c r="Q1418">
        <v>69</v>
      </c>
      <c r="R1418">
        <v>282.63</v>
      </c>
      <c r="S1418">
        <v>19501.47</v>
      </c>
      <c r="T1418">
        <v>9.2799999999999994</v>
      </c>
      <c r="U1418">
        <v>17</v>
      </c>
      <c r="V1418">
        <v>20</v>
      </c>
      <c r="W1418">
        <v>409</v>
      </c>
      <c r="X1418" t="s">
        <v>188</v>
      </c>
      <c r="Y1418" t="s">
        <v>36</v>
      </c>
      <c r="Z1418">
        <v>1753.97</v>
      </c>
    </row>
    <row r="1419" spans="1:26" x14ac:dyDescent="0.25">
      <c r="A1419">
        <v>101417</v>
      </c>
      <c r="B1419" s="3">
        <v>45562</v>
      </c>
      <c r="C1419" s="3">
        <v>45564</v>
      </c>
      <c r="D1419" s="3">
        <v>45572</v>
      </c>
      <c r="E1419" t="s">
        <v>3545</v>
      </c>
      <c r="F1419" t="s">
        <v>25</v>
      </c>
      <c r="G1419" t="s">
        <v>59</v>
      </c>
      <c r="H1419" t="s">
        <v>3546</v>
      </c>
      <c r="I1419" t="s">
        <v>41</v>
      </c>
      <c r="J1419" t="s">
        <v>42</v>
      </c>
      <c r="K1419" t="s">
        <v>3181</v>
      </c>
      <c r="L1419" t="s">
        <v>187</v>
      </c>
      <c r="M1419" t="s">
        <v>38</v>
      </c>
      <c r="N1419" t="s">
        <v>203</v>
      </c>
      <c r="O1419" t="s">
        <v>204</v>
      </c>
      <c r="P1419" t="s">
        <v>35</v>
      </c>
      <c r="Q1419">
        <v>77</v>
      </c>
      <c r="R1419">
        <v>388.89</v>
      </c>
      <c r="S1419">
        <v>29944.53</v>
      </c>
      <c r="T1419">
        <v>14.66</v>
      </c>
      <c r="U1419">
        <v>8</v>
      </c>
      <c r="V1419">
        <v>10</v>
      </c>
      <c r="W1419">
        <v>482</v>
      </c>
      <c r="X1419" t="s">
        <v>188</v>
      </c>
      <c r="Y1419" t="s">
        <v>36</v>
      </c>
      <c r="Z1419">
        <v>4655.8599999999997</v>
      </c>
    </row>
    <row r="1420" spans="1:26" x14ac:dyDescent="0.25">
      <c r="A1420">
        <v>101418</v>
      </c>
      <c r="B1420" s="3">
        <v>45841</v>
      </c>
      <c r="C1420" s="3">
        <v>45843</v>
      </c>
      <c r="D1420" s="3">
        <v>45848</v>
      </c>
      <c r="E1420" t="s">
        <v>3547</v>
      </c>
      <c r="F1420" t="s">
        <v>54</v>
      </c>
      <c r="G1420" t="s">
        <v>225</v>
      </c>
      <c r="H1420" t="s">
        <v>3548</v>
      </c>
      <c r="I1420" t="s">
        <v>198</v>
      </c>
      <c r="J1420" t="s">
        <v>52</v>
      </c>
      <c r="K1420" t="s">
        <v>3549</v>
      </c>
      <c r="L1420" t="s">
        <v>113</v>
      </c>
      <c r="M1420" t="s">
        <v>38</v>
      </c>
      <c r="N1420" t="s">
        <v>55</v>
      </c>
      <c r="O1420" t="s">
        <v>56</v>
      </c>
      <c r="P1420" t="s">
        <v>35</v>
      </c>
      <c r="Q1420">
        <v>356</v>
      </c>
      <c r="R1420">
        <v>87.23</v>
      </c>
      <c r="S1420">
        <v>31053.88</v>
      </c>
      <c r="T1420">
        <v>22.57</v>
      </c>
      <c r="U1420">
        <v>5</v>
      </c>
      <c r="V1420">
        <v>7</v>
      </c>
      <c r="W1420">
        <v>1902</v>
      </c>
      <c r="X1420" t="s">
        <v>3741</v>
      </c>
      <c r="Y1420" t="s">
        <v>36</v>
      </c>
      <c r="Z1420">
        <v>4495.2700000000004</v>
      </c>
    </row>
    <row r="1421" spans="1:26" x14ac:dyDescent="0.25">
      <c r="A1421">
        <v>101419</v>
      </c>
      <c r="B1421" s="3">
        <v>45614</v>
      </c>
      <c r="C1421" s="3">
        <v>45618</v>
      </c>
      <c r="D1421" s="3">
        <v>45628</v>
      </c>
      <c r="E1421" t="s">
        <v>3550</v>
      </c>
      <c r="F1421" t="s">
        <v>65</v>
      </c>
      <c r="G1421" t="s">
        <v>154</v>
      </c>
      <c r="H1421" t="s">
        <v>3551</v>
      </c>
      <c r="I1421" t="s">
        <v>191</v>
      </c>
      <c r="J1421" t="s">
        <v>62</v>
      </c>
      <c r="K1421" t="s">
        <v>3552</v>
      </c>
      <c r="L1421" t="s">
        <v>113</v>
      </c>
      <c r="M1421" t="s">
        <v>38</v>
      </c>
      <c r="N1421" t="s">
        <v>203</v>
      </c>
      <c r="O1421" t="s">
        <v>204</v>
      </c>
      <c r="P1421" t="s">
        <v>35</v>
      </c>
      <c r="Q1421">
        <v>84</v>
      </c>
      <c r="R1421">
        <v>41.04</v>
      </c>
      <c r="S1421">
        <v>3447.36</v>
      </c>
      <c r="T1421">
        <v>14.86</v>
      </c>
      <c r="U1421">
        <v>10</v>
      </c>
      <c r="V1421">
        <v>14</v>
      </c>
      <c r="W1421">
        <v>2520</v>
      </c>
      <c r="X1421" t="s">
        <v>188</v>
      </c>
      <c r="Y1421" t="s">
        <v>36</v>
      </c>
      <c r="Z1421">
        <v>571.83000000000004</v>
      </c>
    </row>
    <row r="1422" spans="1:26" x14ac:dyDescent="0.25">
      <c r="A1422">
        <v>101420</v>
      </c>
      <c r="B1422" s="3">
        <v>45458</v>
      </c>
      <c r="C1422" s="3">
        <v>45461</v>
      </c>
      <c r="D1422" s="3">
        <v>45463</v>
      </c>
      <c r="E1422" t="s">
        <v>3553</v>
      </c>
      <c r="F1422" t="s">
        <v>32</v>
      </c>
      <c r="G1422" t="s">
        <v>180</v>
      </c>
      <c r="H1422" t="s">
        <v>3554</v>
      </c>
      <c r="I1422" t="s">
        <v>416</v>
      </c>
      <c r="J1422" t="s">
        <v>80</v>
      </c>
      <c r="K1422" t="s">
        <v>2766</v>
      </c>
      <c r="L1422" t="s">
        <v>64</v>
      </c>
      <c r="M1422" t="s">
        <v>54</v>
      </c>
      <c r="N1422" t="s">
        <v>203</v>
      </c>
      <c r="O1422" t="s">
        <v>204</v>
      </c>
      <c r="P1422" t="s">
        <v>35</v>
      </c>
      <c r="Q1422">
        <v>472</v>
      </c>
      <c r="R1422">
        <v>189.04</v>
      </c>
      <c r="S1422">
        <v>89226.880000000005</v>
      </c>
      <c r="T1422">
        <v>25.86</v>
      </c>
      <c r="U1422">
        <v>2</v>
      </c>
      <c r="V1422">
        <v>5</v>
      </c>
      <c r="W1422">
        <v>1721</v>
      </c>
      <c r="X1422" t="s">
        <v>3741</v>
      </c>
      <c r="Y1422" t="s">
        <v>36</v>
      </c>
      <c r="Z1422">
        <v>5198.49</v>
      </c>
    </row>
    <row r="1423" spans="1:26" x14ac:dyDescent="0.25">
      <c r="A1423">
        <v>101421</v>
      </c>
      <c r="B1423" s="3">
        <v>45679</v>
      </c>
      <c r="C1423" s="3">
        <v>45682</v>
      </c>
      <c r="D1423" s="3">
        <v>45696</v>
      </c>
      <c r="E1423" t="s">
        <v>3555</v>
      </c>
      <c r="F1423" t="s">
        <v>25</v>
      </c>
      <c r="G1423" t="s">
        <v>169</v>
      </c>
      <c r="H1423" t="s">
        <v>3556</v>
      </c>
      <c r="I1423" t="s">
        <v>116</v>
      </c>
      <c r="J1423" t="s">
        <v>62</v>
      </c>
      <c r="K1423" t="s">
        <v>1617</v>
      </c>
      <c r="L1423" t="s">
        <v>98</v>
      </c>
      <c r="M1423" t="s">
        <v>65</v>
      </c>
      <c r="N1423" t="s">
        <v>107</v>
      </c>
      <c r="O1423" t="s">
        <v>108</v>
      </c>
      <c r="P1423" t="s">
        <v>123</v>
      </c>
      <c r="Q1423">
        <v>121</v>
      </c>
      <c r="R1423">
        <v>48.26</v>
      </c>
      <c r="S1423">
        <v>5839.46</v>
      </c>
      <c r="T1423">
        <v>13.63</v>
      </c>
      <c r="U1423">
        <v>14</v>
      </c>
      <c r="V1423">
        <v>17</v>
      </c>
      <c r="W1423">
        <v>1738</v>
      </c>
      <c r="X1423" t="s">
        <v>188</v>
      </c>
      <c r="Y1423" t="s">
        <v>36</v>
      </c>
      <c r="Z1423">
        <v>891.8</v>
      </c>
    </row>
    <row r="1424" spans="1:26" x14ac:dyDescent="0.25">
      <c r="A1424">
        <v>101422</v>
      </c>
      <c r="B1424" s="3">
        <v>45534</v>
      </c>
      <c r="C1424" s="3">
        <v>45535</v>
      </c>
      <c r="D1424" s="3">
        <v>45539</v>
      </c>
      <c r="E1424" t="s">
        <v>3557</v>
      </c>
      <c r="F1424" t="s">
        <v>54</v>
      </c>
      <c r="G1424" t="s">
        <v>193</v>
      </c>
      <c r="H1424" t="s">
        <v>3558</v>
      </c>
      <c r="I1424" t="s">
        <v>72</v>
      </c>
      <c r="J1424" t="s">
        <v>42</v>
      </c>
      <c r="K1424" t="s">
        <v>2598</v>
      </c>
      <c r="L1424" t="s">
        <v>187</v>
      </c>
      <c r="M1424" t="s">
        <v>25</v>
      </c>
      <c r="N1424" t="s">
        <v>151</v>
      </c>
      <c r="O1424" t="s">
        <v>152</v>
      </c>
      <c r="P1424" t="s">
        <v>68</v>
      </c>
      <c r="Q1424">
        <v>240</v>
      </c>
      <c r="R1424">
        <v>214.03</v>
      </c>
      <c r="S1424">
        <v>51367.199999999997</v>
      </c>
      <c r="T1424">
        <v>44.06</v>
      </c>
      <c r="U1424">
        <v>4</v>
      </c>
      <c r="V1424">
        <v>5</v>
      </c>
      <c r="W1424">
        <v>1752</v>
      </c>
      <c r="X1424" t="s">
        <v>3741</v>
      </c>
      <c r="Y1424" t="s">
        <v>36</v>
      </c>
      <c r="Z1424">
        <v>11151.42</v>
      </c>
    </row>
    <row r="1425" spans="1:26" x14ac:dyDescent="0.25">
      <c r="A1425">
        <v>101423</v>
      </c>
      <c r="B1425" s="3">
        <v>45672</v>
      </c>
      <c r="C1425" s="3">
        <v>45673</v>
      </c>
      <c r="D1425" s="3">
        <v>45691</v>
      </c>
      <c r="E1425" t="s">
        <v>3559</v>
      </c>
      <c r="F1425" t="s">
        <v>65</v>
      </c>
      <c r="G1425" t="s">
        <v>142</v>
      </c>
      <c r="H1425" t="s">
        <v>3560</v>
      </c>
      <c r="I1425" t="s">
        <v>134</v>
      </c>
      <c r="J1425" t="s">
        <v>52</v>
      </c>
      <c r="K1425" t="s">
        <v>3561</v>
      </c>
      <c r="L1425" t="s">
        <v>64</v>
      </c>
      <c r="M1425" t="s">
        <v>32</v>
      </c>
      <c r="N1425" t="s">
        <v>55</v>
      </c>
      <c r="O1425" t="s">
        <v>56</v>
      </c>
      <c r="P1425" t="s">
        <v>76</v>
      </c>
      <c r="Q1425">
        <v>249</v>
      </c>
      <c r="R1425">
        <v>17.36</v>
      </c>
      <c r="S1425">
        <v>4322.6400000000003</v>
      </c>
      <c r="T1425">
        <v>12.56</v>
      </c>
      <c r="U1425">
        <v>18</v>
      </c>
      <c r="V1425">
        <v>19</v>
      </c>
      <c r="W1425">
        <v>930</v>
      </c>
      <c r="X1425" t="s">
        <v>188</v>
      </c>
      <c r="Y1425" t="s">
        <v>36</v>
      </c>
      <c r="Z1425">
        <v>822.07</v>
      </c>
    </row>
    <row r="1426" spans="1:26" x14ac:dyDescent="0.25">
      <c r="A1426">
        <v>101424</v>
      </c>
      <c r="B1426" s="3">
        <v>45683</v>
      </c>
      <c r="C1426" s="3">
        <v>45683</v>
      </c>
      <c r="D1426" s="3">
        <v>45697</v>
      </c>
      <c r="E1426" t="s">
        <v>3562</v>
      </c>
      <c r="F1426" t="s">
        <v>32</v>
      </c>
      <c r="G1426" t="s">
        <v>110</v>
      </c>
      <c r="H1426" t="s">
        <v>3563</v>
      </c>
      <c r="I1426" t="s">
        <v>230</v>
      </c>
      <c r="J1426" t="s">
        <v>80</v>
      </c>
      <c r="K1426" t="s">
        <v>2086</v>
      </c>
      <c r="L1426" t="s">
        <v>212</v>
      </c>
      <c r="M1426" t="s">
        <v>54</v>
      </c>
      <c r="N1426" t="s">
        <v>151</v>
      </c>
      <c r="O1426" t="s">
        <v>152</v>
      </c>
      <c r="P1426" t="s">
        <v>123</v>
      </c>
      <c r="Q1426">
        <v>453</v>
      </c>
      <c r="R1426">
        <v>271.52</v>
      </c>
      <c r="S1426">
        <v>122998.56</v>
      </c>
      <c r="T1426">
        <v>21.7</v>
      </c>
      <c r="U1426">
        <v>14</v>
      </c>
      <c r="V1426">
        <v>14</v>
      </c>
      <c r="W1426">
        <v>727</v>
      </c>
      <c r="X1426" t="s">
        <v>188</v>
      </c>
      <c r="Y1426" t="s">
        <v>36</v>
      </c>
      <c r="Z1426">
        <v>22805.06</v>
      </c>
    </row>
    <row r="1427" spans="1:26" x14ac:dyDescent="0.25">
      <c r="A1427">
        <v>101425</v>
      </c>
      <c r="B1427" s="3">
        <v>45352</v>
      </c>
      <c r="C1427" s="3">
        <v>45357</v>
      </c>
      <c r="D1427" s="3">
        <v>45361</v>
      </c>
      <c r="E1427" t="s">
        <v>3564</v>
      </c>
      <c r="F1427" t="s">
        <v>32</v>
      </c>
      <c r="G1427" t="s">
        <v>255</v>
      </c>
      <c r="H1427" t="s">
        <v>3565</v>
      </c>
      <c r="I1427" t="s">
        <v>230</v>
      </c>
      <c r="J1427" t="s">
        <v>80</v>
      </c>
      <c r="K1427" t="s">
        <v>562</v>
      </c>
      <c r="L1427" t="s">
        <v>91</v>
      </c>
      <c r="M1427" t="s">
        <v>65</v>
      </c>
      <c r="N1427" t="s">
        <v>102</v>
      </c>
      <c r="O1427" t="s">
        <v>103</v>
      </c>
      <c r="P1427" t="s">
        <v>123</v>
      </c>
      <c r="Q1427">
        <v>119</v>
      </c>
      <c r="R1427">
        <v>264.56</v>
      </c>
      <c r="S1427">
        <v>31482.639999999999</v>
      </c>
      <c r="T1427">
        <v>13.58</v>
      </c>
      <c r="U1427">
        <v>4</v>
      </c>
      <c r="V1427">
        <v>9</v>
      </c>
      <c r="W1427">
        <v>504</v>
      </c>
      <c r="X1427" t="s">
        <v>188</v>
      </c>
      <c r="Y1427" t="s">
        <v>36</v>
      </c>
      <c r="Z1427">
        <v>7283.33</v>
      </c>
    </row>
    <row r="1428" spans="1:26" x14ac:dyDescent="0.25">
      <c r="A1428">
        <v>101426</v>
      </c>
      <c r="B1428" s="3">
        <v>45429</v>
      </c>
      <c r="C1428" s="3">
        <v>45433</v>
      </c>
      <c r="D1428" s="3">
        <v>45448</v>
      </c>
      <c r="E1428" t="s">
        <v>3566</v>
      </c>
      <c r="F1428" t="s">
        <v>54</v>
      </c>
      <c r="G1428" t="s">
        <v>193</v>
      </c>
      <c r="H1428" t="s">
        <v>3567</v>
      </c>
      <c r="I1428" t="s">
        <v>126</v>
      </c>
      <c r="J1428" t="s">
        <v>42</v>
      </c>
      <c r="K1428" t="s">
        <v>3568</v>
      </c>
      <c r="L1428" t="s">
        <v>118</v>
      </c>
      <c r="M1428" t="s">
        <v>25</v>
      </c>
      <c r="N1428" t="s">
        <v>55</v>
      </c>
      <c r="O1428" t="s">
        <v>56</v>
      </c>
      <c r="P1428" t="s">
        <v>76</v>
      </c>
      <c r="Q1428">
        <v>173</v>
      </c>
      <c r="R1428">
        <v>230.12</v>
      </c>
      <c r="S1428">
        <v>39810.76</v>
      </c>
      <c r="T1428">
        <v>11.17</v>
      </c>
      <c r="U1428">
        <v>15</v>
      </c>
      <c r="V1428">
        <v>19</v>
      </c>
      <c r="W1428">
        <v>744</v>
      </c>
      <c r="X1428" t="s">
        <v>188</v>
      </c>
      <c r="Y1428" t="s">
        <v>36</v>
      </c>
      <c r="Z1428">
        <v>5291.12</v>
      </c>
    </row>
    <row r="1429" spans="1:26" x14ac:dyDescent="0.25">
      <c r="A1429">
        <v>101427</v>
      </c>
      <c r="B1429" s="3">
        <v>45888</v>
      </c>
      <c r="C1429" s="3">
        <v>45890</v>
      </c>
      <c r="D1429" s="3">
        <v>45902</v>
      </c>
      <c r="E1429" t="s">
        <v>3569</v>
      </c>
      <c r="F1429" t="s">
        <v>65</v>
      </c>
      <c r="G1429" t="s">
        <v>142</v>
      </c>
      <c r="H1429" t="s">
        <v>3570</v>
      </c>
      <c r="I1429" t="s">
        <v>238</v>
      </c>
      <c r="J1429" t="s">
        <v>62</v>
      </c>
      <c r="K1429" t="s">
        <v>991</v>
      </c>
      <c r="L1429" t="s">
        <v>31</v>
      </c>
      <c r="M1429" t="s">
        <v>25</v>
      </c>
      <c r="N1429" t="s">
        <v>33</v>
      </c>
      <c r="O1429" t="s">
        <v>34</v>
      </c>
      <c r="P1429" t="s">
        <v>123</v>
      </c>
      <c r="Q1429">
        <v>412</v>
      </c>
      <c r="R1429">
        <v>36.729999999999997</v>
      </c>
      <c r="S1429">
        <v>15132.76</v>
      </c>
      <c r="T1429">
        <v>20.7</v>
      </c>
      <c r="U1429">
        <v>12</v>
      </c>
      <c r="V1429">
        <v>14</v>
      </c>
      <c r="W1429">
        <v>3328</v>
      </c>
      <c r="X1429" t="s">
        <v>188</v>
      </c>
      <c r="Y1429" t="s">
        <v>36</v>
      </c>
      <c r="Z1429">
        <v>2157.39</v>
      </c>
    </row>
    <row r="1430" spans="1:26" x14ac:dyDescent="0.25">
      <c r="A1430">
        <v>101428</v>
      </c>
      <c r="B1430" s="3">
        <v>45998</v>
      </c>
      <c r="C1430" s="3">
        <v>46000</v>
      </c>
      <c r="D1430" s="3">
        <v>46010</v>
      </c>
      <c r="E1430" t="s">
        <v>3571</v>
      </c>
      <c r="F1430" t="s">
        <v>54</v>
      </c>
      <c r="G1430" t="s">
        <v>158</v>
      </c>
      <c r="H1430" t="s">
        <v>3572</v>
      </c>
      <c r="I1430" t="s">
        <v>85</v>
      </c>
      <c r="J1430" t="s">
        <v>52</v>
      </c>
      <c r="K1430" t="s">
        <v>1530</v>
      </c>
      <c r="L1430" t="s">
        <v>187</v>
      </c>
      <c r="M1430" t="s">
        <v>38</v>
      </c>
      <c r="N1430" t="s">
        <v>102</v>
      </c>
      <c r="O1430" t="s">
        <v>103</v>
      </c>
      <c r="P1430" t="s">
        <v>35</v>
      </c>
      <c r="Q1430">
        <v>289</v>
      </c>
      <c r="R1430">
        <v>36.39</v>
      </c>
      <c r="S1430">
        <v>10516.71</v>
      </c>
      <c r="T1430">
        <v>20.67</v>
      </c>
      <c r="U1430">
        <v>10</v>
      </c>
      <c r="V1430">
        <v>12</v>
      </c>
      <c r="W1430">
        <v>3240</v>
      </c>
      <c r="X1430" t="s">
        <v>188</v>
      </c>
      <c r="Y1430" t="s">
        <v>36</v>
      </c>
      <c r="Z1430">
        <v>1067.1600000000001</v>
      </c>
    </row>
    <row r="1431" spans="1:26" x14ac:dyDescent="0.25">
      <c r="A1431">
        <v>101429</v>
      </c>
      <c r="B1431" s="3">
        <v>45371</v>
      </c>
      <c r="C1431" s="3">
        <v>45375</v>
      </c>
      <c r="D1431" s="3">
        <v>45385</v>
      </c>
      <c r="E1431" t="s">
        <v>3048</v>
      </c>
      <c r="F1431" t="s">
        <v>38</v>
      </c>
      <c r="G1431" t="s">
        <v>39</v>
      </c>
      <c r="H1431" t="s">
        <v>3573</v>
      </c>
      <c r="I1431" t="s">
        <v>126</v>
      </c>
      <c r="J1431" t="s">
        <v>42</v>
      </c>
      <c r="K1431" t="s">
        <v>2107</v>
      </c>
      <c r="L1431" t="s">
        <v>113</v>
      </c>
      <c r="M1431" t="s">
        <v>65</v>
      </c>
      <c r="N1431" t="s">
        <v>66</v>
      </c>
      <c r="O1431" t="s">
        <v>67</v>
      </c>
      <c r="P1431" t="s">
        <v>35</v>
      </c>
      <c r="Q1431">
        <v>40</v>
      </c>
      <c r="R1431">
        <v>364.06</v>
      </c>
      <c r="S1431">
        <v>14562.4</v>
      </c>
      <c r="T1431">
        <v>13.61</v>
      </c>
      <c r="U1431">
        <v>10</v>
      </c>
      <c r="V1431">
        <v>14</v>
      </c>
      <c r="W1431">
        <v>1576</v>
      </c>
      <c r="X1431" t="s">
        <v>188</v>
      </c>
      <c r="Y1431" t="s">
        <v>36</v>
      </c>
      <c r="Z1431">
        <v>2136.7399999999998</v>
      </c>
    </row>
    <row r="1432" spans="1:26" x14ac:dyDescent="0.25">
      <c r="A1432">
        <v>101430</v>
      </c>
      <c r="B1432" s="3">
        <v>45764</v>
      </c>
      <c r="C1432" s="3">
        <v>45764</v>
      </c>
      <c r="D1432" s="3">
        <v>45779</v>
      </c>
      <c r="E1432" t="s">
        <v>3574</v>
      </c>
      <c r="F1432" t="s">
        <v>32</v>
      </c>
      <c r="G1432" t="s">
        <v>95</v>
      </c>
      <c r="H1432" t="s">
        <v>3575</v>
      </c>
      <c r="I1432" t="s">
        <v>116</v>
      </c>
      <c r="J1432" t="s">
        <v>62</v>
      </c>
      <c r="K1432" t="s">
        <v>737</v>
      </c>
      <c r="L1432" t="s">
        <v>31</v>
      </c>
      <c r="M1432" t="s">
        <v>54</v>
      </c>
      <c r="N1432" t="s">
        <v>107</v>
      </c>
      <c r="O1432" t="s">
        <v>108</v>
      </c>
      <c r="P1432" t="s">
        <v>76</v>
      </c>
      <c r="Q1432">
        <v>331</v>
      </c>
      <c r="R1432">
        <v>32.28</v>
      </c>
      <c r="S1432">
        <v>10684.68</v>
      </c>
      <c r="T1432">
        <v>14.05</v>
      </c>
      <c r="U1432">
        <v>15</v>
      </c>
      <c r="V1432">
        <v>15</v>
      </c>
      <c r="W1432">
        <v>1818</v>
      </c>
      <c r="X1432" t="s">
        <v>3742</v>
      </c>
      <c r="Y1432" t="s">
        <v>47</v>
      </c>
      <c r="Z1432">
        <v>-199.33</v>
      </c>
    </row>
    <row r="1433" spans="1:26" x14ac:dyDescent="0.25">
      <c r="A1433">
        <v>101431</v>
      </c>
      <c r="B1433" s="3">
        <v>45295</v>
      </c>
      <c r="C1433" s="3">
        <v>45300</v>
      </c>
      <c r="D1433" s="3">
        <v>45310</v>
      </c>
      <c r="E1433" t="s">
        <v>3576</v>
      </c>
      <c r="F1433" t="s">
        <v>65</v>
      </c>
      <c r="G1433" t="s">
        <v>70</v>
      </c>
      <c r="H1433" t="s">
        <v>3577</v>
      </c>
      <c r="I1433" t="s">
        <v>89</v>
      </c>
      <c r="J1433" t="s">
        <v>62</v>
      </c>
      <c r="K1433" t="s">
        <v>3578</v>
      </c>
      <c r="L1433" t="s">
        <v>212</v>
      </c>
      <c r="M1433" t="s">
        <v>25</v>
      </c>
      <c r="N1433" t="s">
        <v>33</v>
      </c>
      <c r="O1433" t="s">
        <v>34</v>
      </c>
      <c r="P1433" t="s">
        <v>35</v>
      </c>
      <c r="Q1433">
        <v>418</v>
      </c>
      <c r="R1433">
        <v>27.43</v>
      </c>
      <c r="S1433">
        <v>11465.74</v>
      </c>
      <c r="T1433">
        <v>24.32</v>
      </c>
      <c r="U1433">
        <v>10</v>
      </c>
      <c r="V1433">
        <v>15</v>
      </c>
      <c r="W1433">
        <v>484</v>
      </c>
      <c r="X1433" t="s">
        <v>188</v>
      </c>
      <c r="Y1433" t="s">
        <v>36</v>
      </c>
      <c r="Z1433">
        <v>810.77</v>
      </c>
    </row>
    <row r="1434" spans="1:26" x14ac:dyDescent="0.25">
      <c r="A1434">
        <v>101432</v>
      </c>
      <c r="B1434" s="3">
        <v>45346</v>
      </c>
      <c r="C1434" s="3">
        <v>45350</v>
      </c>
      <c r="D1434" s="3">
        <v>45361</v>
      </c>
      <c r="E1434" t="s">
        <v>3579</v>
      </c>
      <c r="F1434" t="s">
        <v>38</v>
      </c>
      <c r="G1434" t="s">
        <v>217</v>
      </c>
      <c r="H1434" t="s">
        <v>3580</v>
      </c>
      <c r="I1434" t="s">
        <v>126</v>
      </c>
      <c r="J1434" t="s">
        <v>42</v>
      </c>
      <c r="K1434" t="s">
        <v>1928</v>
      </c>
      <c r="L1434" t="s">
        <v>98</v>
      </c>
      <c r="M1434" t="s">
        <v>65</v>
      </c>
      <c r="N1434" t="s">
        <v>66</v>
      </c>
      <c r="O1434" t="s">
        <v>67</v>
      </c>
      <c r="P1434" t="s">
        <v>123</v>
      </c>
      <c r="Q1434">
        <v>208</v>
      </c>
      <c r="R1434">
        <v>280.44</v>
      </c>
      <c r="S1434">
        <v>58331.519999999997</v>
      </c>
      <c r="T1434">
        <v>15.75</v>
      </c>
      <c r="U1434">
        <v>11</v>
      </c>
      <c r="V1434">
        <v>15</v>
      </c>
      <c r="W1434">
        <v>949</v>
      </c>
      <c r="X1434" t="s">
        <v>188</v>
      </c>
      <c r="Y1434" t="s">
        <v>36</v>
      </c>
      <c r="Z1434">
        <v>4898.3500000000004</v>
      </c>
    </row>
    <row r="1435" spans="1:26" x14ac:dyDescent="0.25">
      <c r="A1435">
        <v>101433</v>
      </c>
      <c r="B1435" s="3">
        <v>45598</v>
      </c>
      <c r="C1435" s="3">
        <v>45603</v>
      </c>
      <c r="D1435" s="3">
        <v>45612</v>
      </c>
      <c r="E1435" t="s">
        <v>3581</v>
      </c>
      <c r="F1435" t="s">
        <v>25</v>
      </c>
      <c r="G1435" t="s">
        <v>233</v>
      </c>
      <c r="H1435" t="s">
        <v>3582</v>
      </c>
      <c r="I1435" t="s">
        <v>28</v>
      </c>
      <c r="J1435" t="s">
        <v>29</v>
      </c>
      <c r="K1435" t="s">
        <v>112</v>
      </c>
      <c r="L1435" t="s">
        <v>91</v>
      </c>
      <c r="M1435" t="s">
        <v>25</v>
      </c>
      <c r="N1435" t="s">
        <v>92</v>
      </c>
      <c r="O1435" t="s">
        <v>93</v>
      </c>
      <c r="P1435" t="s">
        <v>35</v>
      </c>
      <c r="Q1435">
        <v>139</v>
      </c>
      <c r="R1435">
        <v>109.09</v>
      </c>
      <c r="S1435">
        <v>15163.51</v>
      </c>
      <c r="T1435">
        <v>12.16</v>
      </c>
      <c r="U1435">
        <v>9</v>
      </c>
      <c r="V1435">
        <v>14</v>
      </c>
      <c r="W1435">
        <v>1324</v>
      </c>
      <c r="X1435" t="s">
        <v>188</v>
      </c>
      <c r="Y1435" t="s">
        <v>36</v>
      </c>
      <c r="Z1435">
        <v>3388.8</v>
      </c>
    </row>
    <row r="1436" spans="1:26" x14ac:dyDescent="0.25">
      <c r="A1436">
        <v>101434</v>
      </c>
      <c r="B1436" s="3">
        <v>45372</v>
      </c>
      <c r="C1436" s="3">
        <v>45375</v>
      </c>
      <c r="D1436" s="3">
        <v>45383</v>
      </c>
      <c r="E1436" t="s">
        <v>3583</v>
      </c>
      <c r="F1436" t="s">
        <v>54</v>
      </c>
      <c r="G1436" t="s">
        <v>158</v>
      </c>
      <c r="H1436" t="s">
        <v>3584</v>
      </c>
      <c r="I1436" t="s">
        <v>416</v>
      </c>
      <c r="J1436" t="s">
        <v>80</v>
      </c>
      <c r="K1436" t="s">
        <v>63</v>
      </c>
      <c r="L1436" t="s">
        <v>31</v>
      </c>
      <c r="M1436" t="s">
        <v>54</v>
      </c>
      <c r="N1436" t="s">
        <v>203</v>
      </c>
      <c r="O1436" t="s">
        <v>204</v>
      </c>
      <c r="P1436" t="s">
        <v>35</v>
      </c>
      <c r="Q1436">
        <v>426</v>
      </c>
      <c r="R1436">
        <v>210.99</v>
      </c>
      <c r="S1436">
        <v>89881.74</v>
      </c>
      <c r="T1436">
        <v>18.190000000000001</v>
      </c>
      <c r="U1436">
        <v>8</v>
      </c>
      <c r="V1436">
        <v>11</v>
      </c>
      <c r="W1436">
        <v>625</v>
      </c>
      <c r="X1436" t="s">
        <v>188</v>
      </c>
      <c r="Y1436" t="s">
        <v>36</v>
      </c>
      <c r="Z1436">
        <v>14634.33</v>
      </c>
    </row>
    <row r="1437" spans="1:26" x14ac:dyDescent="0.25">
      <c r="A1437">
        <v>101435</v>
      </c>
      <c r="B1437" s="3">
        <v>45398</v>
      </c>
      <c r="C1437" s="3">
        <v>45401</v>
      </c>
      <c r="D1437" s="3">
        <v>45404</v>
      </c>
      <c r="E1437" t="s">
        <v>3585</v>
      </c>
      <c r="F1437" t="s">
        <v>54</v>
      </c>
      <c r="G1437" t="s">
        <v>193</v>
      </c>
      <c r="H1437" t="s">
        <v>3586</v>
      </c>
      <c r="I1437" t="s">
        <v>238</v>
      </c>
      <c r="J1437" t="s">
        <v>62</v>
      </c>
      <c r="K1437" t="s">
        <v>3587</v>
      </c>
      <c r="L1437" t="s">
        <v>187</v>
      </c>
      <c r="M1437" t="s">
        <v>32</v>
      </c>
      <c r="N1437" t="s">
        <v>55</v>
      </c>
      <c r="O1437" t="s">
        <v>56</v>
      </c>
      <c r="P1437" t="s">
        <v>68</v>
      </c>
      <c r="Q1437">
        <v>251</v>
      </c>
      <c r="R1437">
        <v>19.239999999999998</v>
      </c>
      <c r="S1437">
        <v>4829.24</v>
      </c>
      <c r="T1437">
        <v>44.78</v>
      </c>
      <c r="U1437">
        <v>3</v>
      </c>
      <c r="V1437">
        <v>6</v>
      </c>
      <c r="W1437">
        <v>661</v>
      </c>
      <c r="X1437" t="s">
        <v>3741</v>
      </c>
      <c r="Y1437" t="s">
        <v>36</v>
      </c>
      <c r="Z1437">
        <v>319.41000000000003</v>
      </c>
    </row>
    <row r="1438" spans="1:26" x14ac:dyDescent="0.25">
      <c r="A1438">
        <v>101436</v>
      </c>
      <c r="B1438" s="3">
        <v>45443</v>
      </c>
      <c r="C1438" s="3">
        <v>45444</v>
      </c>
      <c r="D1438" s="3">
        <v>45451</v>
      </c>
      <c r="E1438" t="s">
        <v>3588</v>
      </c>
      <c r="F1438" t="s">
        <v>25</v>
      </c>
      <c r="G1438" t="s">
        <v>169</v>
      </c>
      <c r="H1438" t="s">
        <v>3589</v>
      </c>
      <c r="I1438" t="s">
        <v>177</v>
      </c>
      <c r="J1438" t="s">
        <v>29</v>
      </c>
      <c r="K1438" t="s">
        <v>769</v>
      </c>
      <c r="L1438" t="s">
        <v>212</v>
      </c>
      <c r="M1438" t="s">
        <v>38</v>
      </c>
      <c r="N1438" t="s">
        <v>102</v>
      </c>
      <c r="O1438" t="s">
        <v>103</v>
      </c>
      <c r="P1438" t="s">
        <v>35</v>
      </c>
      <c r="Q1438">
        <v>114</v>
      </c>
      <c r="R1438">
        <v>66.569999999999993</v>
      </c>
      <c r="S1438">
        <v>7588.98</v>
      </c>
      <c r="T1438">
        <v>15.71</v>
      </c>
      <c r="U1438">
        <v>7</v>
      </c>
      <c r="V1438">
        <v>8</v>
      </c>
      <c r="W1438">
        <v>587</v>
      </c>
      <c r="X1438" t="s">
        <v>188</v>
      </c>
      <c r="Y1438" t="s">
        <v>36</v>
      </c>
      <c r="Z1438">
        <v>1310.5999999999999</v>
      </c>
    </row>
    <row r="1439" spans="1:26" x14ac:dyDescent="0.25">
      <c r="A1439">
        <v>101437</v>
      </c>
      <c r="B1439" s="3">
        <v>45651</v>
      </c>
      <c r="C1439" s="3">
        <v>45656</v>
      </c>
      <c r="D1439" s="3">
        <v>45659</v>
      </c>
      <c r="E1439" t="s">
        <v>3590</v>
      </c>
      <c r="F1439" t="s">
        <v>32</v>
      </c>
      <c r="G1439" t="s">
        <v>110</v>
      </c>
      <c r="H1439" t="s">
        <v>3591</v>
      </c>
      <c r="I1439" t="s">
        <v>246</v>
      </c>
      <c r="J1439" t="s">
        <v>29</v>
      </c>
      <c r="K1439" t="s">
        <v>383</v>
      </c>
      <c r="L1439" t="s">
        <v>31</v>
      </c>
      <c r="M1439" t="s">
        <v>38</v>
      </c>
      <c r="N1439" t="s">
        <v>151</v>
      </c>
      <c r="O1439" t="s">
        <v>152</v>
      </c>
      <c r="P1439" t="s">
        <v>35</v>
      </c>
      <c r="Q1439">
        <v>28</v>
      </c>
      <c r="R1439">
        <v>38.869999999999997</v>
      </c>
      <c r="S1439">
        <v>1088.3599999999999</v>
      </c>
      <c r="T1439">
        <v>13.27</v>
      </c>
      <c r="U1439">
        <v>3</v>
      </c>
      <c r="V1439">
        <v>8</v>
      </c>
      <c r="W1439">
        <v>2011</v>
      </c>
      <c r="X1439" t="s">
        <v>188</v>
      </c>
      <c r="Y1439" t="s">
        <v>36</v>
      </c>
      <c r="Z1439">
        <v>279.7</v>
      </c>
    </row>
    <row r="1440" spans="1:26" x14ac:dyDescent="0.25">
      <c r="A1440">
        <v>101438</v>
      </c>
      <c r="B1440" s="3">
        <v>45954</v>
      </c>
      <c r="C1440" s="3">
        <v>45955</v>
      </c>
      <c r="D1440" s="3">
        <v>45961</v>
      </c>
      <c r="E1440" t="s">
        <v>1555</v>
      </c>
      <c r="F1440" t="s">
        <v>38</v>
      </c>
      <c r="G1440" t="s">
        <v>147</v>
      </c>
      <c r="H1440" t="s">
        <v>3592</v>
      </c>
      <c r="I1440" t="s">
        <v>191</v>
      </c>
      <c r="J1440" t="s">
        <v>62</v>
      </c>
      <c r="K1440" t="s">
        <v>3213</v>
      </c>
      <c r="L1440" t="s">
        <v>64</v>
      </c>
      <c r="M1440" t="s">
        <v>25</v>
      </c>
      <c r="N1440" t="s">
        <v>45</v>
      </c>
      <c r="O1440" t="s">
        <v>46</v>
      </c>
      <c r="P1440" t="s">
        <v>35</v>
      </c>
      <c r="Q1440">
        <v>277</v>
      </c>
      <c r="R1440">
        <v>28.99</v>
      </c>
      <c r="S1440">
        <v>8030.23</v>
      </c>
      <c r="T1440">
        <v>20.329999999999998</v>
      </c>
      <c r="U1440">
        <v>6</v>
      </c>
      <c r="V1440">
        <v>7</v>
      </c>
      <c r="W1440">
        <v>2087</v>
      </c>
      <c r="X1440" t="s">
        <v>3741</v>
      </c>
      <c r="Y1440" t="s">
        <v>36</v>
      </c>
      <c r="Z1440">
        <v>715.5</v>
      </c>
    </row>
    <row r="1441" spans="1:26" x14ac:dyDescent="0.25">
      <c r="A1441">
        <v>101439</v>
      </c>
      <c r="B1441" s="3">
        <v>45424</v>
      </c>
      <c r="C1441" s="3">
        <v>45427</v>
      </c>
      <c r="D1441" s="3">
        <v>45430</v>
      </c>
      <c r="E1441" t="s">
        <v>3593</v>
      </c>
      <c r="F1441" t="s">
        <v>65</v>
      </c>
      <c r="G1441" t="s">
        <v>70</v>
      </c>
      <c r="H1441" t="s">
        <v>3079</v>
      </c>
      <c r="I1441" t="s">
        <v>89</v>
      </c>
      <c r="J1441" t="s">
        <v>62</v>
      </c>
      <c r="K1441" t="s">
        <v>1471</v>
      </c>
      <c r="L1441" t="s">
        <v>122</v>
      </c>
      <c r="M1441" t="s">
        <v>65</v>
      </c>
      <c r="N1441" t="s">
        <v>107</v>
      </c>
      <c r="O1441" t="s">
        <v>108</v>
      </c>
      <c r="P1441" t="s">
        <v>35</v>
      </c>
      <c r="Q1441">
        <v>255</v>
      </c>
      <c r="R1441">
        <v>14.82</v>
      </c>
      <c r="S1441">
        <v>3779.1</v>
      </c>
      <c r="T1441">
        <v>14.6</v>
      </c>
      <c r="U1441">
        <v>3</v>
      </c>
      <c r="V1441">
        <v>6</v>
      </c>
      <c r="W1441">
        <v>539</v>
      </c>
      <c r="X1441" t="s">
        <v>3742</v>
      </c>
      <c r="Y1441" t="s">
        <v>47</v>
      </c>
      <c r="Z1441">
        <v>-203.54</v>
      </c>
    </row>
    <row r="1442" spans="1:26" x14ac:dyDescent="0.25">
      <c r="A1442">
        <v>101440</v>
      </c>
      <c r="B1442" s="3">
        <v>45489</v>
      </c>
      <c r="C1442" s="3">
        <v>45491</v>
      </c>
      <c r="D1442" s="3">
        <v>45497</v>
      </c>
      <c r="E1442" t="s">
        <v>2982</v>
      </c>
      <c r="F1442" t="s">
        <v>32</v>
      </c>
      <c r="G1442" t="s">
        <v>364</v>
      </c>
      <c r="H1442" t="s">
        <v>3594</v>
      </c>
      <c r="I1442" t="s">
        <v>368</v>
      </c>
      <c r="J1442" t="s">
        <v>29</v>
      </c>
      <c r="K1442" t="s">
        <v>1562</v>
      </c>
      <c r="L1442" t="s">
        <v>98</v>
      </c>
      <c r="M1442" t="s">
        <v>54</v>
      </c>
      <c r="N1442" t="s">
        <v>92</v>
      </c>
      <c r="O1442" t="s">
        <v>93</v>
      </c>
      <c r="P1442" t="s">
        <v>123</v>
      </c>
      <c r="Q1442">
        <v>241</v>
      </c>
      <c r="R1442">
        <v>57</v>
      </c>
      <c r="S1442">
        <v>13737</v>
      </c>
      <c r="T1442">
        <v>16.55</v>
      </c>
      <c r="U1442">
        <v>6</v>
      </c>
      <c r="V1442">
        <v>8</v>
      </c>
      <c r="W1442">
        <v>805</v>
      </c>
      <c r="X1442" t="s">
        <v>188</v>
      </c>
      <c r="Y1442" t="s">
        <v>36</v>
      </c>
      <c r="Z1442">
        <v>2670.46</v>
      </c>
    </row>
    <row r="1443" spans="1:26" x14ac:dyDescent="0.25">
      <c r="A1443">
        <v>101441</v>
      </c>
      <c r="B1443" s="3">
        <v>46000</v>
      </c>
      <c r="C1443" s="3">
        <v>46000</v>
      </c>
      <c r="D1443" s="3">
        <v>46009</v>
      </c>
      <c r="E1443" t="s">
        <v>3595</v>
      </c>
      <c r="F1443" t="s">
        <v>38</v>
      </c>
      <c r="G1443" t="s">
        <v>39</v>
      </c>
      <c r="H1443" t="s">
        <v>3596</v>
      </c>
      <c r="I1443" t="s">
        <v>238</v>
      </c>
      <c r="J1443" t="s">
        <v>62</v>
      </c>
      <c r="K1443" t="s">
        <v>3597</v>
      </c>
      <c r="L1443" t="s">
        <v>122</v>
      </c>
      <c r="M1443" t="s">
        <v>32</v>
      </c>
      <c r="N1443" t="s">
        <v>107</v>
      </c>
      <c r="O1443" t="s">
        <v>108</v>
      </c>
      <c r="P1443" t="s">
        <v>123</v>
      </c>
      <c r="Q1443">
        <v>126</v>
      </c>
      <c r="R1443">
        <v>30.4</v>
      </c>
      <c r="S1443">
        <v>3830.4</v>
      </c>
      <c r="T1443">
        <v>13.75</v>
      </c>
      <c r="U1443">
        <v>9</v>
      </c>
      <c r="V1443">
        <v>9</v>
      </c>
      <c r="W1443">
        <v>495</v>
      </c>
      <c r="X1443" t="s">
        <v>3742</v>
      </c>
      <c r="Y1443" t="s">
        <v>57</v>
      </c>
      <c r="Z1443">
        <v>661.05</v>
      </c>
    </row>
    <row r="1444" spans="1:26" x14ac:dyDescent="0.25">
      <c r="A1444">
        <v>101442</v>
      </c>
      <c r="B1444" s="3">
        <v>45542</v>
      </c>
      <c r="C1444" s="3">
        <v>45547</v>
      </c>
      <c r="D1444" s="3">
        <v>45553</v>
      </c>
      <c r="E1444" t="s">
        <v>3598</v>
      </c>
      <c r="F1444" t="s">
        <v>25</v>
      </c>
      <c r="G1444" t="s">
        <v>221</v>
      </c>
      <c r="H1444" t="s">
        <v>3599</v>
      </c>
      <c r="I1444" t="s">
        <v>134</v>
      </c>
      <c r="J1444" t="s">
        <v>52</v>
      </c>
      <c r="K1444" t="s">
        <v>3600</v>
      </c>
      <c r="L1444" t="s">
        <v>122</v>
      </c>
      <c r="M1444" t="s">
        <v>32</v>
      </c>
      <c r="N1444" t="s">
        <v>92</v>
      </c>
      <c r="O1444" t="s">
        <v>93</v>
      </c>
      <c r="P1444" t="s">
        <v>123</v>
      </c>
      <c r="Q1444">
        <v>116</v>
      </c>
      <c r="R1444">
        <v>37.83</v>
      </c>
      <c r="S1444">
        <v>4388.28</v>
      </c>
      <c r="T1444">
        <v>13.51</v>
      </c>
      <c r="U1444">
        <v>6</v>
      </c>
      <c r="V1444">
        <v>11</v>
      </c>
      <c r="W1444">
        <v>1880</v>
      </c>
      <c r="X1444" t="s">
        <v>188</v>
      </c>
      <c r="Y1444" t="s">
        <v>36</v>
      </c>
      <c r="Z1444">
        <v>575.66</v>
      </c>
    </row>
    <row r="1445" spans="1:26" x14ac:dyDescent="0.25">
      <c r="A1445">
        <v>101443</v>
      </c>
      <c r="B1445" s="3">
        <v>45834</v>
      </c>
      <c r="C1445" s="3">
        <v>45838</v>
      </c>
      <c r="D1445" s="3">
        <v>45850</v>
      </c>
      <c r="E1445" t="s">
        <v>3601</v>
      </c>
      <c r="F1445" t="s">
        <v>54</v>
      </c>
      <c r="G1445" t="s">
        <v>129</v>
      </c>
      <c r="H1445" t="s">
        <v>3602</v>
      </c>
      <c r="I1445" t="s">
        <v>134</v>
      </c>
      <c r="J1445" t="s">
        <v>52</v>
      </c>
      <c r="K1445" t="s">
        <v>3549</v>
      </c>
      <c r="L1445" t="s">
        <v>64</v>
      </c>
      <c r="M1445" t="s">
        <v>38</v>
      </c>
      <c r="N1445" t="s">
        <v>33</v>
      </c>
      <c r="O1445" t="s">
        <v>34</v>
      </c>
      <c r="P1445" t="s">
        <v>123</v>
      </c>
      <c r="Q1445">
        <v>454</v>
      </c>
      <c r="R1445">
        <v>44.82</v>
      </c>
      <c r="S1445">
        <v>20348.28</v>
      </c>
      <c r="T1445">
        <v>21.72</v>
      </c>
      <c r="U1445">
        <v>12</v>
      </c>
      <c r="V1445">
        <v>16</v>
      </c>
      <c r="W1445">
        <v>3073</v>
      </c>
      <c r="X1445" t="s">
        <v>188</v>
      </c>
      <c r="Y1445" t="s">
        <v>36</v>
      </c>
      <c r="Z1445">
        <v>1782.04</v>
      </c>
    </row>
    <row r="1446" spans="1:26" x14ac:dyDescent="0.25">
      <c r="A1446">
        <v>101444</v>
      </c>
      <c r="B1446" s="3">
        <v>45319</v>
      </c>
      <c r="C1446" s="3">
        <v>45320</v>
      </c>
      <c r="D1446" s="3">
        <v>45332</v>
      </c>
      <c r="E1446" t="s">
        <v>3603</v>
      </c>
      <c r="F1446" t="s">
        <v>54</v>
      </c>
      <c r="G1446" t="s">
        <v>193</v>
      </c>
      <c r="H1446" t="s">
        <v>3604</v>
      </c>
      <c r="I1446" t="s">
        <v>134</v>
      </c>
      <c r="J1446" t="s">
        <v>52</v>
      </c>
      <c r="K1446" t="s">
        <v>1127</v>
      </c>
      <c r="L1446" t="s">
        <v>64</v>
      </c>
      <c r="M1446" t="s">
        <v>25</v>
      </c>
      <c r="N1446" t="s">
        <v>92</v>
      </c>
      <c r="O1446" t="s">
        <v>93</v>
      </c>
      <c r="P1446" t="s">
        <v>123</v>
      </c>
      <c r="Q1446">
        <v>346</v>
      </c>
      <c r="R1446">
        <v>61.42</v>
      </c>
      <c r="S1446">
        <v>21251.32</v>
      </c>
      <c r="T1446">
        <v>19.100000000000001</v>
      </c>
      <c r="U1446">
        <v>12</v>
      </c>
      <c r="V1446">
        <v>13</v>
      </c>
      <c r="W1446">
        <v>3664</v>
      </c>
      <c r="X1446" t="s">
        <v>188</v>
      </c>
      <c r="Y1446" t="s">
        <v>36</v>
      </c>
      <c r="Z1446">
        <v>4093.96</v>
      </c>
    </row>
    <row r="1447" spans="1:26" x14ac:dyDescent="0.25">
      <c r="A1447">
        <v>101445</v>
      </c>
      <c r="B1447" s="3">
        <v>45489</v>
      </c>
      <c r="C1447" s="3">
        <v>45491</v>
      </c>
      <c r="D1447" s="3">
        <v>45504</v>
      </c>
      <c r="E1447" t="s">
        <v>1154</v>
      </c>
      <c r="F1447" t="s">
        <v>25</v>
      </c>
      <c r="G1447" t="s">
        <v>221</v>
      </c>
      <c r="H1447" t="s">
        <v>3605</v>
      </c>
      <c r="I1447" t="s">
        <v>368</v>
      </c>
      <c r="J1447" t="s">
        <v>29</v>
      </c>
      <c r="K1447" t="s">
        <v>3222</v>
      </c>
      <c r="L1447" t="s">
        <v>91</v>
      </c>
      <c r="M1447" t="s">
        <v>65</v>
      </c>
      <c r="N1447" t="s">
        <v>55</v>
      </c>
      <c r="O1447" t="s">
        <v>56</v>
      </c>
      <c r="P1447" t="s">
        <v>76</v>
      </c>
      <c r="Q1447">
        <v>114</v>
      </c>
      <c r="R1447">
        <v>11.34</v>
      </c>
      <c r="S1447">
        <v>1292.76</v>
      </c>
      <c r="T1447">
        <v>10.1</v>
      </c>
      <c r="U1447">
        <v>13</v>
      </c>
      <c r="V1447">
        <v>15</v>
      </c>
      <c r="W1447">
        <v>678</v>
      </c>
      <c r="X1447" t="s">
        <v>188</v>
      </c>
      <c r="Y1447" t="s">
        <v>36</v>
      </c>
      <c r="Z1447">
        <v>302.52</v>
      </c>
    </row>
    <row r="1448" spans="1:26" x14ac:dyDescent="0.25">
      <c r="A1448">
        <v>101446</v>
      </c>
      <c r="B1448" s="3">
        <v>45947</v>
      </c>
      <c r="C1448" s="3">
        <v>45951</v>
      </c>
      <c r="D1448" s="3">
        <v>45955</v>
      </c>
      <c r="E1448" t="s">
        <v>3606</v>
      </c>
      <c r="F1448" t="s">
        <v>54</v>
      </c>
      <c r="G1448" t="s">
        <v>158</v>
      </c>
      <c r="H1448" t="s">
        <v>3607</v>
      </c>
      <c r="I1448" t="s">
        <v>126</v>
      </c>
      <c r="J1448" t="s">
        <v>42</v>
      </c>
      <c r="K1448" t="s">
        <v>1034</v>
      </c>
      <c r="L1448" t="s">
        <v>64</v>
      </c>
      <c r="M1448" t="s">
        <v>54</v>
      </c>
      <c r="N1448" t="s">
        <v>66</v>
      </c>
      <c r="O1448" t="s">
        <v>67</v>
      </c>
      <c r="P1448" t="s">
        <v>68</v>
      </c>
      <c r="Q1448">
        <v>313</v>
      </c>
      <c r="R1448">
        <v>289.07</v>
      </c>
      <c r="S1448">
        <v>90478.91</v>
      </c>
      <c r="T1448">
        <v>36.14</v>
      </c>
      <c r="U1448">
        <v>4</v>
      </c>
      <c r="V1448">
        <v>8</v>
      </c>
      <c r="W1448">
        <v>897</v>
      </c>
      <c r="X1448" t="s">
        <v>3742</v>
      </c>
      <c r="Y1448" t="s">
        <v>57</v>
      </c>
      <c r="Z1448">
        <v>18701.650000000001</v>
      </c>
    </row>
    <row r="1449" spans="1:26" x14ac:dyDescent="0.25">
      <c r="A1449">
        <v>101447</v>
      </c>
      <c r="B1449" s="3">
        <v>45865</v>
      </c>
      <c r="C1449" s="3">
        <v>45867</v>
      </c>
      <c r="D1449" s="3">
        <v>45871</v>
      </c>
      <c r="E1449" t="s">
        <v>3608</v>
      </c>
      <c r="F1449" t="s">
        <v>32</v>
      </c>
      <c r="G1449" t="s">
        <v>364</v>
      </c>
      <c r="H1449" t="s">
        <v>3609</v>
      </c>
      <c r="I1449" t="s">
        <v>238</v>
      </c>
      <c r="J1449" t="s">
        <v>62</v>
      </c>
      <c r="K1449" t="s">
        <v>661</v>
      </c>
      <c r="L1449" t="s">
        <v>64</v>
      </c>
      <c r="M1449" t="s">
        <v>32</v>
      </c>
      <c r="N1449" t="s">
        <v>74</v>
      </c>
      <c r="O1449" t="s">
        <v>75</v>
      </c>
      <c r="P1449" t="s">
        <v>68</v>
      </c>
      <c r="Q1449">
        <v>366</v>
      </c>
      <c r="R1449">
        <v>14.1</v>
      </c>
      <c r="S1449">
        <v>5160.6000000000004</v>
      </c>
      <c r="T1449">
        <v>38.69</v>
      </c>
      <c r="U1449">
        <v>4</v>
      </c>
      <c r="V1449">
        <v>6</v>
      </c>
      <c r="W1449">
        <v>436</v>
      </c>
      <c r="X1449" t="s">
        <v>3741</v>
      </c>
      <c r="Y1449" t="s">
        <v>36</v>
      </c>
      <c r="Z1449">
        <v>789.89</v>
      </c>
    </row>
    <row r="1450" spans="1:26" x14ac:dyDescent="0.25">
      <c r="A1450">
        <v>101448</v>
      </c>
      <c r="B1450" s="3">
        <v>45831</v>
      </c>
      <c r="C1450" s="3">
        <v>45836</v>
      </c>
      <c r="D1450" s="3">
        <v>45844</v>
      </c>
      <c r="E1450" t="s">
        <v>3610</v>
      </c>
      <c r="F1450" t="s">
        <v>25</v>
      </c>
      <c r="G1450" t="s">
        <v>169</v>
      </c>
      <c r="H1450" t="s">
        <v>3611</v>
      </c>
      <c r="I1450" t="s">
        <v>139</v>
      </c>
      <c r="J1450" t="s">
        <v>42</v>
      </c>
      <c r="K1450" t="s">
        <v>1302</v>
      </c>
      <c r="L1450" t="s">
        <v>31</v>
      </c>
      <c r="M1450" t="s">
        <v>54</v>
      </c>
      <c r="N1450" t="s">
        <v>55</v>
      </c>
      <c r="O1450" t="s">
        <v>56</v>
      </c>
      <c r="P1450" t="s">
        <v>35</v>
      </c>
      <c r="Q1450">
        <v>236</v>
      </c>
      <c r="R1450">
        <v>173.24</v>
      </c>
      <c r="S1450">
        <v>40884.639999999999</v>
      </c>
      <c r="T1450">
        <v>19.16</v>
      </c>
      <c r="U1450">
        <v>8</v>
      </c>
      <c r="V1450">
        <v>13</v>
      </c>
      <c r="W1450">
        <v>107</v>
      </c>
      <c r="X1450" t="s">
        <v>188</v>
      </c>
      <c r="Y1450" t="s">
        <v>36</v>
      </c>
      <c r="Z1450">
        <v>7293.96</v>
      </c>
    </row>
    <row r="1451" spans="1:26" x14ac:dyDescent="0.25">
      <c r="A1451">
        <v>101449</v>
      </c>
      <c r="B1451" s="3">
        <v>45668</v>
      </c>
      <c r="C1451" s="3">
        <v>45670</v>
      </c>
      <c r="D1451" s="3">
        <v>45671</v>
      </c>
      <c r="E1451" t="s">
        <v>3612</v>
      </c>
      <c r="F1451" t="s">
        <v>32</v>
      </c>
      <c r="G1451" t="s">
        <v>110</v>
      </c>
      <c r="H1451" t="s">
        <v>3613</v>
      </c>
      <c r="I1451" t="s">
        <v>72</v>
      </c>
      <c r="J1451" t="s">
        <v>42</v>
      </c>
      <c r="K1451" t="s">
        <v>1208</v>
      </c>
      <c r="L1451" t="s">
        <v>98</v>
      </c>
      <c r="M1451" t="s">
        <v>38</v>
      </c>
      <c r="N1451" t="s">
        <v>45</v>
      </c>
      <c r="O1451" t="s">
        <v>46</v>
      </c>
      <c r="P1451" t="s">
        <v>68</v>
      </c>
      <c r="Q1451">
        <v>226</v>
      </c>
      <c r="R1451">
        <v>181.72</v>
      </c>
      <c r="S1451">
        <v>41068.720000000001</v>
      </c>
      <c r="T1451">
        <v>43.16</v>
      </c>
      <c r="U1451">
        <v>1</v>
      </c>
      <c r="V1451">
        <v>3</v>
      </c>
      <c r="W1451">
        <v>1649</v>
      </c>
      <c r="X1451" t="s">
        <v>3741</v>
      </c>
      <c r="Y1451" t="s">
        <v>36</v>
      </c>
      <c r="Z1451">
        <v>5500.79</v>
      </c>
    </row>
    <row r="1452" spans="1:26" x14ac:dyDescent="0.25">
      <c r="A1452">
        <v>101450</v>
      </c>
      <c r="B1452" s="3">
        <v>45859</v>
      </c>
      <c r="C1452" s="3">
        <v>45861</v>
      </c>
      <c r="D1452" s="3">
        <v>45880</v>
      </c>
      <c r="E1452" t="s">
        <v>2546</v>
      </c>
      <c r="F1452" t="s">
        <v>25</v>
      </c>
      <c r="G1452" t="s">
        <v>221</v>
      </c>
      <c r="H1452" t="s">
        <v>3614</v>
      </c>
      <c r="I1452" t="s">
        <v>368</v>
      </c>
      <c r="J1452" t="s">
        <v>29</v>
      </c>
      <c r="K1452" t="s">
        <v>3615</v>
      </c>
      <c r="L1452" t="s">
        <v>44</v>
      </c>
      <c r="M1452" t="s">
        <v>38</v>
      </c>
      <c r="N1452" t="s">
        <v>203</v>
      </c>
      <c r="O1452" t="s">
        <v>204</v>
      </c>
      <c r="P1452" t="s">
        <v>76</v>
      </c>
      <c r="Q1452">
        <v>377</v>
      </c>
      <c r="R1452">
        <v>72.349999999999994</v>
      </c>
      <c r="S1452">
        <v>27275.95</v>
      </c>
      <c r="T1452">
        <v>14.89</v>
      </c>
      <c r="U1452">
        <v>19</v>
      </c>
      <c r="V1452">
        <v>21</v>
      </c>
      <c r="W1452">
        <v>2404</v>
      </c>
      <c r="X1452" t="s">
        <v>188</v>
      </c>
      <c r="Y1452" t="s">
        <v>36</v>
      </c>
      <c r="Z1452">
        <v>6102.03</v>
      </c>
    </row>
    <row r="1453" spans="1:26" x14ac:dyDescent="0.25">
      <c r="A1453">
        <v>101451</v>
      </c>
      <c r="B1453" s="3">
        <v>45861</v>
      </c>
      <c r="C1453" s="3">
        <v>45861</v>
      </c>
      <c r="D1453" s="3">
        <v>45871</v>
      </c>
      <c r="E1453" t="s">
        <v>3616</v>
      </c>
      <c r="F1453" t="s">
        <v>65</v>
      </c>
      <c r="G1453" t="s">
        <v>154</v>
      </c>
      <c r="H1453" t="s">
        <v>3617</v>
      </c>
      <c r="I1453" t="s">
        <v>191</v>
      </c>
      <c r="J1453" t="s">
        <v>62</v>
      </c>
      <c r="K1453" t="s">
        <v>974</v>
      </c>
      <c r="L1453" t="s">
        <v>187</v>
      </c>
      <c r="M1453" t="s">
        <v>54</v>
      </c>
      <c r="N1453" t="s">
        <v>92</v>
      </c>
      <c r="O1453" t="s">
        <v>93</v>
      </c>
      <c r="P1453" t="s">
        <v>123</v>
      </c>
      <c r="Q1453">
        <v>121</v>
      </c>
      <c r="R1453">
        <v>24.23</v>
      </c>
      <c r="S1453">
        <v>2931.83</v>
      </c>
      <c r="T1453">
        <v>13.63</v>
      </c>
      <c r="U1453">
        <v>10</v>
      </c>
      <c r="V1453">
        <v>10</v>
      </c>
      <c r="W1453">
        <v>1645</v>
      </c>
      <c r="X1453" t="s">
        <v>188</v>
      </c>
      <c r="Y1453" t="s">
        <v>36</v>
      </c>
      <c r="Z1453">
        <v>502.59</v>
      </c>
    </row>
    <row r="1454" spans="1:26" x14ac:dyDescent="0.25">
      <c r="A1454">
        <v>101452</v>
      </c>
      <c r="B1454" s="3">
        <v>45338</v>
      </c>
      <c r="C1454" s="3">
        <v>45341</v>
      </c>
      <c r="D1454" s="3">
        <v>45348</v>
      </c>
      <c r="E1454" t="s">
        <v>3618</v>
      </c>
      <c r="F1454" t="s">
        <v>65</v>
      </c>
      <c r="G1454" t="s">
        <v>154</v>
      </c>
      <c r="H1454" t="s">
        <v>3619</v>
      </c>
      <c r="I1454" t="s">
        <v>41</v>
      </c>
      <c r="J1454" t="s">
        <v>42</v>
      </c>
      <c r="K1454" t="s">
        <v>3620</v>
      </c>
      <c r="L1454" t="s">
        <v>113</v>
      </c>
      <c r="M1454" t="s">
        <v>32</v>
      </c>
      <c r="N1454" t="s">
        <v>55</v>
      </c>
      <c r="O1454" t="s">
        <v>56</v>
      </c>
      <c r="P1454" t="s">
        <v>35</v>
      </c>
      <c r="Q1454">
        <v>314</v>
      </c>
      <c r="R1454">
        <v>301.51</v>
      </c>
      <c r="S1454">
        <v>94674.14</v>
      </c>
      <c r="T1454">
        <v>21.38</v>
      </c>
      <c r="U1454">
        <v>7</v>
      </c>
      <c r="V1454">
        <v>10</v>
      </c>
      <c r="W1454">
        <v>1638</v>
      </c>
      <c r="X1454" t="s">
        <v>188</v>
      </c>
      <c r="Y1454" t="s">
        <v>36</v>
      </c>
      <c r="Z1454">
        <v>9634.27</v>
      </c>
    </row>
    <row r="1455" spans="1:26" x14ac:dyDescent="0.25">
      <c r="A1455">
        <v>101453</v>
      </c>
      <c r="B1455" s="3">
        <v>45853</v>
      </c>
      <c r="C1455" s="3">
        <v>45853</v>
      </c>
      <c r="D1455" s="3">
        <v>45854</v>
      </c>
      <c r="E1455" t="s">
        <v>3621</v>
      </c>
      <c r="F1455" t="s">
        <v>38</v>
      </c>
      <c r="G1455" t="s">
        <v>39</v>
      </c>
      <c r="H1455" t="s">
        <v>3622</v>
      </c>
      <c r="I1455" t="s">
        <v>116</v>
      </c>
      <c r="J1455" t="s">
        <v>62</v>
      </c>
      <c r="K1455" t="s">
        <v>3623</v>
      </c>
      <c r="L1455" t="s">
        <v>187</v>
      </c>
      <c r="M1455" t="s">
        <v>65</v>
      </c>
      <c r="N1455" t="s">
        <v>151</v>
      </c>
      <c r="O1455" t="s">
        <v>152</v>
      </c>
      <c r="P1455" t="s">
        <v>68</v>
      </c>
      <c r="Q1455">
        <v>198</v>
      </c>
      <c r="R1455">
        <v>47.87</v>
      </c>
      <c r="S1455">
        <v>9478.26</v>
      </c>
      <c r="T1455">
        <v>41.34</v>
      </c>
      <c r="U1455">
        <v>1</v>
      </c>
      <c r="V1455">
        <v>1</v>
      </c>
      <c r="W1455">
        <v>451</v>
      </c>
      <c r="X1455" t="s">
        <v>3741</v>
      </c>
      <c r="Y1455" t="s">
        <v>36</v>
      </c>
      <c r="Z1455">
        <v>480.87</v>
      </c>
    </row>
    <row r="1456" spans="1:26" x14ac:dyDescent="0.25">
      <c r="A1456">
        <v>101454</v>
      </c>
      <c r="B1456" s="3">
        <v>45366</v>
      </c>
      <c r="C1456" s="3">
        <v>45371</v>
      </c>
      <c r="D1456" s="3">
        <v>45374</v>
      </c>
      <c r="E1456" t="s">
        <v>3624</v>
      </c>
      <c r="F1456" t="s">
        <v>54</v>
      </c>
      <c r="G1456" t="s">
        <v>165</v>
      </c>
      <c r="H1456" t="s">
        <v>3625</v>
      </c>
      <c r="I1456" t="s">
        <v>61</v>
      </c>
      <c r="J1456" t="s">
        <v>62</v>
      </c>
      <c r="K1456" t="s">
        <v>2005</v>
      </c>
      <c r="L1456" t="s">
        <v>187</v>
      </c>
      <c r="M1456" t="s">
        <v>38</v>
      </c>
      <c r="N1456" t="s">
        <v>102</v>
      </c>
      <c r="O1456" t="s">
        <v>103</v>
      </c>
      <c r="P1456" t="s">
        <v>35</v>
      </c>
      <c r="Q1456">
        <v>212</v>
      </c>
      <c r="R1456">
        <v>12.33</v>
      </c>
      <c r="S1456">
        <v>2613.96</v>
      </c>
      <c r="T1456">
        <v>18.48</v>
      </c>
      <c r="U1456">
        <v>3</v>
      </c>
      <c r="V1456">
        <v>8</v>
      </c>
      <c r="W1456">
        <v>3708</v>
      </c>
      <c r="X1456" t="s">
        <v>188</v>
      </c>
      <c r="Y1456" t="s">
        <v>36</v>
      </c>
      <c r="Z1456">
        <v>168.96</v>
      </c>
    </row>
    <row r="1457" spans="1:26" x14ac:dyDescent="0.25">
      <c r="A1457">
        <v>101455</v>
      </c>
      <c r="B1457" s="3">
        <v>45407</v>
      </c>
      <c r="C1457" s="3">
        <v>45409</v>
      </c>
      <c r="D1457" s="3">
        <v>45416</v>
      </c>
      <c r="E1457" t="s">
        <v>3626</v>
      </c>
      <c r="F1457" t="s">
        <v>65</v>
      </c>
      <c r="G1457" t="s">
        <v>142</v>
      </c>
      <c r="H1457" t="s">
        <v>3627</v>
      </c>
      <c r="I1457" t="s">
        <v>41</v>
      </c>
      <c r="J1457" t="s">
        <v>42</v>
      </c>
      <c r="K1457" t="s">
        <v>401</v>
      </c>
      <c r="L1457" t="s">
        <v>113</v>
      </c>
      <c r="M1457" t="s">
        <v>25</v>
      </c>
      <c r="N1457" t="s">
        <v>203</v>
      </c>
      <c r="O1457" t="s">
        <v>204</v>
      </c>
      <c r="P1457" t="s">
        <v>35</v>
      </c>
      <c r="Q1457">
        <v>225</v>
      </c>
      <c r="R1457">
        <v>236.78</v>
      </c>
      <c r="S1457">
        <v>53275.5</v>
      </c>
      <c r="T1457">
        <v>18.850000000000001</v>
      </c>
      <c r="U1457">
        <v>7</v>
      </c>
      <c r="V1457">
        <v>9</v>
      </c>
      <c r="W1457">
        <v>1439</v>
      </c>
      <c r="X1457" t="s">
        <v>188</v>
      </c>
      <c r="Y1457" t="s">
        <v>36</v>
      </c>
      <c r="Z1457">
        <v>8902.08</v>
      </c>
    </row>
    <row r="1458" spans="1:26" x14ac:dyDescent="0.25">
      <c r="A1458">
        <v>101456</v>
      </c>
      <c r="B1458" s="3">
        <v>45871</v>
      </c>
      <c r="C1458" s="3">
        <v>45876</v>
      </c>
      <c r="D1458" s="3">
        <v>45878</v>
      </c>
      <c r="E1458" t="s">
        <v>3628</v>
      </c>
      <c r="F1458" t="s">
        <v>65</v>
      </c>
      <c r="G1458" t="s">
        <v>154</v>
      </c>
      <c r="H1458" t="s">
        <v>3629</v>
      </c>
      <c r="I1458" t="s">
        <v>177</v>
      </c>
      <c r="J1458" t="s">
        <v>29</v>
      </c>
      <c r="K1458" t="s">
        <v>3093</v>
      </c>
      <c r="L1458" t="s">
        <v>44</v>
      </c>
      <c r="M1458" t="s">
        <v>38</v>
      </c>
      <c r="N1458" t="s">
        <v>74</v>
      </c>
      <c r="O1458" t="s">
        <v>75</v>
      </c>
      <c r="P1458" t="s">
        <v>68</v>
      </c>
      <c r="Q1458">
        <v>256</v>
      </c>
      <c r="R1458">
        <v>105.73</v>
      </c>
      <c r="S1458">
        <v>27066.880000000001</v>
      </c>
      <c r="T1458">
        <v>45.1</v>
      </c>
      <c r="U1458">
        <v>2</v>
      </c>
      <c r="V1458">
        <v>7</v>
      </c>
      <c r="W1458">
        <v>2037</v>
      </c>
      <c r="X1458" t="s">
        <v>3741</v>
      </c>
      <c r="Y1458" t="s">
        <v>36</v>
      </c>
      <c r="Z1458">
        <v>7873.78</v>
      </c>
    </row>
    <row r="1459" spans="1:26" x14ac:dyDescent="0.25">
      <c r="A1459">
        <v>101457</v>
      </c>
      <c r="B1459" s="3">
        <v>45541</v>
      </c>
      <c r="C1459" s="3">
        <v>45544</v>
      </c>
      <c r="D1459" s="3">
        <v>45552</v>
      </c>
      <c r="E1459" t="s">
        <v>3630</v>
      </c>
      <c r="F1459" t="s">
        <v>38</v>
      </c>
      <c r="G1459" t="s">
        <v>217</v>
      </c>
      <c r="H1459" t="s">
        <v>3631</v>
      </c>
      <c r="I1459" t="s">
        <v>207</v>
      </c>
      <c r="J1459" t="s">
        <v>80</v>
      </c>
      <c r="K1459" t="s">
        <v>649</v>
      </c>
      <c r="L1459" t="s">
        <v>113</v>
      </c>
      <c r="M1459" t="s">
        <v>54</v>
      </c>
      <c r="N1459" t="s">
        <v>33</v>
      </c>
      <c r="O1459" t="s">
        <v>34</v>
      </c>
      <c r="P1459" t="s">
        <v>123</v>
      </c>
      <c r="Q1459">
        <v>410</v>
      </c>
      <c r="R1459">
        <v>304.89</v>
      </c>
      <c r="S1459">
        <v>125004.9</v>
      </c>
      <c r="T1459">
        <v>20.66</v>
      </c>
      <c r="U1459">
        <v>8</v>
      </c>
      <c r="V1459">
        <v>11</v>
      </c>
      <c r="W1459">
        <v>232</v>
      </c>
      <c r="X1459" t="s">
        <v>188</v>
      </c>
      <c r="Y1459" t="s">
        <v>36</v>
      </c>
      <c r="Z1459">
        <v>30304.06</v>
      </c>
    </row>
    <row r="1460" spans="1:26" x14ac:dyDescent="0.25">
      <c r="A1460">
        <v>101458</v>
      </c>
      <c r="B1460" s="3">
        <v>45365</v>
      </c>
      <c r="C1460" s="3">
        <v>45366</v>
      </c>
      <c r="D1460" s="3">
        <v>45370</v>
      </c>
      <c r="E1460" t="s">
        <v>3632</v>
      </c>
      <c r="F1460" t="s">
        <v>38</v>
      </c>
      <c r="G1460" t="s">
        <v>217</v>
      </c>
      <c r="H1460" t="s">
        <v>3633</v>
      </c>
      <c r="I1460" t="s">
        <v>126</v>
      </c>
      <c r="J1460" t="s">
        <v>42</v>
      </c>
      <c r="K1460" t="s">
        <v>1573</v>
      </c>
      <c r="L1460" t="s">
        <v>187</v>
      </c>
      <c r="M1460" t="s">
        <v>25</v>
      </c>
      <c r="N1460" t="s">
        <v>66</v>
      </c>
      <c r="O1460" t="s">
        <v>67</v>
      </c>
      <c r="P1460" t="s">
        <v>68</v>
      </c>
      <c r="Q1460">
        <v>41</v>
      </c>
      <c r="R1460">
        <v>290</v>
      </c>
      <c r="S1460">
        <v>11890</v>
      </c>
      <c r="T1460">
        <v>31.17</v>
      </c>
      <c r="U1460">
        <v>4</v>
      </c>
      <c r="V1460">
        <v>5</v>
      </c>
      <c r="W1460">
        <v>1588</v>
      </c>
      <c r="X1460" t="s">
        <v>3741</v>
      </c>
      <c r="Y1460" t="s">
        <v>36</v>
      </c>
      <c r="Z1460">
        <v>2480.33</v>
      </c>
    </row>
    <row r="1461" spans="1:26" x14ac:dyDescent="0.25">
      <c r="A1461">
        <v>101459</v>
      </c>
      <c r="B1461" s="3">
        <v>45510</v>
      </c>
      <c r="C1461" s="3">
        <v>45510</v>
      </c>
      <c r="D1461" s="3">
        <v>45518</v>
      </c>
      <c r="E1461" t="s">
        <v>3286</v>
      </c>
      <c r="F1461" t="s">
        <v>65</v>
      </c>
      <c r="G1461" t="s">
        <v>142</v>
      </c>
      <c r="H1461" t="s">
        <v>3634</v>
      </c>
      <c r="I1461" t="s">
        <v>230</v>
      </c>
      <c r="J1461" t="s">
        <v>80</v>
      </c>
      <c r="K1461" t="s">
        <v>1679</v>
      </c>
      <c r="L1461" t="s">
        <v>122</v>
      </c>
      <c r="M1461" t="s">
        <v>25</v>
      </c>
      <c r="N1461" t="s">
        <v>45</v>
      </c>
      <c r="O1461" t="s">
        <v>46</v>
      </c>
      <c r="P1461" t="s">
        <v>35</v>
      </c>
      <c r="Q1461">
        <v>133</v>
      </c>
      <c r="R1461">
        <v>335.78</v>
      </c>
      <c r="S1461">
        <v>44658.74</v>
      </c>
      <c r="T1461">
        <v>16.239999999999998</v>
      </c>
      <c r="U1461">
        <v>8</v>
      </c>
      <c r="V1461">
        <v>8</v>
      </c>
      <c r="W1461">
        <v>1741</v>
      </c>
      <c r="X1461" t="s">
        <v>188</v>
      </c>
      <c r="Y1461" t="s">
        <v>36</v>
      </c>
      <c r="Z1461">
        <v>6837.58</v>
      </c>
    </row>
    <row r="1462" spans="1:26" x14ac:dyDescent="0.25">
      <c r="A1462">
        <v>101460</v>
      </c>
      <c r="B1462" s="3">
        <v>45848</v>
      </c>
      <c r="C1462" s="3">
        <v>45848</v>
      </c>
      <c r="D1462" s="3">
        <v>45857</v>
      </c>
      <c r="E1462" t="s">
        <v>3635</v>
      </c>
      <c r="F1462" t="s">
        <v>38</v>
      </c>
      <c r="G1462" t="s">
        <v>217</v>
      </c>
      <c r="H1462" t="s">
        <v>3636</v>
      </c>
      <c r="I1462" t="s">
        <v>139</v>
      </c>
      <c r="J1462" t="s">
        <v>42</v>
      </c>
      <c r="K1462" t="s">
        <v>3637</v>
      </c>
      <c r="L1462" t="s">
        <v>187</v>
      </c>
      <c r="M1462" t="s">
        <v>25</v>
      </c>
      <c r="N1462" t="s">
        <v>151</v>
      </c>
      <c r="O1462" t="s">
        <v>152</v>
      </c>
      <c r="P1462" t="s">
        <v>68</v>
      </c>
      <c r="Q1462">
        <v>321</v>
      </c>
      <c r="R1462">
        <v>433.52</v>
      </c>
      <c r="S1462">
        <v>139159.92000000001</v>
      </c>
      <c r="T1462">
        <v>49.31</v>
      </c>
      <c r="U1462">
        <v>9</v>
      </c>
      <c r="V1462">
        <v>9</v>
      </c>
      <c r="W1462">
        <v>485</v>
      </c>
      <c r="X1462" t="s">
        <v>188</v>
      </c>
      <c r="Y1462" t="s">
        <v>36</v>
      </c>
      <c r="Z1462">
        <v>21561.66</v>
      </c>
    </row>
    <row r="1463" spans="1:26" x14ac:dyDescent="0.25">
      <c r="A1463">
        <v>101461</v>
      </c>
      <c r="B1463" s="3">
        <v>45964</v>
      </c>
      <c r="C1463" s="3">
        <v>45969</v>
      </c>
      <c r="D1463" s="3">
        <v>45973</v>
      </c>
      <c r="E1463" t="s">
        <v>3638</v>
      </c>
      <c r="F1463" t="s">
        <v>25</v>
      </c>
      <c r="G1463" t="s">
        <v>169</v>
      </c>
      <c r="H1463" t="s">
        <v>3639</v>
      </c>
      <c r="I1463" t="s">
        <v>368</v>
      </c>
      <c r="J1463" t="s">
        <v>29</v>
      </c>
      <c r="K1463" t="s">
        <v>495</v>
      </c>
      <c r="L1463" t="s">
        <v>91</v>
      </c>
      <c r="M1463" t="s">
        <v>65</v>
      </c>
      <c r="N1463" t="s">
        <v>66</v>
      </c>
      <c r="O1463" t="s">
        <v>67</v>
      </c>
      <c r="P1463" t="s">
        <v>68</v>
      </c>
      <c r="Q1463">
        <v>178</v>
      </c>
      <c r="R1463">
        <v>43.05</v>
      </c>
      <c r="S1463">
        <v>7662.9</v>
      </c>
      <c r="T1463">
        <v>40.049999999999997</v>
      </c>
      <c r="U1463">
        <v>4</v>
      </c>
      <c r="V1463">
        <v>9</v>
      </c>
      <c r="W1463">
        <v>2656</v>
      </c>
      <c r="X1463" t="s">
        <v>188</v>
      </c>
      <c r="Y1463" t="s">
        <v>36</v>
      </c>
      <c r="Z1463">
        <v>1660.04</v>
      </c>
    </row>
    <row r="1464" spans="1:26" x14ac:dyDescent="0.25">
      <c r="A1464">
        <v>101462</v>
      </c>
      <c r="B1464" s="3">
        <v>45851</v>
      </c>
      <c r="C1464" s="3">
        <v>45856</v>
      </c>
      <c r="D1464" s="3">
        <v>45875</v>
      </c>
      <c r="E1464" t="s">
        <v>3640</v>
      </c>
      <c r="F1464" t="s">
        <v>38</v>
      </c>
      <c r="G1464" t="s">
        <v>39</v>
      </c>
      <c r="H1464" t="s">
        <v>3641</v>
      </c>
      <c r="I1464" t="s">
        <v>126</v>
      </c>
      <c r="J1464" t="s">
        <v>42</v>
      </c>
      <c r="K1464" t="s">
        <v>957</v>
      </c>
      <c r="L1464" t="s">
        <v>64</v>
      </c>
      <c r="M1464" t="s">
        <v>32</v>
      </c>
      <c r="N1464" t="s">
        <v>55</v>
      </c>
      <c r="O1464" t="s">
        <v>56</v>
      </c>
      <c r="P1464" t="s">
        <v>76</v>
      </c>
      <c r="Q1464">
        <v>128</v>
      </c>
      <c r="R1464">
        <v>346.26</v>
      </c>
      <c r="S1464">
        <v>44321.279999999999</v>
      </c>
      <c r="T1464">
        <v>10.35</v>
      </c>
      <c r="U1464">
        <v>19</v>
      </c>
      <c r="V1464">
        <v>24</v>
      </c>
      <c r="W1464">
        <v>519</v>
      </c>
      <c r="X1464" t="s">
        <v>188</v>
      </c>
      <c r="Y1464" t="s">
        <v>36</v>
      </c>
      <c r="Z1464">
        <v>4715.08</v>
      </c>
    </row>
    <row r="1465" spans="1:26" x14ac:dyDescent="0.25">
      <c r="A1465">
        <v>101463</v>
      </c>
      <c r="B1465" s="3">
        <v>45661</v>
      </c>
      <c r="C1465" s="3">
        <v>45665</v>
      </c>
      <c r="D1465" s="3">
        <v>45673</v>
      </c>
      <c r="E1465" t="s">
        <v>3054</v>
      </c>
      <c r="F1465" t="s">
        <v>54</v>
      </c>
      <c r="G1465" t="s">
        <v>158</v>
      </c>
      <c r="H1465" t="s">
        <v>3642</v>
      </c>
      <c r="I1465" t="s">
        <v>144</v>
      </c>
      <c r="J1465" t="s">
        <v>52</v>
      </c>
      <c r="K1465" t="s">
        <v>2275</v>
      </c>
      <c r="L1465" t="s">
        <v>31</v>
      </c>
      <c r="M1465" t="s">
        <v>38</v>
      </c>
      <c r="N1465" t="s">
        <v>92</v>
      </c>
      <c r="O1465" t="s">
        <v>93</v>
      </c>
      <c r="P1465" t="s">
        <v>123</v>
      </c>
      <c r="Q1465">
        <v>131</v>
      </c>
      <c r="R1465">
        <v>76.459999999999994</v>
      </c>
      <c r="S1465">
        <v>10016.26</v>
      </c>
      <c r="T1465">
        <v>13.88</v>
      </c>
      <c r="U1465">
        <v>8</v>
      </c>
      <c r="V1465">
        <v>12</v>
      </c>
      <c r="W1465">
        <v>1763</v>
      </c>
      <c r="X1465" t="s">
        <v>188</v>
      </c>
      <c r="Y1465" t="s">
        <v>36</v>
      </c>
      <c r="Z1465">
        <v>1771.56</v>
      </c>
    </row>
    <row r="1466" spans="1:26" x14ac:dyDescent="0.25">
      <c r="A1466">
        <v>101464</v>
      </c>
      <c r="B1466" s="3">
        <v>45681</v>
      </c>
      <c r="C1466" s="3">
        <v>45683</v>
      </c>
      <c r="D1466" s="3">
        <v>45696</v>
      </c>
      <c r="E1466" t="s">
        <v>3643</v>
      </c>
      <c r="F1466" t="s">
        <v>65</v>
      </c>
      <c r="G1466" t="s">
        <v>154</v>
      </c>
      <c r="H1466" t="s">
        <v>3644</v>
      </c>
      <c r="I1466" t="s">
        <v>230</v>
      </c>
      <c r="J1466" t="s">
        <v>80</v>
      </c>
      <c r="K1466" t="s">
        <v>1385</v>
      </c>
      <c r="L1466" t="s">
        <v>44</v>
      </c>
      <c r="M1466" t="s">
        <v>65</v>
      </c>
      <c r="N1466" t="s">
        <v>107</v>
      </c>
      <c r="O1466" t="s">
        <v>108</v>
      </c>
      <c r="P1466" t="s">
        <v>123</v>
      </c>
      <c r="Q1466">
        <v>205</v>
      </c>
      <c r="R1466">
        <v>255.58</v>
      </c>
      <c r="S1466">
        <v>52393.9</v>
      </c>
      <c r="T1466">
        <v>11.61</v>
      </c>
      <c r="U1466">
        <v>13</v>
      </c>
      <c r="V1466">
        <v>15</v>
      </c>
      <c r="W1466">
        <v>670</v>
      </c>
      <c r="X1466" t="s">
        <v>188</v>
      </c>
      <c r="Y1466" t="s">
        <v>36</v>
      </c>
      <c r="Z1466">
        <v>10686.66</v>
      </c>
    </row>
    <row r="1467" spans="1:26" x14ac:dyDescent="0.25">
      <c r="A1467">
        <v>101465</v>
      </c>
      <c r="B1467" s="3">
        <v>45588</v>
      </c>
      <c r="C1467" s="3">
        <v>45593</v>
      </c>
      <c r="D1467" s="3">
        <v>45603</v>
      </c>
      <c r="E1467" t="s">
        <v>3645</v>
      </c>
      <c r="F1467" t="s">
        <v>65</v>
      </c>
      <c r="G1467" t="s">
        <v>142</v>
      </c>
      <c r="H1467" t="s">
        <v>3646</v>
      </c>
      <c r="I1467" t="s">
        <v>191</v>
      </c>
      <c r="J1467" t="s">
        <v>62</v>
      </c>
      <c r="K1467" t="s">
        <v>3647</v>
      </c>
      <c r="L1467" t="s">
        <v>44</v>
      </c>
      <c r="M1467" t="s">
        <v>25</v>
      </c>
      <c r="N1467" t="s">
        <v>92</v>
      </c>
      <c r="O1467" t="s">
        <v>93</v>
      </c>
      <c r="P1467" t="s">
        <v>35</v>
      </c>
      <c r="Q1467">
        <v>98</v>
      </c>
      <c r="R1467">
        <v>49.55</v>
      </c>
      <c r="S1467">
        <v>4855.8999999999996</v>
      </c>
      <c r="T1467">
        <v>15.25</v>
      </c>
      <c r="U1467">
        <v>10</v>
      </c>
      <c r="V1467">
        <v>15</v>
      </c>
      <c r="W1467">
        <v>3090</v>
      </c>
      <c r="X1467" t="s">
        <v>188</v>
      </c>
      <c r="Y1467" t="s">
        <v>36</v>
      </c>
      <c r="Z1467">
        <v>652.80999999999995</v>
      </c>
    </row>
    <row r="1468" spans="1:26" x14ac:dyDescent="0.25">
      <c r="A1468">
        <v>101466</v>
      </c>
      <c r="B1468" s="3">
        <v>45851</v>
      </c>
      <c r="C1468" s="3">
        <v>45852</v>
      </c>
      <c r="D1468" s="3">
        <v>45862</v>
      </c>
      <c r="E1468" t="s">
        <v>3648</v>
      </c>
      <c r="F1468" t="s">
        <v>32</v>
      </c>
      <c r="G1468" t="s">
        <v>364</v>
      </c>
      <c r="H1468" t="s">
        <v>3649</v>
      </c>
      <c r="I1468" t="s">
        <v>61</v>
      </c>
      <c r="J1468" t="s">
        <v>62</v>
      </c>
      <c r="K1468" t="s">
        <v>2962</v>
      </c>
      <c r="L1468" t="s">
        <v>91</v>
      </c>
      <c r="M1468" t="s">
        <v>32</v>
      </c>
      <c r="N1468" t="s">
        <v>92</v>
      </c>
      <c r="O1468" t="s">
        <v>93</v>
      </c>
      <c r="P1468" t="s">
        <v>35</v>
      </c>
      <c r="Q1468">
        <v>144</v>
      </c>
      <c r="R1468">
        <v>32.69</v>
      </c>
      <c r="S1468">
        <v>4707.3599999999997</v>
      </c>
      <c r="T1468">
        <v>12.26</v>
      </c>
      <c r="U1468">
        <v>10</v>
      </c>
      <c r="V1468">
        <v>11</v>
      </c>
      <c r="W1468">
        <v>4110</v>
      </c>
      <c r="X1468" t="s">
        <v>188</v>
      </c>
      <c r="Y1468" t="s">
        <v>36</v>
      </c>
      <c r="Z1468">
        <v>310.85000000000002</v>
      </c>
    </row>
    <row r="1469" spans="1:26" x14ac:dyDescent="0.25">
      <c r="A1469">
        <v>101467</v>
      </c>
      <c r="B1469" s="3">
        <v>45759</v>
      </c>
      <c r="C1469" s="3">
        <v>45763</v>
      </c>
      <c r="D1469" s="3">
        <v>45765</v>
      </c>
      <c r="E1469" t="s">
        <v>3650</v>
      </c>
      <c r="F1469" t="s">
        <v>65</v>
      </c>
      <c r="G1469" t="s">
        <v>70</v>
      </c>
      <c r="H1469" t="s">
        <v>3651</v>
      </c>
      <c r="I1469" t="s">
        <v>144</v>
      </c>
      <c r="J1469" t="s">
        <v>52</v>
      </c>
      <c r="K1469" t="s">
        <v>3083</v>
      </c>
      <c r="L1469" t="s">
        <v>118</v>
      </c>
      <c r="M1469" t="s">
        <v>65</v>
      </c>
      <c r="N1469" t="s">
        <v>107</v>
      </c>
      <c r="O1469" t="s">
        <v>108</v>
      </c>
      <c r="P1469" t="s">
        <v>35</v>
      </c>
      <c r="Q1469">
        <v>470</v>
      </c>
      <c r="R1469">
        <v>67.959999999999994</v>
      </c>
      <c r="S1469">
        <v>31941.200000000001</v>
      </c>
      <c r="T1469">
        <v>19.11</v>
      </c>
      <c r="U1469">
        <v>2</v>
      </c>
      <c r="V1469">
        <v>6</v>
      </c>
      <c r="W1469">
        <v>2695</v>
      </c>
      <c r="X1469" t="s">
        <v>3741</v>
      </c>
      <c r="Y1469" t="s">
        <v>36</v>
      </c>
      <c r="Z1469">
        <v>4414.09</v>
      </c>
    </row>
    <row r="1470" spans="1:26" x14ac:dyDescent="0.25">
      <c r="A1470">
        <v>101468</v>
      </c>
      <c r="B1470" s="3">
        <v>45806</v>
      </c>
      <c r="C1470" s="3">
        <v>45810</v>
      </c>
      <c r="D1470" s="3">
        <v>45816</v>
      </c>
      <c r="E1470" t="s">
        <v>3652</v>
      </c>
      <c r="F1470" t="s">
        <v>32</v>
      </c>
      <c r="G1470" t="s">
        <v>180</v>
      </c>
      <c r="H1470" t="s">
        <v>3653</v>
      </c>
      <c r="I1470" t="s">
        <v>198</v>
      </c>
      <c r="J1470" t="s">
        <v>52</v>
      </c>
      <c r="K1470" t="s">
        <v>1846</v>
      </c>
      <c r="L1470" t="s">
        <v>122</v>
      </c>
      <c r="M1470" t="s">
        <v>32</v>
      </c>
      <c r="N1470" t="s">
        <v>74</v>
      </c>
      <c r="O1470" t="s">
        <v>75</v>
      </c>
      <c r="P1470" t="s">
        <v>123</v>
      </c>
      <c r="Q1470">
        <v>49</v>
      </c>
      <c r="R1470">
        <v>69.260000000000005</v>
      </c>
      <c r="S1470">
        <v>3393.74</v>
      </c>
      <c r="T1470">
        <v>8.8000000000000007</v>
      </c>
      <c r="U1470">
        <v>6</v>
      </c>
      <c r="V1470">
        <v>10</v>
      </c>
      <c r="W1470">
        <v>1146</v>
      </c>
      <c r="X1470" t="s">
        <v>3742</v>
      </c>
      <c r="Y1470" t="s">
        <v>57</v>
      </c>
      <c r="Z1470">
        <v>595.59</v>
      </c>
    </row>
    <row r="1471" spans="1:26" x14ac:dyDescent="0.25">
      <c r="A1471">
        <v>101469</v>
      </c>
      <c r="B1471" s="3">
        <v>45706</v>
      </c>
      <c r="C1471" s="3">
        <v>45709</v>
      </c>
      <c r="D1471" s="3">
        <v>45723</v>
      </c>
      <c r="E1471" t="s">
        <v>3654</v>
      </c>
      <c r="F1471" t="s">
        <v>54</v>
      </c>
      <c r="G1471" t="s">
        <v>225</v>
      </c>
      <c r="H1471" t="s">
        <v>3655</v>
      </c>
      <c r="I1471" t="s">
        <v>85</v>
      </c>
      <c r="J1471" t="s">
        <v>52</v>
      </c>
      <c r="K1471" t="s">
        <v>3561</v>
      </c>
      <c r="L1471" t="s">
        <v>91</v>
      </c>
      <c r="M1471" t="s">
        <v>32</v>
      </c>
      <c r="N1471" t="s">
        <v>33</v>
      </c>
      <c r="O1471" t="s">
        <v>34</v>
      </c>
      <c r="P1471" t="s">
        <v>123</v>
      </c>
      <c r="Q1471">
        <v>236</v>
      </c>
      <c r="R1471">
        <v>11.18</v>
      </c>
      <c r="S1471">
        <v>2638.48</v>
      </c>
      <c r="T1471">
        <v>16.43</v>
      </c>
      <c r="U1471">
        <v>14</v>
      </c>
      <c r="V1471">
        <v>17</v>
      </c>
      <c r="W1471">
        <v>1623</v>
      </c>
      <c r="X1471" t="s">
        <v>188</v>
      </c>
      <c r="Y1471" t="s">
        <v>36</v>
      </c>
      <c r="Z1471">
        <v>170.38</v>
      </c>
    </row>
    <row r="1472" spans="1:26" x14ac:dyDescent="0.25">
      <c r="A1472">
        <v>101470</v>
      </c>
      <c r="B1472" s="3">
        <v>45501</v>
      </c>
      <c r="C1472" s="3">
        <v>45503</v>
      </c>
      <c r="D1472" s="3">
        <v>45504</v>
      </c>
      <c r="E1472" t="s">
        <v>3656</v>
      </c>
      <c r="F1472" t="s">
        <v>54</v>
      </c>
      <c r="G1472" t="s">
        <v>193</v>
      </c>
      <c r="H1472" t="s">
        <v>3657</v>
      </c>
      <c r="I1472" t="s">
        <v>368</v>
      </c>
      <c r="J1472" t="s">
        <v>29</v>
      </c>
      <c r="K1472" t="s">
        <v>1752</v>
      </c>
      <c r="L1472" t="s">
        <v>44</v>
      </c>
      <c r="M1472" t="s">
        <v>32</v>
      </c>
      <c r="N1472" t="s">
        <v>92</v>
      </c>
      <c r="O1472" t="s">
        <v>93</v>
      </c>
      <c r="P1472" t="s">
        <v>68</v>
      </c>
      <c r="Q1472">
        <v>72</v>
      </c>
      <c r="R1472">
        <v>40.590000000000003</v>
      </c>
      <c r="S1472">
        <v>2922.48</v>
      </c>
      <c r="T1472">
        <v>33.18</v>
      </c>
      <c r="U1472">
        <v>1</v>
      </c>
      <c r="V1472">
        <v>3</v>
      </c>
      <c r="W1472">
        <v>2744</v>
      </c>
      <c r="X1472" t="s">
        <v>3741</v>
      </c>
      <c r="Y1472" t="s">
        <v>36</v>
      </c>
      <c r="Z1472">
        <v>697.93</v>
      </c>
    </row>
    <row r="1473" spans="1:26" x14ac:dyDescent="0.25">
      <c r="A1473">
        <v>101471</v>
      </c>
      <c r="B1473" s="3">
        <v>45420</v>
      </c>
      <c r="C1473" s="3">
        <v>45423</v>
      </c>
      <c r="D1473" s="3">
        <v>45432</v>
      </c>
      <c r="E1473" t="s">
        <v>3513</v>
      </c>
      <c r="F1473" t="s">
        <v>25</v>
      </c>
      <c r="G1473" t="s">
        <v>244</v>
      </c>
      <c r="H1473" t="s">
        <v>3658</v>
      </c>
      <c r="I1473" t="s">
        <v>72</v>
      </c>
      <c r="J1473" t="s">
        <v>42</v>
      </c>
      <c r="K1473" t="s">
        <v>1766</v>
      </c>
      <c r="L1473" t="s">
        <v>122</v>
      </c>
      <c r="M1473" t="s">
        <v>65</v>
      </c>
      <c r="N1473" t="s">
        <v>151</v>
      </c>
      <c r="O1473" t="s">
        <v>152</v>
      </c>
      <c r="P1473" t="s">
        <v>35</v>
      </c>
      <c r="Q1473">
        <v>340</v>
      </c>
      <c r="R1473">
        <v>188.99</v>
      </c>
      <c r="S1473">
        <v>64256.6</v>
      </c>
      <c r="T1473">
        <v>22.11</v>
      </c>
      <c r="U1473">
        <v>9</v>
      </c>
      <c r="V1473">
        <v>12</v>
      </c>
      <c r="W1473">
        <v>709</v>
      </c>
      <c r="X1473" t="s">
        <v>188</v>
      </c>
      <c r="Y1473" t="s">
        <v>36</v>
      </c>
      <c r="Z1473">
        <v>7124.31</v>
      </c>
    </row>
    <row r="1474" spans="1:26" x14ac:dyDescent="0.25">
      <c r="A1474">
        <v>101472</v>
      </c>
      <c r="B1474" s="3">
        <v>45659</v>
      </c>
      <c r="C1474" s="3">
        <v>45663</v>
      </c>
      <c r="D1474" s="3">
        <v>45667</v>
      </c>
      <c r="E1474" t="s">
        <v>3659</v>
      </c>
      <c r="F1474" t="s">
        <v>38</v>
      </c>
      <c r="G1474" t="s">
        <v>39</v>
      </c>
      <c r="H1474" t="s">
        <v>3660</v>
      </c>
      <c r="I1474" t="s">
        <v>278</v>
      </c>
      <c r="J1474" t="s">
        <v>29</v>
      </c>
      <c r="K1474" t="s">
        <v>334</v>
      </c>
      <c r="L1474" t="s">
        <v>44</v>
      </c>
      <c r="M1474" t="s">
        <v>38</v>
      </c>
      <c r="N1474" t="s">
        <v>33</v>
      </c>
      <c r="O1474" t="s">
        <v>34</v>
      </c>
      <c r="P1474" t="s">
        <v>123</v>
      </c>
      <c r="Q1474">
        <v>30</v>
      </c>
      <c r="R1474">
        <v>89.31</v>
      </c>
      <c r="S1474">
        <v>2679.3</v>
      </c>
      <c r="T1474">
        <v>8.4600000000000009</v>
      </c>
      <c r="U1474">
        <v>4</v>
      </c>
      <c r="V1474">
        <v>8</v>
      </c>
      <c r="W1474">
        <v>2480</v>
      </c>
      <c r="X1474" t="s">
        <v>188</v>
      </c>
      <c r="Y1474" t="s">
        <v>36</v>
      </c>
      <c r="Z1474">
        <v>495.4</v>
      </c>
    </row>
    <row r="1475" spans="1:26" x14ac:dyDescent="0.25">
      <c r="A1475">
        <v>101473</v>
      </c>
      <c r="B1475" s="3">
        <v>45702</v>
      </c>
      <c r="C1475" s="3">
        <v>45706</v>
      </c>
      <c r="D1475" s="3">
        <v>45709</v>
      </c>
      <c r="E1475" t="s">
        <v>3661</v>
      </c>
      <c r="F1475" t="s">
        <v>54</v>
      </c>
      <c r="G1475" t="s">
        <v>193</v>
      </c>
      <c r="H1475" t="s">
        <v>3662</v>
      </c>
      <c r="I1475" t="s">
        <v>61</v>
      </c>
      <c r="J1475" t="s">
        <v>62</v>
      </c>
      <c r="K1475" t="s">
        <v>518</v>
      </c>
      <c r="L1475" t="s">
        <v>118</v>
      </c>
      <c r="M1475" t="s">
        <v>54</v>
      </c>
      <c r="N1475" t="s">
        <v>102</v>
      </c>
      <c r="O1475" t="s">
        <v>103</v>
      </c>
      <c r="P1475" t="s">
        <v>68</v>
      </c>
      <c r="Q1475">
        <v>295</v>
      </c>
      <c r="R1475">
        <v>27.76</v>
      </c>
      <c r="S1475">
        <v>8189.2</v>
      </c>
      <c r="T1475">
        <v>35.28</v>
      </c>
      <c r="U1475">
        <v>3</v>
      </c>
      <c r="V1475">
        <v>7</v>
      </c>
      <c r="W1475">
        <v>3658</v>
      </c>
      <c r="X1475" t="s">
        <v>3741</v>
      </c>
      <c r="Y1475" t="s">
        <v>36</v>
      </c>
      <c r="Z1475">
        <v>1135.2</v>
      </c>
    </row>
    <row r="1476" spans="1:26" x14ac:dyDescent="0.25">
      <c r="A1476">
        <v>101474</v>
      </c>
      <c r="B1476" s="3">
        <v>45656</v>
      </c>
      <c r="C1476" s="3">
        <v>45661</v>
      </c>
      <c r="D1476" s="3">
        <v>45664</v>
      </c>
      <c r="E1476" t="s">
        <v>280</v>
      </c>
      <c r="F1476" t="s">
        <v>25</v>
      </c>
      <c r="G1476" t="s">
        <v>233</v>
      </c>
      <c r="H1476" t="s">
        <v>3663</v>
      </c>
      <c r="I1476" t="s">
        <v>278</v>
      </c>
      <c r="J1476" t="s">
        <v>29</v>
      </c>
      <c r="K1476" t="s">
        <v>646</v>
      </c>
      <c r="L1476" t="s">
        <v>44</v>
      </c>
      <c r="M1476" t="s">
        <v>25</v>
      </c>
      <c r="N1476" t="s">
        <v>203</v>
      </c>
      <c r="O1476" t="s">
        <v>204</v>
      </c>
      <c r="P1476" t="s">
        <v>68</v>
      </c>
      <c r="Q1476">
        <v>238</v>
      </c>
      <c r="R1476">
        <v>79.739999999999995</v>
      </c>
      <c r="S1476">
        <v>18978.12</v>
      </c>
      <c r="T1476">
        <v>32.54</v>
      </c>
      <c r="U1476">
        <v>3</v>
      </c>
      <c r="V1476">
        <v>8</v>
      </c>
      <c r="W1476">
        <v>2344</v>
      </c>
      <c r="X1476" t="s">
        <v>188</v>
      </c>
      <c r="Y1476" t="s">
        <v>36</v>
      </c>
      <c r="Z1476">
        <v>2444.85</v>
      </c>
    </row>
    <row r="1477" spans="1:26" x14ac:dyDescent="0.25">
      <c r="A1477">
        <v>101475</v>
      </c>
      <c r="B1477" s="3">
        <v>45643</v>
      </c>
      <c r="C1477" s="3">
        <v>45645</v>
      </c>
      <c r="D1477" s="3">
        <v>45651</v>
      </c>
      <c r="E1477" t="s">
        <v>3664</v>
      </c>
      <c r="F1477" t="s">
        <v>32</v>
      </c>
      <c r="G1477" t="s">
        <v>95</v>
      </c>
      <c r="H1477" t="s">
        <v>3665</v>
      </c>
      <c r="I1477" t="s">
        <v>61</v>
      </c>
      <c r="J1477" t="s">
        <v>62</v>
      </c>
      <c r="K1477" t="s">
        <v>63</v>
      </c>
      <c r="L1477" t="s">
        <v>122</v>
      </c>
      <c r="M1477" t="s">
        <v>38</v>
      </c>
      <c r="N1477" t="s">
        <v>107</v>
      </c>
      <c r="O1477" t="s">
        <v>108</v>
      </c>
      <c r="P1477" t="s">
        <v>123</v>
      </c>
      <c r="Q1477">
        <v>143</v>
      </c>
      <c r="R1477">
        <v>23.03</v>
      </c>
      <c r="S1477">
        <v>3293.29</v>
      </c>
      <c r="T1477">
        <v>14.17</v>
      </c>
      <c r="U1477">
        <v>6</v>
      </c>
      <c r="V1477">
        <v>8</v>
      </c>
      <c r="W1477">
        <v>4315</v>
      </c>
      <c r="X1477" t="s">
        <v>188</v>
      </c>
      <c r="Y1477" t="s">
        <v>36</v>
      </c>
      <c r="Z1477">
        <v>284.32</v>
      </c>
    </row>
    <row r="1478" spans="1:26" x14ac:dyDescent="0.25">
      <c r="A1478">
        <v>101476</v>
      </c>
      <c r="B1478" s="3">
        <v>45931</v>
      </c>
      <c r="C1478" s="3">
        <v>45936</v>
      </c>
      <c r="D1478" s="3">
        <v>45941</v>
      </c>
      <c r="E1478" t="s">
        <v>3666</v>
      </c>
      <c r="F1478" t="s">
        <v>38</v>
      </c>
      <c r="G1478" t="s">
        <v>39</v>
      </c>
      <c r="H1478" t="s">
        <v>3667</v>
      </c>
      <c r="I1478" t="s">
        <v>41</v>
      </c>
      <c r="J1478" t="s">
        <v>42</v>
      </c>
      <c r="K1478" t="s">
        <v>1562</v>
      </c>
      <c r="L1478" t="s">
        <v>31</v>
      </c>
      <c r="M1478" t="s">
        <v>25</v>
      </c>
      <c r="N1478" t="s">
        <v>45</v>
      </c>
      <c r="O1478" t="s">
        <v>46</v>
      </c>
      <c r="P1478" t="s">
        <v>123</v>
      </c>
      <c r="Q1478">
        <v>319</v>
      </c>
      <c r="R1478">
        <v>60.49</v>
      </c>
      <c r="S1478">
        <v>19296.310000000001</v>
      </c>
      <c r="T1478">
        <v>18.440000000000001</v>
      </c>
      <c r="U1478">
        <v>5</v>
      </c>
      <c r="V1478">
        <v>10</v>
      </c>
      <c r="W1478">
        <v>269</v>
      </c>
      <c r="X1478" t="s">
        <v>188</v>
      </c>
      <c r="Y1478" t="s">
        <v>36</v>
      </c>
      <c r="Z1478">
        <v>2270.06</v>
      </c>
    </row>
    <row r="1479" spans="1:26" x14ac:dyDescent="0.25">
      <c r="A1479">
        <v>101477</v>
      </c>
      <c r="B1479" s="3">
        <v>45763</v>
      </c>
      <c r="C1479" s="3">
        <v>45767</v>
      </c>
      <c r="D1479" s="3">
        <v>45769</v>
      </c>
      <c r="E1479" t="s">
        <v>3668</v>
      </c>
      <c r="F1479" t="s">
        <v>25</v>
      </c>
      <c r="G1479" t="s">
        <v>172</v>
      </c>
      <c r="H1479" t="s">
        <v>3669</v>
      </c>
      <c r="I1479" t="s">
        <v>134</v>
      </c>
      <c r="J1479" t="s">
        <v>52</v>
      </c>
      <c r="K1479" t="s">
        <v>3670</v>
      </c>
      <c r="L1479" t="s">
        <v>31</v>
      </c>
      <c r="M1479" t="s">
        <v>25</v>
      </c>
      <c r="N1479" t="s">
        <v>102</v>
      </c>
      <c r="O1479" t="s">
        <v>103</v>
      </c>
      <c r="P1479" t="s">
        <v>35</v>
      </c>
      <c r="Q1479">
        <v>72</v>
      </c>
      <c r="R1479">
        <v>41.21</v>
      </c>
      <c r="S1479">
        <v>2967.12</v>
      </c>
      <c r="T1479">
        <v>10.75</v>
      </c>
      <c r="U1479">
        <v>2</v>
      </c>
      <c r="V1479">
        <v>6</v>
      </c>
      <c r="W1479">
        <v>3661</v>
      </c>
      <c r="X1479" t="s">
        <v>3742</v>
      </c>
      <c r="Y1479" t="s">
        <v>57</v>
      </c>
      <c r="Z1479">
        <v>538.59</v>
      </c>
    </row>
    <row r="1480" spans="1:26" x14ac:dyDescent="0.25">
      <c r="A1480">
        <v>101478</v>
      </c>
      <c r="B1480" s="3">
        <v>45671</v>
      </c>
      <c r="C1480" s="3">
        <v>45672</v>
      </c>
      <c r="D1480" s="3">
        <v>45674</v>
      </c>
      <c r="E1480" t="s">
        <v>3671</v>
      </c>
      <c r="F1480" t="s">
        <v>65</v>
      </c>
      <c r="G1480" t="s">
        <v>70</v>
      </c>
      <c r="H1480" t="s">
        <v>2871</v>
      </c>
      <c r="I1480" t="s">
        <v>51</v>
      </c>
      <c r="J1480" t="s">
        <v>52</v>
      </c>
      <c r="K1480" t="s">
        <v>667</v>
      </c>
      <c r="L1480" t="s">
        <v>91</v>
      </c>
      <c r="M1480" t="s">
        <v>54</v>
      </c>
      <c r="N1480" t="s">
        <v>33</v>
      </c>
      <c r="O1480" t="s">
        <v>34</v>
      </c>
      <c r="P1480" t="s">
        <v>35</v>
      </c>
      <c r="Q1480">
        <v>176</v>
      </c>
      <c r="R1480">
        <v>38.94</v>
      </c>
      <c r="S1480">
        <v>6853.44</v>
      </c>
      <c r="T1480">
        <v>17.46</v>
      </c>
      <c r="U1480">
        <v>2</v>
      </c>
      <c r="V1480">
        <v>3</v>
      </c>
      <c r="W1480">
        <v>364</v>
      </c>
      <c r="X1480" t="s">
        <v>3741</v>
      </c>
      <c r="Y1480" t="s">
        <v>36</v>
      </c>
      <c r="Z1480">
        <v>1204</v>
      </c>
    </row>
    <row r="1481" spans="1:26" x14ac:dyDescent="0.25">
      <c r="A1481">
        <v>101479</v>
      </c>
      <c r="B1481" s="3">
        <v>45978</v>
      </c>
      <c r="C1481" s="3">
        <v>45978</v>
      </c>
      <c r="D1481" s="3">
        <v>46003</v>
      </c>
      <c r="E1481" t="s">
        <v>3672</v>
      </c>
      <c r="F1481" t="s">
        <v>65</v>
      </c>
      <c r="G1481" t="s">
        <v>154</v>
      </c>
      <c r="H1481" t="s">
        <v>3673</v>
      </c>
      <c r="I1481" t="s">
        <v>191</v>
      </c>
      <c r="J1481" t="s">
        <v>62</v>
      </c>
      <c r="K1481" t="s">
        <v>618</v>
      </c>
      <c r="L1481" t="s">
        <v>31</v>
      </c>
      <c r="M1481" t="s">
        <v>65</v>
      </c>
      <c r="N1481" t="s">
        <v>107</v>
      </c>
      <c r="O1481" t="s">
        <v>108</v>
      </c>
      <c r="P1481" t="s">
        <v>76</v>
      </c>
      <c r="Q1481">
        <v>419</v>
      </c>
      <c r="R1481">
        <v>44.26</v>
      </c>
      <c r="S1481">
        <v>18544.939999999999</v>
      </c>
      <c r="T1481">
        <v>11.6</v>
      </c>
      <c r="U1481">
        <v>25</v>
      </c>
      <c r="V1481">
        <v>25</v>
      </c>
      <c r="W1481">
        <v>1641</v>
      </c>
      <c r="X1481" t="s">
        <v>3742</v>
      </c>
      <c r="Y1481" t="s">
        <v>188</v>
      </c>
      <c r="Z1481">
        <v>721.09</v>
      </c>
    </row>
    <row r="1482" spans="1:26" x14ac:dyDescent="0.25">
      <c r="A1482">
        <v>101480</v>
      </c>
      <c r="B1482" s="3">
        <v>45833</v>
      </c>
      <c r="C1482" s="3">
        <v>45834</v>
      </c>
      <c r="D1482" s="3">
        <v>45839</v>
      </c>
      <c r="E1482" t="s">
        <v>3674</v>
      </c>
      <c r="F1482" t="s">
        <v>25</v>
      </c>
      <c r="G1482" t="s">
        <v>172</v>
      </c>
      <c r="H1482" t="s">
        <v>3675</v>
      </c>
      <c r="I1482" t="s">
        <v>116</v>
      </c>
      <c r="J1482" t="s">
        <v>62</v>
      </c>
      <c r="K1482" t="s">
        <v>3676</v>
      </c>
      <c r="L1482" t="s">
        <v>212</v>
      </c>
      <c r="M1482" t="s">
        <v>54</v>
      </c>
      <c r="N1482" t="s">
        <v>107</v>
      </c>
      <c r="O1482" t="s">
        <v>108</v>
      </c>
      <c r="P1482" t="s">
        <v>68</v>
      </c>
      <c r="Q1482">
        <v>203</v>
      </c>
      <c r="R1482">
        <v>9.1</v>
      </c>
      <c r="S1482">
        <v>1847.3</v>
      </c>
      <c r="T1482">
        <v>41.67</v>
      </c>
      <c r="U1482">
        <v>5</v>
      </c>
      <c r="V1482">
        <v>6</v>
      </c>
      <c r="W1482">
        <v>1419</v>
      </c>
      <c r="X1482" t="s">
        <v>3741</v>
      </c>
      <c r="Y1482" t="s">
        <v>36</v>
      </c>
      <c r="Z1482">
        <v>219.51</v>
      </c>
    </row>
    <row r="1483" spans="1:26" x14ac:dyDescent="0.25">
      <c r="A1483">
        <v>101481</v>
      </c>
      <c r="B1483" s="3">
        <v>45790</v>
      </c>
      <c r="C1483" s="3">
        <v>45794</v>
      </c>
      <c r="D1483" s="3">
        <v>45815</v>
      </c>
      <c r="E1483" t="s">
        <v>3677</v>
      </c>
      <c r="F1483" t="s">
        <v>32</v>
      </c>
      <c r="G1483" t="s">
        <v>95</v>
      </c>
      <c r="H1483" t="s">
        <v>3678</v>
      </c>
      <c r="I1483" t="s">
        <v>126</v>
      </c>
      <c r="J1483" t="s">
        <v>42</v>
      </c>
      <c r="K1483" t="s">
        <v>86</v>
      </c>
      <c r="L1483" t="s">
        <v>122</v>
      </c>
      <c r="M1483" t="s">
        <v>65</v>
      </c>
      <c r="N1483" t="s">
        <v>92</v>
      </c>
      <c r="O1483" t="s">
        <v>93</v>
      </c>
      <c r="P1483" t="s">
        <v>76</v>
      </c>
      <c r="Q1483">
        <v>359</v>
      </c>
      <c r="R1483">
        <v>268.86</v>
      </c>
      <c r="S1483">
        <v>96520.74</v>
      </c>
      <c r="T1483">
        <v>14.56</v>
      </c>
      <c r="U1483">
        <v>21</v>
      </c>
      <c r="V1483">
        <v>25</v>
      </c>
      <c r="W1483">
        <v>1514</v>
      </c>
      <c r="X1483" t="s">
        <v>3742</v>
      </c>
      <c r="Y1483" t="s">
        <v>188</v>
      </c>
      <c r="Z1483">
        <v>13116</v>
      </c>
    </row>
    <row r="1484" spans="1:26" x14ac:dyDescent="0.25">
      <c r="A1484">
        <v>101482</v>
      </c>
      <c r="B1484" s="3">
        <v>45385</v>
      </c>
      <c r="C1484" s="3">
        <v>45387</v>
      </c>
      <c r="D1484" s="3">
        <v>45403</v>
      </c>
      <c r="E1484" t="s">
        <v>3679</v>
      </c>
      <c r="F1484" t="s">
        <v>25</v>
      </c>
      <c r="G1484" t="s">
        <v>26</v>
      </c>
      <c r="H1484" t="s">
        <v>3680</v>
      </c>
      <c r="I1484" t="s">
        <v>182</v>
      </c>
      <c r="J1484" t="s">
        <v>80</v>
      </c>
      <c r="K1484" t="s">
        <v>1938</v>
      </c>
      <c r="L1484" t="s">
        <v>64</v>
      </c>
      <c r="M1484" t="s">
        <v>25</v>
      </c>
      <c r="N1484" t="s">
        <v>66</v>
      </c>
      <c r="O1484" t="s">
        <v>67</v>
      </c>
      <c r="P1484" t="s">
        <v>76</v>
      </c>
      <c r="Q1484">
        <v>264</v>
      </c>
      <c r="R1484">
        <v>179.77</v>
      </c>
      <c r="S1484">
        <v>47459.28</v>
      </c>
      <c r="T1484">
        <v>9.5</v>
      </c>
      <c r="U1484">
        <v>16</v>
      </c>
      <c r="V1484">
        <v>18</v>
      </c>
      <c r="W1484">
        <v>1495</v>
      </c>
      <c r="X1484" t="s">
        <v>188</v>
      </c>
      <c r="Y1484" t="s">
        <v>36</v>
      </c>
      <c r="Z1484">
        <v>9980.74</v>
      </c>
    </row>
    <row r="1485" spans="1:26" x14ac:dyDescent="0.25">
      <c r="A1485">
        <v>101483</v>
      </c>
      <c r="B1485" s="3">
        <v>45678</v>
      </c>
      <c r="C1485" s="3">
        <v>45678</v>
      </c>
      <c r="D1485" s="3">
        <v>45680</v>
      </c>
      <c r="E1485" t="s">
        <v>3681</v>
      </c>
      <c r="F1485" t="s">
        <v>25</v>
      </c>
      <c r="G1485" t="s">
        <v>244</v>
      </c>
      <c r="H1485" t="s">
        <v>3682</v>
      </c>
      <c r="I1485" t="s">
        <v>149</v>
      </c>
      <c r="J1485" t="s">
        <v>42</v>
      </c>
      <c r="K1485" t="s">
        <v>697</v>
      </c>
      <c r="L1485" t="s">
        <v>64</v>
      </c>
      <c r="M1485" t="s">
        <v>54</v>
      </c>
      <c r="N1485" t="s">
        <v>55</v>
      </c>
      <c r="O1485" t="s">
        <v>56</v>
      </c>
      <c r="P1485" t="s">
        <v>68</v>
      </c>
      <c r="Q1485">
        <v>344</v>
      </c>
      <c r="R1485">
        <v>211.73</v>
      </c>
      <c r="S1485">
        <v>72835.12</v>
      </c>
      <c r="T1485">
        <v>50.8</v>
      </c>
      <c r="U1485">
        <v>2</v>
      </c>
      <c r="V1485">
        <v>2</v>
      </c>
      <c r="W1485">
        <v>1165</v>
      </c>
      <c r="X1485" t="s">
        <v>3741</v>
      </c>
      <c r="Y1485" t="s">
        <v>36</v>
      </c>
      <c r="Z1485">
        <v>12473.09</v>
      </c>
    </row>
    <row r="1486" spans="1:26" x14ac:dyDescent="0.25">
      <c r="A1486">
        <v>101484</v>
      </c>
      <c r="B1486" s="3">
        <v>45294</v>
      </c>
      <c r="C1486" s="3">
        <v>45294</v>
      </c>
      <c r="D1486" s="3">
        <v>45301</v>
      </c>
      <c r="E1486" t="s">
        <v>3683</v>
      </c>
      <c r="F1486" t="s">
        <v>54</v>
      </c>
      <c r="G1486" t="s">
        <v>193</v>
      </c>
      <c r="H1486" t="s">
        <v>3684</v>
      </c>
      <c r="I1486" t="s">
        <v>416</v>
      </c>
      <c r="J1486" t="s">
        <v>80</v>
      </c>
      <c r="K1486" t="s">
        <v>2147</v>
      </c>
      <c r="L1486" t="s">
        <v>187</v>
      </c>
      <c r="M1486" t="s">
        <v>25</v>
      </c>
      <c r="N1486" t="s">
        <v>55</v>
      </c>
      <c r="O1486" t="s">
        <v>56</v>
      </c>
      <c r="P1486" t="s">
        <v>35</v>
      </c>
      <c r="Q1486">
        <v>113</v>
      </c>
      <c r="R1486">
        <v>305.47000000000003</v>
      </c>
      <c r="S1486">
        <v>34518.11</v>
      </c>
      <c r="T1486">
        <v>15.68</v>
      </c>
      <c r="U1486">
        <v>7</v>
      </c>
      <c r="V1486">
        <v>7</v>
      </c>
      <c r="W1486">
        <v>978</v>
      </c>
      <c r="X1486" t="s">
        <v>3741</v>
      </c>
      <c r="Y1486" t="s">
        <v>36</v>
      </c>
      <c r="Z1486">
        <v>6383.57</v>
      </c>
    </row>
    <row r="1487" spans="1:26" x14ac:dyDescent="0.25">
      <c r="A1487">
        <v>101485</v>
      </c>
      <c r="B1487" s="3">
        <v>45818</v>
      </c>
      <c r="C1487" s="3">
        <v>45822</v>
      </c>
      <c r="D1487" s="3">
        <v>45823</v>
      </c>
      <c r="E1487" t="s">
        <v>3685</v>
      </c>
      <c r="F1487" t="s">
        <v>32</v>
      </c>
      <c r="G1487" t="s">
        <v>110</v>
      </c>
      <c r="H1487" t="s">
        <v>3686</v>
      </c>
      <c r="I1487" t="s">
        <v>85</v>
      </c>
      <c r="J1487" t="s">
        <v>52</v>
      </c>
      <c r="K1487" t="s">
        <v>673</v>
      </c>
      <c r="L1487" t="s">
        <v>122</v>
      </c>
      <c r="M1487" t="s">
        <v>25</v>
      </c>
      <c r="N1487" t="s">
        <v>33</v>
      </c>
      <c r="O1487" t="s">
        <v>34</v>
      </c>
      <c r="P1487" t="s">
        <v>68</v>
      </c>
      <c r="Q1487">
        <v>39</v>
      </c>
      <c r="R1487">
        <v>73.069999999999993</v>
      </c>
      <c r="S1487">
        <v>2849.73</v>
      </c>
      <c r="T1487">
        <v>31.04</v>
      </c>
      <c r="U1487">
        <v>1</v>
      </c>
      <c r="V1487">
        <v>5</v>
      </c>
      <c r="W1487">
        <v>2373</v>
      </c>
      <c r="X1487" t="s">
        <v>3741</v>
      </c>
      <c r="Y1487" t="s">
        <v>36</v>
      </c>
      <c r="Z1487">
        <v>339.22</v>
      </c>
    </row>
    <row r="1488" spans="1:26" x14ac:dyDescent="0.25">
      <c r="A1488">
        <v>101486</v>
      </c>
      <c r="B1488" s="3">
        <v>45554</v>
      </c>
      <c r="C1488" s="3">
        <v>45559</v>
      </c>
      <c r="D1488" s="3">
        <v>45561</v>
      </c>
      <c r="E1488" t="s">
        <v>3559</v>
      </c>
      <c r="F1488" t="s">
        <v>65</v>
      </c>
      <c r="G1488" t="s">
        <v>154</v>
      </c>
      <c r="H1488" t="s">
        <v>3687</v>
      </c>
      <c r="I1488" t="s">
        <v>207</v>
      </c>
      <c r="J1488" t="s">
        <v>80</v>
      </c>
      <c r="K1488" t="s">
        <v>2545</v>
      </c>
      <c r="L1488" t="s">
        <v>118</v>
      </c>
      <c r="M1488" t="s">
        <v>65</v>
      </c>
      <c r="N1488" t="s">
        <v>92</v>
      </c>
      <c r="O1488" t="s">
        <v>93</v>
      </c>
      <c r="P1488" t="s">
        <v>68</v>
      </c>
      <c r="Q1488">
        <v>494</v>
      </c>
      <c r="R1488">
        <v>311.27</v>
      </c>
      <c r="S1488">
        <v>153767.38</v>
      </c>
      <c r="T1488">
        <v>44.83</v>
      </c>
      <c r="U1488">
        <v>2</v>
      </c>
      <c r="V1488">
        <v>7</v>
      </c>
      <c r="W1488">
        <v>1007</v>
      </c>
      <c r="X1488" t="s">
        <v>3741</v>
      </c>
      <c r="Y1488" t="s">
        <v>36</v>
      </c>
      <c r="Z1488">
        <v>29068.12</v>
      </c>
    </row>
    <row r="1489" spans="1:26" x14ac:dyDescent="0.25">
      <c r="A1489">
        <v>101487</v>
      </c>
      <c r="B1489" s="3">
        <v>45306</v>
      </c>
      <c r="C1489" s="3">
        <v>45307</v>
      </c>
      <c r="D1489" s="3">
        <v>45311</v>
      </c>
      <c r="E1489" t="s">
        <v>3688</v>
      </c>
      <c r="F1489" t="s">
        <v>65</v>
      </c>
      <c r="G1489" t="s">
        <v>154</v>
      </c>
      <c r="H1489" t="s">
        <v>3689</v>
      </c>
      <c r="I1489" t="s">
        <v>139</v>
      </c>
      <c r="J1489" t="s">
        <v>42</v>
      </c>
      <c r="K1489" t="s">
        <v>498</v>
      </c>
      <c r="L1489" t="s">
        <v>98</v>
      </c>
      <c r="M1489" t="s">
        <v>65</v>
      </c>
      <c r="N1489" t="s">
        <v>102</v>
      </c>
      <c r="O1489" t="s">
        <v>103</v>
      </c>
      <c r="P1489" t="s">
        <v>68</v>
      </c>
      <c r="Q1489">
        <v>47</v>
      </c>
      <c r="R1489">
        <v>170.14</v>
      </c>
      <c r="S1489">
        <v>7996.58</v>
      </c>
      <c r="T1489">
        <v>23.38</v>
      </c>
      <c r="U1489">
        <v>4</v>
      </c>
      <c r="V1489">
        <v>5</v>
      </c>
      <c r="W1489">
        <v>1777</v>
      </c>
      <c r="X1489" t="s">
        <v>3741</v>
      </c>
      <c r="Y1489" t="s">
        <v>36</v>
      </c>
      <c r="Z1489">
        <v>1345.33</v>
      </c>
    </row>
    <row r="1490" spans="1:26" x14ac:dyDescent="0.25">
      <c r="A1490">
        <v>101488</v>
      </c>
      <c r="B1490" s="3">
        <v>45292</v>
      </c>
      <c r="C1490" s="3">
        <v>45297</v>
      </c>
      <c r="D1490" s="3">
        <v>45307</v>
      </c>
      <c r="E1490" t="s">
        <v>3690</v>
      </c>
      <c r="F1490" t="s">
        <v>25</v>
      </c>
      <c r="G1490" t="s">
        <v>169</v>
      </c>
      <c r="H1490" t="s">
        <v>3691</v>
      </c>
      <c r="I1490" t="s">
        <v>198</v>
      </c>
      <c r="J1490" t="s">
        <v>52</v>
      </c>
      <c r="K1490" t="s">
        <v>888</v>
      </c>
      <c r="L1490" t="s">
        <v>122</v>
      </c>
      <c r="M1490" t="s">
        <v>54</v>
      </c>
      <c r="N1490" t="s">
        <v>45</v>
      </c>
      <c r="O1490" t="s">
        <v>46</v>
      </c>
      <c r="P1490" t="s">
        <v>123</v>
      </c>
      <c r="Q1490">
        <v>76</v>
      </c>
      <c r="R1490">
        <v>19.89</v>
      </c>
      <c r="S1490">
        <v>1511.64</v>
      </c>
      <c r="T1490">
        <v>12.54</v>
      </c>
      <c r="U1490">
        <v>10</v>
      </c>
      <c r="V1490">
        <v>15</v>
      </c>
      <c r="W1490">
        <v>3972</v>
      </c>
      <c r="X1490" t="s">
        <v>3742</v>
      </c>
      <c r="Y1490" t="s">
        <v>47</v>
      </c>
      <c r="Z1490">
        <v>-203.02</v>
      </c>
    </row>
    <row r="1491" spans="1:26" x14ac:dyDescent="0.25">
      <c r="A1491">
        <v>101489</v>
      </c>
      <c r="B1491" s="3">
        <v>45425</v>
      </c>
      <c r="C1491" s="3">
        <v>45425</v>
      </c>
      <c r="D1491" s="3">
        <v>45442</v>
      </c>
      <c r="E1491" t="s">
        <v>3692</v>
      </c>
      <c r="F1491" t="s">
        <v>65</v>
      </c>
      <c r="G1491" t="s">
        <v>154</v>
      </c>
      <c r="H1491" t="s">
        <v>3693</v>
      </c>
      <c r="I1491" t="s">
        <v>126</v>
      </c>
      <c r="J1491" t="s">
        <v>42</v>
      </c>
      <c r="K1491" t="s">
        <v>1676</v>
      </c>
      <c r="L1491" t="s">
        <v>212</v>
      </c>
      <c r="M1491" t="s">
        <v>54</v>
      </c>
      <c r="N1491" t="s">
        <v>74</v>
      </c>
      <c r="O1491" t="s">
        <v>75</v>
      </c>
      <c r="P1491" t="s">
        <v>76</v>
      </c>
      <c r="Q1491">
        <v>147</v>
      </c>
      <c r="R1491">
        <v>134.24</v>
      </c>
      <c r="S1491">
        <v>19733.28</v>
      </c>
      <c r="T1491">
        <v>10.7</v>
      </c>
      <c r="U1491">
        <v>17</v>
      </c>
      <c r="V1491">
        <v>17</v>
      </c>
      <c r="W1491">
        <v>584</v>
      </c>
      <c r="X1491" t="s">
        <v>188</v>
      </c>
      <c r="Y1491" t="s">
        <v>36</v>
      </c>
      <c r="Z1491">
        <v>2122.27</v>
      </c>
    </row>
    <row r="1492" spans="1:26" x14ac:dyDescent="0.25">
      <c r="A1492">
        <v>101490</v>
      </c>
      <c r="B1492" s="3">
        <v>45738</v>
      </c>
      <c r="C1492" s="3">
        <v>45742</v>
      </c>
      <c r="D1492" s="3">
        <v>45752</v>
      </c>
      <c r="E1492" t="s">
        <v>3694</v>
      </c>
      <c r="F1492" t="s">
        <v>25</v>
      </c>
      <c r="G1492" t="s">
        <v>244</v>
      </c>
      <c r="H1492" t="s">
        <v>3695</v>
      </c>
      <c r="I1492" t="s">
        <v>416</v>
      </c>
      <c r="J1492" t="s">
        <v>80</v>
      </c>
      <c r="K1492" t="s">
        <v>3600</v>
      </c>
      <c r="L1492" t="s">
        <v>98</v>
      </c>
      <c r="M1492" t="s">
        <v>38</v>
      </c>
      <c r="N1492" t="s">
        <v>92</v>
      </c>
      <c r="O1492" t="s">
        <v>93</v>
      </c>
      <c r="P1492" t="s">
        <v>76</v>
      </c>
      <c r="Q1492">
        <v>414</v>
      </c>
      <c r="R1492">
        <v>254.96</v>
      </c>
      <c r="S1492">
        <v>105553.44</v>
      </c>
      <c r="T1492">
        <v>15.56</v>
      </c>
      <c r="U1492">
        <v>10</v>
      </c>
      <c r="V1492">
        <v>14</v>
      </c>
      <c r="W1492">
        <v>886</v>
      </c>
      <c r="X1492" t="s">
        <v>188</v>
      </c>
      <c r="Y1492" t="s">
        <v>36</v>
      </c>
      <c r="Z1492">
        <v>22722.79</v>
      </c>
    </row>
    <row r="1493" spans="1:26" x14ac:dyDescent="0.25">
      <c r="A1493">
        <v>101491</v>
      </c>
      <c r="B1493" s="3">
        <v>45855</v>
      </c>
      <c r="C1493" s="3">
        <v>45855</v>
      </c>
      <c r="D1493" s="3">
        <v>45867</v>
      </c>
      <c r="E1493" t="s">
        <v>3696</v>
      </c>
      <c r="F1493" t="s">
        <v>65</v>
      </c>
      <c r="G1493" t="s">
        <v>142</v>
      </c>
      <c r="H1493" t="s">
        <v>3697</v>
      </c>
      <c r="I1493" t="s">
        <v>278</v>
      </c>
      <c r="J1493" t="s">
        <v>29</v>
      </c>
      <c r="K1493" t="s">
        <v>3698</v>
      </c>
      <c r="L1493" t="s">
        <v>91</v>
      </c>
      <c r="M1493" t="s">
        <v>38</v>
      </c>
      <c r="N1493" t="s">
        <v>203</v>
      </c>
      <c r="O1493" t="s">
        <v>204</v>
      </c>
      <c r="P1493" t="s">
        <v>76</v>
      </c>
      <c r="Q1493">
        <v>368</v>
      </c>
      <c r="R1493">
        <v>89.27</v>
      </c>
      <c r="S1493">
        <v>32851.360000000001</v>
      </c>
      <c r="T1493">
        <v>14.73</v>
      </c>
      <c r="U1493">
        <v>12</v>
      </c>
      <c r="V1493">
        <v>12</v>
      </c>
      <c r="W1493">
        <v>954</v>
      </c>
      <c r="X1493" t="s">
        <v>188</v>
      </c>
      <c r="Y1493" t="s">
        <v>36</v>
      </c>
      <c r="Z1493">
        <v>6354.37</v>
      </c>
    </row>
    <row r="1494" spans="1:26" x14ac:dyDescent="0.25">
      <c r="A1494">
        <v>101492</v>
      </c>
      <c r="B1494" s="3">
        <v>45648</v>
      </c>
      <c r="C1494" s="3">
        <v>45650</v>
      </c>
      <c r="D1494" s="3">
        <v>45654</v>
      </c>
      <c r="E1494" t="s">
        <v>3699</v>
      </c>
      <c r="F1494" t="s">
        <v>65</v>
      </c>
      <c r="G1494" t="s">
        <v>70</v>
      </c>
      <c r="H1494" t="s">
        <v>3700</v>
      </c>
      <c r="I1494" t="s">
        <v>149</v>
      </c>
      <c r="J1494" t="s">
        <v>42</v>
      </c>
      <c r="K1494" t="s">
        <v>2113</v>
      </c>
      <c r="L1494" t="s">
        <v>118</v>
      </c>
      <c r="M1494" t="s">
        <v>65</v>
      </c>
      <c r="N1494" t="s">
        <v>55</v>
      </c>
      <c r="O1494" t="s">
        <v>56</v>
      </c>
      <c r="P1494" t="s">
        <v>68</v>
      </c>
      <c r="Q1494">
        <v>414</v>
      </c>
      <c r="R1494">
        <v>134.56</v>
      </c>
      <c r="S1494">
        <v>55707.839999999997</v>
      </c>
      <c r="T1494">
        <v>40.99</v>
      </c>
      <c r="U1494">
        <v>4</v>
      </c>
      <c r="V1494">
        <v>6</v>
      </c>
      <c r="W1494">
        <v>564</v>
      </c>
      <c r="X1494" t="s">
        <v>3741</v>
      </c>
      <c r="Y1494" t="s">
        <v>36</v>
      </c>
      <c r="Z1494">
        <v>12159.04</v>
      </c>
    </row>
    <row r="1495" spans="1:26" x14ac:dyDescent="0.25">
      <c r="A1495">
        <v>101493</v>
      </c>
      <c r="B1495" s="3">
        <v>45484</v>
      </c>
      <c r="C1495" s="3">
        <v>45487</v>
      </c>
      <c r="D1495" s="3">
        <v>45489</v>
      </c>
      <c r="E1495" t="s">
        <v>3701</v>
      </c>
      <c r="F1495" t="s">
        <v>54</v>
      </c>
      <c r="G1495" t="s">
        <v>129</v>
      </c>
      <c r="H1495" t="s">
        <v>3702</v>
      </c>
      <c r="I1495" t="s">
        <v>134</v>
      </c>
      <c r="J1495" t="s">
        <v>52</v>
      </c>
      <c r="K1495" t="s">
        <v>822</v>
      </c>
      <c r="L1495" t="s">
        <v>98</v>
      </c>
      <c r="M1495" t="s">
        <v>25</v>
      </c>
      <c r="N1495" t="s">
        <v>151</v>
      </c>
      <c r="O1495" t="s">
        <v>152</v>
      </c>
      <c r="P1495" t="s">
        <v>35</v>
      </c>
      <c r="Q1495">
        <v>266</v>
      </c>
      <c r="R1495">
        <v>37.450000000000003</v>
      </c>
      <c r="S1495">
        <v>9961.7000000000007</v>
      </c>
      <c r="T1495">
        <v>20.02</v>
      </c>
      <c r="U1495">
        <v>2</v>
      </c>
      <c r="V1495">
        <v>5</v>
      </c>
      <c r="W1495">
        <v>3735</v>
      </c>
      <c r="X1495" t="s">
        <v>3741</v>
      </c>
      <c r="Y1495" t="s">
        <v>36</v>
      </c>
      <c r="Z1495">
        <v>859.04</v>
      </c>
    </row>
    <row r="1496" spans="1:26" x14ac:dyDescent="0.25">
      <c r="A1496">
        <v>101494</v>
      </c>
      <c r="B1496" s="3">
        <v>45745</v>
      </c>
      <c r="C1496" s="3">
        <v>45745</v>
      </c>
      <c r="D1496" s="3">
        <v>45758</v>
      </c>
      <c r="E1496" t="s">
        <v>3703</v>
      </c>
      <c r="F1496" t="s">
        <v>32</v>
      </c>
      <c r="G1496" t="s">
        <v>137</v>
      </c>
      <c r="H1496" t="s">
        <v>3704</v>
      </c>
      <c r="I1496" t="s">
        <v>116</v>
      </c>
      <c r="J1496" t="s">
        <v>62</v>
      </c>
      <c r="K1496" t="s">
        <v>1584</v>
      </c>
      <c r="L1496" t="s">
        <v>98</v>
      </c>
      <c r="M1496" t="s">
        <v>38</v>
      </c>
      <c r="N1496" t="s">
        <v>102</v>
      </c>
      <c r="O1496" t="s">
        <v>103</v>
      </c>
      <c r="P1496" t="s">
        <v>123</v>
      </c>
      <c r="Q1496">
        <v>139</v>
      </c>
      <c r="R1496">
        <v>13.54</v>
      </c>
      <c r="S1496">
        <v>1882.06</v>
      </c>
      <c r="T1496">
        <v>14.07</v>
      </c>
      <c r="U1496">
        <v>13</v>
      </c>
      <c r="V1496">
        <v>13</v>
      </c>
      <c r="W1496">
        <v>2302</v>
      </c>
      <c r="X1496" t="s">
        <v>188</v>
      </c>
      <c r="Y1496" t="s">
        <v>36</v>
      </c>
      <c r="Z1496">
        <v>89.49</v>
      </c>
    </row>
    <row r="1497" spans="1:26" x14ac:dyDescent="0.25">
      <c r="A1497">
        <v>101495</v>
      </c>
      <c r="B1497" s="3">
        <v>45534</v>
      </c>
      <c r="C1497" s="3">
        <v>45538</v>
      </c>
      <c r="D1497" s="3">
        <v>45563</v>
      </c>
      <c r="E1497" t="s">
        <v>2325</v>
      </c>
      <c r="F1497" t="s">
        <v>65</v>
      </c>
      <c r="G1497" t="s">
        <v>154</v>
      </c>
      <c r="H1497" t="s">
        <v>3705</v>
      </c>
      <c r="I1497" t="s">
        <v>246</v>
      </c>
      <c r="J1497" t="s">
        <v>29</v>
      </c>
      <c r="K1497" t="s">
        <v>1063</v>
      </c>
      <c r="L1497" t="s">
        <v>98</v>
      </c>
      <c r="M1497" t="s">
        <v>25</v>
      </c>
      <c r="N1497" t="s">
        <v>92</v>
      </c>
      <c r="O1497" t="s">
        <v>93</v>
      </c>
      <c r="P1497" t="s">
        <v>76</v>
      </c>
      <c r="Q1497">
        <v>369</v>
      </c>
      <c r="R1497">
        <v>27.72</v>
      </c>
      <c r="S1497">
        <v>10228.68</v>
      </c>
      <c r="T1497">
        <v>14.74</v>
      </c>
      <c r="U1497">
        <v>25</v>
      </c>
      <c r="V1497">
        <v>29</v>
      </c>
      <c r="W1497">
        <v>891</v>
      </c>
      <c r="X1497" t="s">
        <v>188</v>
      </c>
      <c r="Y1497" t="s">
        <v>36</v>
      </c>
      <c r="Z1497">
        <v>1927.04</v>
      </c>
    </row>
    <row r="1498" spans="1:26" x14ac:dyDescent="0.25">
      <c r="A1498">
        <v>101496</v>
      </c>
      <c r="B1498" s="3">
        <v>45342</v>
      </c>
      <c r="C1498" s="3">
        <v>45343</v>
      </c>
      <c r="D1498" s="3">
        <v>45353</v>
      </c>
      <c r="E1498" t="s">
        <v>3706</v>
      </c>
      <c r="F1498" t="s">
        <v>32</v>
      </c>
      <c r="G1498" t="s">
        <v>95</v>
      </c>
      <c r="H1498" t="s">
        <v>3707</v>
      </c>
      <c r="I1498" t="s">
        <v>198</v>
      </c>
      <c r="J1498" t="s">
        <v>52</v>
      </c>
      <c r="K1498" t="s">
        <v>231</v>
      </c>
      <c r="L1498" t="s">
        <v>187</v>
      </c>
      <c r="M1498" t="s">
        <v>54</v>
      </c>
      <c r="N1498" t="s">
        <v>107</v>
      </c>
      <c r="O1498" t="s">
        <v>108</v>
      </c>
      <c r="P1498" t="s">
        <v>35</v>
      </c>
      <c r="Q1498">
        <v>341</v>
      </c>
      <c r="R1498">
        <v>46.67</v>
      </c>
      <c r="S1498">
        <v>15914.47</v>
      </c>
      <c r="T1498">
        <v>22.14</v>
      </c>
      <c r="U1498">
        <v>10</v>
      </c>
      <c r="V1498">
        <v>11</v>
      </c>
      <c r="W1498">
        <v>3023</v>
      </c>
      <c r="X1498" t="s">
        <v>188</v>
      </c>
      <c r="Y1498" t="s">
        <v>36</v>
      </c>
      <c r="Z1498">
        <v>1567.83</v>
      </c>
    </row>
    <row r="1499" spans="1:26" x14ac:dyDescent="0.25">
      <c r="A1499">
        <v>101497</v>
      </c>
      <c r="B1499" s="3">
        <v>45438</v>
      </c>
      <c r="C1499" s="3">
        <v>45442</v>
      </c>
      <c r="D1499" s="3">
        <v>45450</v>
      </c>
      <c r="E1499" t="s">
        <v>3708</v>
      </c>
      <c r="F1499" t="s">
        <v>54</v>
      </c>
      <c r="G1499" t="s">
        <v>165</v>
      </c>
      <c r="H1499" t="s">
        <v>3709</v>
      </c>
      <c r="I1499" t="s">
        <v>41</v>
      </c>
      <c r="J1499" t="s">
        <v>42</v>
      </c>
      <c r="K1499" t="s">
        <v>1691</v>
      </c>
      <c r="L1499" t="s">
        <v>98</v>
      </c>
      <c r="M1499" t="s">
        <v>32</v>
      </c>
      <c r="N1499" t="s">
        <v>74</v>
      </c>
      <c r="O1499" t="s">
        <v>75</v>
      </c>
      <c r="P1499" t="s">
        <v>35</v>
      </c>
      <c r="Q1499">
        <v>83</v>
      </c>
      <c r="R1499">
        <v>85.54</v>
      </c>
      <c r="S1499">
        <v>7099.82</v>
      </c>
      <c r="T1499">
        <v>14.83</v>
      </c>
      <c r="U1499">
        <v>8</v>
      </c>
      <c r="V1499">
        <v>12</v>
      </c>
      <c r="W1499">
        <v>189</v>
      </c>
      <c r="X1499" t="s">
        <v>188</v>
      </c>
      <c r="Y1499" t="s">
        <v>36</v>
      </c>
      <c r="Z1499">
        <v>575.58000000000004</v>
      </c>
    </row>
    <row r="1500" spans="1:26" x14ac:dyDescent="0.25">
      <c r="A1500">
        <v>101498</v>
      </c>
      <c r="B1500" s="3">
        <v>45812</v>
      </c>
      <c r="C1500" s="3">
        <v>45816</v>
      </c>
      <c r="D1500" s="3">
        <v>45824</v>
      </c>
      <c r="E1500" t="s">
        <v>3710</v>
      </c>
      <c r="F1500" t="s">
        <v>38</v>
      </c>
      <c r="G1500" t="s">
        <v>147</v>
      </c>
      <c r="H1500" t="s">
        <v>3711</v>
      </c>
      <c r="I1500" t="s">
        <v>89</v>
      </c>
      <c r="J1500" t="s">
        <v>62</v>
      </c>
      <c r="K1500" t="s">
        <v>1419</v>
      </c>
      <c r="L1500" t="s">
        <v>98</v>
      </c>
      <c r="M1500" t="s">
        <v>32</v>
      </c>
      <c r="N1500" t="s">
        <v>45</v>
      </c>
      <c r="O1500" t="s">
        <v>46</v>
      </c>
      <c r="P1500" t="s">
        <v>68</v>
      </c>
      <c r="Q1500">
        <v>99</v>
      </c>
      <c r="R1500">
        <v>6.49</v>
      </c>
      <c r="S1500">
        <v>642.51</v>
      </c>
      <c r="T1500">
        <v>34.93</v>
      </c>
      <c r="U1500">
        <v>8</v>
      </c>
      <c r="V1500">
        <v>12</v>
      </c>
      <c r="W1500">
        <v>4502</v>
      </c>
      <c r="X1500" t="s">
        <v>188</v>
      </c>
      <c r="Y1500" t="s">
        <v>36</v>
      </c>
      <c r="Z1500">
        <v>59.85</v>
      </c>
    </row>
    <row r="1501" spans="1:26" x14ac:dyDescent="0.25">
      <c r="A1501">
        <v>101499</v>
      </c>
      <c r="B1501" s="3">
        <v>45438</v>
      </c>
      <c r="C1501" s="3">
        <v>45438</v>
      </c>
      <c r="D1501" s="3">
        <v>45449</v>
      </c>
      <c r="E1501" t="s">
        <v>3712</v>
      </c>
      <c r="F1501" t="s">
        <v>38</v>
      </c>
      <c r="G1501" t="s">
        <v>217</v>
      </c>
      <c r="H1501" t="s">
        <v>3713</v>
      </c>
      <c r="I1501" t="s">
        <v>28</v>
      </c>
      <c r="J1501" t="s">
        <v>29</v>
      </c>
      <c r="K1501" t="s">
        <v>3714</v>
      </c>
      <c r="L1501" t="s">
        <v>187</v>
      </c>
      <c r="M1501" t="s">
        <v>54</v>
      </c>
      <c r="N1501" t="s">
        <v>74</v>
      </c>
      <c r="O1501" t="s">
        <v>75</v>
      </c>
      <c r="P1501" t="s">
        <v>123</v>
      </c>
      <c r="Q1501">
        <v>457</v>
      </c>
      <c r="R1501">
        <v>25.36</v>
      </c>
      <c r="S1501">
        <v>11589.52</v>
      </c>
      <c r="T1501">
        <v>21.8</v>
      </c>
      <c r="U1501">
        <v>11</v>
      </c>
      <c r="V1501">
        <v>11</v>
      </c>
      <c r="W1501">
        <v>1145</v>
      </c>
      <c r="X1501" t="s">
        <v>188</v>
      </c>
      <c r="Y1501" t="s">
        <v>36</v>
      </c>
      <c r="Z1501">
        <v>628.58000000000004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914E-71C3-4803-9088-E076888E857D}">
  <dimension ref="A1:X1501"/>
  <sheetViews>
    <sheetView zoomScaleNormal="100" workbookViewId="0">
      <selection activeCell="E13" sqref="E13"/>
    </sheetView>
  </sheetViews>
  <sheetFormatPr defaultRowHeight="15" x14ac:dyDescent="0.25"/>
  <cols>
    <col min="1" max="1" width="10.85546875" style="2" bestFit="1" customWidth="1"/>
    <col min="2" max="2" width="13.140625" style="1" bestFit="1" customWidth="1"/>
    <col min="3" max="3" width="16.85546875" style="1" bestFit="1" customWidth="1"/>
    <col min="4" max="4" width="15.7109375" style="1" bestFit="1" customWidth="1"/>
    <col min="5" max="5" width="14.7109375" bestFit="1" customWidth="1"/>
    <col min="6" max="6" width="19.140625" bestFit="1" customWidth="1"/>
    <col min="7" max="7" width="20.28515625" bestFit="1" customWidth="1"/>
    <col min="8" max="8" width="12.7109375" bestFit="1" customWidth="1"/>
    <col min="9" max="9" width="18.7109375" bestFit="1" customWidth="1"/>
    <col min="10" max="10" width="19" bestFit="1" customWidth="1"/>
    <col min="11" max="11" width="13.28515625" bestFit="1" customWidth="1"/>
    <col min="12" max="12" width="19.85546875" bestFit="1" customWidth="1"/>
    <col min="13" max="13" width="17.7109375" bestFit="1" customWidth="1"/>
    <col min="14" max="14" width="16.140625" bestFit="1" customWidth="1"/>
    <col min="15" max="15" width="22" bestFit="1" customWidth="1"/>
    <col min="16" max="16" width="22.140625" bestFit="1" customWidth="1"/>
    <col min="17" max="17" width="16.7109375" bestFit="1" customWidth="1"/>
    <col min="18" max="18" width="12" bestFit="1" customWidth="1"/>
    <col min="19" max="19" width="12.42578125" bestFit="1" customWidth="1"/>
    <col min="20" max="20" width="16" bestFit="1" customWidth="1"/>
    <col min="21" max="21" width="20.85546875" bestFit="1" customWidth="1"/>
    <col min="22" max="22" width="17.28515625" bestFit="1" customWidth="1"/>
    <col min="23" max="23" width="14.5703125" bestFit="1" customWidth="1"/>
    <col min="24" max="24" width="9" bestFit="1" customWidth="1"/>
  </cols>
  <sheetData>
    <row r="1" spans="1:24" x14ac:dyDescent="0.25">
      <c r="A1" s="2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2">
        <v>100000</v>
      </c>
      <c r="B2" s="1">
        <v>45394</v>
      </c>
      <c r="C2" s="1">
        <v>45397</v>
      </c>
      <c r="D2" s="1">
        <v>45406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224</v>
      </c>
      <c r="R2">
        <v>16.39</v>
      </c>
      <c r="S2">
        <v>3671.36</v>
      </c>
      <c r="T2">
        <v>18.82</v>
      </c>
      <c r="U2">
        <v>9</v>
      </c>
      <c r="V2">
        <v>2285</v>
      </c>
      <c r="W2" t="s">
        <v>36</v>
      </c>
      <c r="X2">
        <v>668.08</v>
      </c>
    </row>
    <row r="3" spans="1:24" x14ac:dyDescent="0.25">
      <c r="A3" s="2">
        <v>100001</v>
      </c>
      <c r="B3" s="1">
        <v>45705</v>
      </c>
      <c r="C3" s="1">
        <v>45710</v>
      </c>
      <c r="D3" s="1">
        <v>45713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32</v>
      </c>
      <c r="N3" t="s">
        <v>45</v>
      </c>
      <c r="O3" t="s">
        <v>46</v>
      </c>
      <c r="P3" t="s">
        <v>35</v>
      </c>
      <c r="Q3">
        <v>323</v>
      </c>
      <c r="R3">
        <v>264.66000000000003</v>
      </c>
      <c r="S3">
        <v>85485.18</v>
      </c>
      <c r="T3">
        <v>21.63</v>
      </c>
      <c r="U3">
        <v>3</v>
      </c>
      <c r="V3">
        <v>797</v>
      </c>
      <c r="W3" t="s">
        <v>47</v>
      </c>
      <c r="X3">
        <v>-21.2</v>
      </c>
    </row>
    <row r="4" spans="1:24" x14ac:dyDescent="0.25">
      <c r="A4" s="2">
        <v>100002</v>
      </c>
      <c r="B4" s="1">
        <v>45991</v>
      </c>
      <c r="C4" s="1">
        <v>45996</v>
      </c>
      <c r="D4" s="1">
        <v>46000</v>
      </c>
      <c r="E4" t="s">
        <v>48</v>
      </c>
      <c r="F4" t="s">
        <v>38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31</v>
      </c>
      <c r="M4" t="s">
        <v>54</v>
      </c>
      <c r="N4" t="s">
        <v>55</v>
      </c>
      <c r="O4" t="s">
        <v>56</v>
      </c>
      <c r="P4" t="s">
        <v>35</v>
      </c>
      <c r="Q4">
        <v>140</v>
      </c>
      <c r="R4">
        <v>78.52</v>
      </c>
      <c r="S4">
        <v>10992.8</v>
      </c>
      <c r="T4">
        <v>16.440000000000001</v>
      </c>
      <c r="U4">
        <v>4</v>
      </c>
      <c r="V4">
        <v>846</v>
      </c>
      <c r="W4" t="s">
        <v>57</v>
      </c>
      <c r="X4">
        <v>2109.0700000000002</v>
      </c>
    </row>
    <row r="5" spans="1:24" x14ac:dyDescent="0.25">
      <c r="A5" s="2">
        <v>100003</v>
      </c>
      <c r="B5" s="1">
        <v>45533</v>
      </c>
      <c r="C5" s="1">
        <v>45534</v>
      </c>
      <c r="D5" s="1">
        <v>45538</v>
      </c>
      <c r="E5" t="s">
        <v>58</v>
      </c>
      <c r="F5" t="s">
        <v>25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>
        <v>437</v>
      </c>
      <c r="R5">
        <v>27.28</v>
      </c>
      <c r="S5">
        <v>11921.36</v>
      </c>
      <c r="T5">
        <v>56.83</v>
      </c>
      <c r="U5">
        <v>4</v>
      </c>
      <c r="V5">
        <v>4314</v>
      </c>
      <c r="W5" t="s">
        <v>36</v>
      </c>
      <c r="X5">
        <v>821.66</v>
      </c>
    </row>
    <row r="6" spans="1:24" x14ac:dyDescent="0.25">
      <c r="A6" s="2">
        <v>100004</v>
      </c>
      <c r="B6" s="1">
        <v>45681</v>
      </c>
      <c r="C6" s="1">
        <v>45686</v>
      </c>
      <c r="D6" s="1">
        <v>45705</v>
      </c>
      <c r="E6" t="s">
        <v>69</v>
      </c>
      <c r="F6" t="s">
        <v>65</v>
      </c>
      <c r="G6" t="s">
        <v>70</v>
      </c>
      <c r="H6" t="s">
        <v>71</v>
      </c>
      <c r="I6" t="s">
        <v>72</v>
      </c>
      <c r="J6" t="s">
        <v>42</v>
      </c>
      <c r="K6" t="s">
        <v>73</v>
      </c>
      <c r="L6" t="s">
        <v>44</v>
      </c>
      <c r="M6" t="s">
        <v>65</v>
      </c>
      <c r="N6" t="s">
        <v>74</v>
      </c>
      <c r="O6" t="s">
        <v>75</v>
      </c>
      <c r="P6" t="s">
        <v>76</v>
      </c>
      <c r="Q6">
        <v>211</v>
      </c>
      <c r="R6">
        <v>408.98</v>
      </c>
      <c r="S6">
        <v>86294.78</v>
      </c>
      <c r="T6">
        <v>8.7899999999999991</v>
      </c>
      <c r="U6">
        <v>19</v>
      </c>
      <c r="V6">
        <v>319</v>
      </c>
      <c r="W6" t="s">
        <v>36</v>
      </c>
      <c r="X6">
        <v>13786.48</v>
      </c>
    </row>
    <row r="7" spans="1:24" x14ac:dyDescent="0.25">
      <c r="A7" s="2">
        <v>100005</v>
      </c>
      <c r="B7" s="1">
        <v>45993</v>
      </c>
      <c r="C7" s="1">
        <v>45997</v>
      </c>
      <c r="D7" s="1">
        <v>46002</v>
      </c>
      <c r="E7" t="s">
        <v>77</v>
      </c>
      <c r="F7" t="s">
        <v>25</v>
      </c>
      <c r="G7" t="s">
        <v>26</v>
      </c>
      <c r="H7" t="s">
        <v>78</v>
      </c>
      <c r="I7" t="s">
        <v>79</v>
      </c>
      <c r="J7" t="s">
        <v>80</v>
      </c>
      <c r="K7" t="s">
        <v>81</v>
      </c>
      <c r="L7" t="s">
        <v>44</v>
      </c>
      <c r="M7" t="s">
        <v>54</v>
      </c>
      <c r="N7" t="s">
        <v>33</v>
      </c>
      <c r="O7" t="s">
        <v>34</v>
      </c>
      <c r="P7" t="s">
        <v>68</v>
      </c>
      <c r="Q7">
        <v>261</v>
      </c>
      <c r="R7">
        <v>228.18</v>
      </c>
      <c r="S7">
        <v>59554.98</v>
      </c>
      <c r="T7">
        <v>45.42</v>
      </c>
      <c r="U7">
        <v>5</v>
      </c>
      <c r="V7">
        <v>542</v>
      </c>
      <c r="W7" t="s">
        <v>36</v>
      </c>
      <c r="X7">
        <v>7811.56</v>
      </c>
    </row>
    <row r="8" spans="1:24" x14ac:dyDescent="0.25">
      <c r="A8" s="2">
        <v>100006</v>
      </c>
      <c r="B8" s="1">
        <v>45635</v>
      </c>
      <c r="C8" s="1">
        <v>45635</v>
      </c>
      <c r="D8" s="1">
        <v>45639</v>
      </c>
      <c r="E8" t="s">
        <v>82</v>
      </c>
      <c r="F8" t="s">
        <v>38</v>
      </c>
      <c r="G8" t="s">
        <v>83</v>
      </c>
      <c r="H8" t="s">
        <v>84</v>
      </c>
      <c r="I8" t="s">
        <v>85</v>
      </c>
      <c r="J8" t="s">
        <v>52</v>
      </c>
      <c r="K8" t="s">
        <v>86</v>
      </c>
      <c r="L8" t="s">
        <v>44</v>
      </c>
      <c r="M8" t="s">
        <v>25</v>
      </c>
      <c r="N8" t="s">
        <v>45</v>
      </c>
      <c r="O8" t="s">
        <v>46</v>
      </c>
      <c r="P8" t="s">
        <v>68</v>
      </c>
      <c r="Q8">
        <v>401</v>
      </c>
      <c r="R8">
        <v>67.78</v>
      </c>
      <c r="S8">
        <v>27179.78</v>
      </c>
      <c r="T8">
        <v>54.5</v>
      </c>
      <c r="U8">
        <v>4</v>
      </c>
      <c r="V8">
        <v>3761</v>
      </c>
      <c r="W8" t="s">
        <v>36</v>
      </c>
      <c r="X8">
        <v>4897.75</v>
      </c>
    </row>
    <row r="9" spans="1:24" x14ac:dyDescent="0.25">
      <c r="A9" s="2">
        <v>100007</v>
      </c>
      <c r="B9" s="1">
        <v>45324</v>
      </c>
      <c r="C9" s="1">
        <v>45329</v>
      </c>
      <c r="D9" s="1">
        <v>45334</v>
      </c>
      <c r="E9" t="s">
        <v>87</v>
      </c>
      <c r="F9" t="s">
        <v>25</v>
      </c>
      <c r="G9" t="s">
        <v>59</v>
      </c>
      <c r="H9" t="s">
        <v>88</v>
      </c>
      <c r="I9" t="s">
        <v>89</v>
      </c>
      <c r="J9" t="s">
        <v>62</v>
      </c>
      <c r="K9" t="s">
        <v>90</v>
      </c>
      <c r="L9" t="s">
        <v>91</v>
      </c>
      <c r="M9" t="s">
        <v>65</v>
      </c>
      <c r="N9" t="s">
        <v>92</v>
      </c>
      <c r="O9" t="s">
        <v>93</v>
      </c>
      <c r="P9" t="s">
        <v>68</v>
      </c>
      <c r="Q9">
        <v>110</v>
      </c>
      <c r="R9">
        <v>48.73</v>
      </c>
      <c r="S9">
        <v>5360.3</v>
      </c>
      <c r="T9">
        <v>35.64</v>
      </c>
      <c r="U9">
        <v>5</v>
      </c>
      <c r="V9">
        <v>2990</v>
      </c>
      <c r="W9" t="s">
        <v>36</v>
      </c>
      <c r="X9">
        <v>769.61</v>
      </c>
    </row>
    <row r="10" spans="1:24" x14ac:dyDescent="0.25">
      <c r="A10" s="2">
        <v>100008</v>
      </c>
      <c r="B10" s="1">
        <v>45684</v>
      </c>
      <c r="C10" s="1">
        <v>45685</v>
      </c>
      <c r="D10" s="1">
        <v>45687</v>
      </c>
      <c r="E10" t="s">
        <v>94</v>
      </c>
      <c r="F10" t="s">
        <v>32</v>
      </c>
      <c r="G10" t="s">
        <v>95</v>
      </c>
      <c r="H10" t="s">
        <v>96</v>
      </c>
      <c r="I10" t="s">
        <v>28</v>
      </c>
      <c r="J10" t="s">
        <v>29</v>
      </c>
      <c r="K10" t="s">
        <v>97</v>
      </c>
      <c r="L10" t="s">
        <v>98</v>
      </c>
      <c r="M10" t="s">
        <v>25</v>
      </c>
      <c r="N10" t="s">
        <v>55</v>
      </c>
      <c r="O10" t="s">
        <v>56</v>
      </c>
      <c r="P10" t="s">
        <v>68</v>
      </c>
      <c r="Q10">
        <v>250</v>
      </c>
      <c r="R10">
        <v>44.58</v>
      </c>
      <c r="S10">
        <v>11145</v>
      </c>
      <c r="T10">
        <v>44.71</v>
      </c>
      <c r="U10">
        <v>2</v>
      </c>
      <c r="V10">
        <v>245</v>
      </c>
      <c r="W10" t="s">
        <v>36</v>
      </c>
      <c r="X10">
        <v>1380.36</v>
      </c>
    </row>
    <row r="11" spans="1:24" x14ac:dyDescent="0.25">
      <c r="A11" s="2">
        <v>100009</v>
      </c>
      <c r="B11" s="1">
        <v>45946</v>
      </c>
      <c r="C11" s="1">
        <v>45948</v>
      </c>
      <c r="D11" s="1">
        <v>45970</v>
      </c>
      <c r="E11" t="s">
        <v>99</v>
      </c>
      <c r="F11" t="s">
        <v>38</v>
      </c>
      <c r="G11" t="s">
        <v>49</v>
      </c>
      <c r="H11" t="s">
        <v>100</v>
      </c>
      <c r="I11" t="s">
        <v>61</v>
      </c>
      <c r="J11" t="s">
        <v>62</v>
      </c>
      <c r="K11" t="s">
        <v>101</v>
      </c>
      <c r="L11" t="s">
        <v>91</v>
      </c>
      <c r="M11" t="s">
        <v>65</v>
      </c>
      <c r="N11" t="s">
        <v>102</v>
      </c>
      <c r="O11" t="s">
        <v>103</v>
      </c>
      <c r="P11" t="s">
        <v>76</v>
      </c>
      <c r="Q11">
        <v>179</v>
      </c>
      <c r="R11">
        <v>41.37</v>
      </c>
      <c r="S11">
        <v>7405.23</v>
      </c>
      <c r="T11">
        <v>11.28</v>
      </c>
      <c r="U11">
        <v>22</v>
      </c>
      <c r="V11">
        <v>3360</v>
      </c>
      <c r="W11" t="s">
        <v>36</v>
      </c>
      <c r="X11">
        <v>538.59</v>
      </c>
    </row>
    <row r="12" spans="1:24" x14ac:dyDescent="0.25">
      <c r="A12" s="2">
        <v>100010</v>
      </c>
      <c r="B12" s="1">
        <v>45622</v>
      </c>
      <c r="C12" s="1">
        <v>45623</v>
      </c>
      <c r="D12" s="1">
        <v>45639</v>
      </c>
      <c r="E12" t="s">
        <v>104</v>
      </c>
      <c r="F12" t="s">
        <v>65</v>
      </c>
      <c r="G12" t="s">
        <v>70</v>
      </c>
      <c r="H12" t="s">
        <v>105</v>
      </c>
      <c r="I12" t="s">
        <v>89</v>
      </c>
      <c r="J12" t="s">
        <v>62</v>
      </c>
      <c r="K12" t="s">
        <v>106</v>
      </c>
      <c r="L12" t="s">
        <v>64</v>
      </c>
      <c r="M12" t="s">
        <v>54</v>
      </c>
      <c r="N12" t="s">
        <v>107</v>
      </c>
      <c r="O12" t="s">
        <v>108</v>
      </c>
      <c r="P12" t="s">
        <v>76</v>
      </c>
      <c r="Q12">
        <v>292</v>
      </c>
      <c r="R12">
        <v>24.22</v>
      </c>
      <c r="S12">
        <v>7072.24</v>
      </c>
      <c r="T12">
        <v>13.34</v>
      </c>
      <c r="U12">
        <v>16</v>
      </c>
      <c r="V12">
        <v>2975</v>
      </c>
      <c r="W12" t="s">
        <v>36</v>
      </c>
      <c r="X12">
        <v>491.66</v>
      </c>
    </row>
    <row r="13" spans="1:24" x14ac:dyDescent="0.25">
      <c r="A13" s="2">
        <v>100011</v>
      </c>
      <c r="B13" s="1">
        <v>45609</v>
      </c>
      <c r="C13" s="1">
        <v>45613</v>
      </c>
      <c r="D13" s="1">
        <v>45620</v>
      </c>
      <c r="E13" t="s">
        <v>109</v>
      </c>
      <c r="F13" t="s">
        <v>32</v>
      </c>
      <c r="G13" t="s">
        <v>110</v>
      </c>
      <c r="H13" t="s">
        <v>111</v>
      </c>
      <c r="I13" t="s">
        <v>28</v>
      </c>
      <c r="J13" t="s">
        <v>29</v>
      </c>
      <c r="K13" t="s">
        <v>112</v>
      </c>
      <c r="L13" t="s">
        <v>113</v>
      </c>
      <c r="M13" t="s">
        <v>54</v>
      </c>
      <c r="N13" t="s">
        <v>92</v>
      </c>
      <c r="O13" t="s">
        <v>93</v>
      </c>
      <c r="P13" t="s">
        <v>35</v>
      </c>
      <c r="Q13">
        <v>383</v>
      </c>
      <c r="R13">
        <v>34.06</v>
      </c>
      <c r="S13">
        <v>13044.98</v>
      </c>
      <c r="T13">
        <v>23.33</v>
      </c>
      <c r="U13">
        <v>7</v>
      </c>
      <c r="V13">
        <v>1645</v>
      </c>
      <c r="W13" t="s">
        <v>36</v>
      </c>
      <c r="X13">
        <v>3816.54</v>
      </c>
    </row>
    <row r="14" spans="1:24" x14ac:dyDescent="0.25">
      <c r="A14" s="2">
        <v>100012</v>
      </c>
      <c r="B14" s="1">
        <v>45801</v>
      </c>
      <c r="C14" s="1">
        <v>45802</v>
      </c>
      <c r="D14" s="1">
        <v>45814</v>
      </c>
      <c r="E14" t="s">
        <v>114</v>
      </c>
      <c r="F14" t="s">
        <v>65</v>
      </c>
      <c r="G14" t="s">
        <v>70</v>
      </c>
      <c r="H14" t="s">
        <v>115</v>
      </c>
      <c r="I14" t="s">
        <v>116</v>
      </c>
      <c r="J14" t="s">
        <v>62</v>
      </c>
      <c r="K14" t="s">
        <v>117</v>
      </c>
      <c r="L14" t="s">
        <v>118</v>
      </c>
      <c r="M14" t="s">
        <v>65</v>
      </c>
      <c r="N14" t="s">
        <v>55</v>
      </c>
      <c r="O14" t="s">
        <v>56</v>
      </c>
      <c r="P14" t="s">
        <v>76</v>
      </c>
      <c r="Q14">
        <v>139</v>
      </c>
      <c r="R14">
        <v>23.5</v>
      </c>
      <c r="S14">
        <v>3266.5</v>
      </c>
      <c r="T14">
        <v>7.82</v>
      </c>
      <c r="U14">
        <v>12</v>
      </c>
      <c r="V14">
        <v>1154</v>
      </c>
      <c r="W14" t="s">
        <v>36</v>
      </c>
      <c r="X14">
        <v>257.23</v>
      </c>
    </row>
    <row r="15" spans="1:24" x14ac:dyDescent="0.25">
      <c r="A15" s="2">
        <v>100013</v>
      </c>
      <c r="B15" s="1">
        <v>45975</v>
      </c>
      <c r="C15" s="1">
        <v>45976</v>
      </c>
      <c r="D15" s="1">
        <v>45985</v>
      </c>
      <c r="E15" t="s">
        <v>119</v>
      </c>
      <c r="F15" t="s">
        <v>38</v>
      </c>
      <c r="G15" t="s">
        <v>39</v>
      </c>
      <c r="H15" t="s">
        <v>120</v>
      </c>
      <c r="I15" t="s">
        <v>28</v>
      </c>
      <c r="J15" t="s">
        <v>29</v>
      </c>
      <c r="K15" t="s">
        <v>121</v>
      </c>
      <c r="L15" t="s">
        <v>122</v>
      </c>
      <c r="M15" t="s">
        <v>38</v>
      </c>
      <c r="N15" t="s">
        <v>92</v>
      </c>
      <c r="O15" t="s">
        <v>93</v>
      </c>
      <c r="P15" t="s">
        <v>123</v>
      </c>
      <c r="Q15">
        <v>193</v>
      </c>
      <c r="R15">
        <v>36.14</v>
      </c>
      <c r="S15">
        <v>6975.02</v>
      </c>
      <c r="T15">
        <v>11.39</v>
      </c>
      <c r="U15">
        <v>9</v>
      </c>
      <c r="V15">
        <v>916</v>
      </c>
      <c r="W15" t="s">
        <v>36</v>
      </c>
      <c r="X15">
        <v>2057.9899999999998</v>
      </c>
    </row>
    <row r="16" spans="1:24" x14ac:dyDescent="0.25">
      <c r="A16" s="2">
        <v>100014</v>
      </c>
      <c r="B16" s="1">
        <v>45802</v>
      </c>
      <c r="C16" s="1">
        <v>45802</v>
      </c>
      <c r="D16" s="1">
        <v>45812</v>
      </c>
      <c r="E16" t="s">
        <v>124</v>
      </c>
      <c r="F16" t="s">
        <v>25</v>
      </c>
      <c r="G16" t="s">
        <v>59</v>
      </c>
      <c r="H16" t="s">
        <v>125</v>
      </c>
      <c r="I16" t="s">
        <v>126</v>
      </c>
      <c r="J16" t="s">
        <v>42</v>
      </c>
      <c r="K16" t="s">
        <v>127</v>
      </c>
      <c r="L16" t="s">
        <v>122</v>
      </c>
      <c r="M16" t="s">
        <v>54</v>
      </c>
      <c r="N16" t="s">
        <v>55</v>
      </c>
      <c r="O16" t="s">
        <v>56</v>
      </c>
      <c r="P16" t="s">
        <v>35</v>
      </c>
      <c r="Q16">
        <v>157</v>
      </c>
      <c r="R16">
        <v>187.12</v>
      </c>
      <c r="S16">
        <v>29377.84</v>
      </c>
      <c r="T16">
        <v>16.920000000000002</v>
      </c>
      <c r="U16">
        <v>10</v>
      </c>
      <c r="V16">
        <v>452</v>
      </c>
      <c r="W16" t="s">
        <v>36</v>
      </c>
      <c r="X16">
        <v>3767.33</v>
      </c>
    </row>
    <row r="17" spans="1:24" x14ac:dyDescent="0.25">
      <c r="A17" s="2">
        <v>100015</v>
      </c>
      <c r="B17" s="1">
        <v>45780</v>
      </c>
      <c r="C17" s="1">
        <v>45780</v>
      </c>
      <c r="D17" s="1">
        <v>45789</v>
      </c>
      <c r="E17" t="s">
        <v>128</v>
      </c>
      <c r="F17" t="s">
        <v>54</v>
      </c>
      <c r="G17" t="s">
        <v>129</v>
      </c>
      <c r="H17" t="s">
        <v>130</v>
      </c>
      <c r="I17" t="s">
        <v>51</v>
      </c>
      <c r="J17" t="s">
        <v>52</v>
      </c>
      <c r="K17" t="s">
        <v>131</v>
      </c>
      <c r="L17" t="s">
        <v>118</v>
      </c>
      <c r="M17" t="s">
        <v>65</v>
      </c>
      <c r="N17" t="s">
        <v>102</v>
      </c>
      <c r="O17" t="s">
        <v>103</v>
      </c>
      <c r="P17" t="s">
        <v>35</v>
      </c>
      <c r="Q17">
        <v>276</v>
      </c>
      <c r="R17">
        <v>35.97</v>
      </c>
      <c r="S17">
        <v>9927.7199999999993</v>
      </c>
      <c r="T17">
        <v>20.3</v>
      </c>
      <c r="U17">
        <v>9</v>
      </c>
      <c r="V17">
        <v>4261</v>
      </c>
      <c r="W17" t="s">
        <v>36</v>
      </c>
      <c r="X17">
        <v>900.44</v>
      </c>
    </row>
    <row r="18" spans="1:24" x14ac:dyDescent="0.25">
      <c r="A18" s="2">
        <v>100016</v>
      </c>
      <c r="B18" s="1">
        <v>45863</v>
      </c>
      <c r="C18" s="1">
        <v>45863</v>
      </c>
      <c r="D18" s="1">
        <v>45866</v>
      </c>
      <c r="E18" t="s">
        <v>132</v>
      </c>
      <c r="F18" t="s">
        <v>25</v>
      </c>
      <c r="G18" t="s">
        <v>26</v>
      </c>
      <c r="H18" t="s">
        <v>133</v>
      </c>
      <c r="I18" t="s">
        <v>134</v>
      </c>
      <c r="J18" t="s">
        <v>52</v>
      </c>
      <c r="K18" t="s">
        <v>135</v>
      </c>
      <c r="L18" t="s">
        <v>64</v>
      </c>
      <c r="M18" t="s">
        <v>25</v>
      </c>
      <c r="N18" t="s">
        <v>107</v>
      </c>
      <c r="O18" t="s">
        <v>108</v>
      </c>
      <c r="P18" t="s">
        <v>35</v>
      </c>
      <c r="Q18">
        <v>242</v>
      </c>
      <c r="R18">
        <v>36.64</v>
      </c>
      <c r="S18">
        <v>8866.8799999999992</v>
      </c>
      <c r="T18">
        <v>14.32</v>
      </c>
      <c r="U18">
        <v>3</v>
      </c>
      <c r="V18">
        <v>2455</v>
      </c>
      <c r="W18" t="s">
        <v>36</v>
      </c>
      <c r="X18">
        <v>1505.32</v>
      </c>
    </row>
    <row r="19" spans="1:24" x14ac:dyDescent="0.25">
      <c r="A19" s="2">
        <v>100017</v>
      </c>
      <c r="B19" s="1">
        <v>45878</v>
      </c>
      <c r="C19" s="1">
        <v>45878</v>
      </c>
      <c r="D19" s="1">
        <v>45889</v>
      </c>
      <c r="E19" t="s">
        <v>136</v>
      </c>
      <c r="F19" t="s">
        <v>32</v>
      </c>
      <c r="G19" t="s">
        <v>137</v>
      </c>
      <c r="H19" t="s">
        <v>138</v>
      </c>
      <c r="I19" t="s">
        <v>139</v>
      </c>
      <c r="J19" t="s">
        <v>42</v>
      </c>
      <c r="K19" t="s">
        <v>140</v>
      </c>
      <c r="L19" t="s">
        <v>118</v>
      </c>
      <c r="M19" t="s">
        <v>32</v>
      </c>
      <c r="N19" t="s">
        <v>102</v>
      </c>
      <c r="O19" t="s">
        <v>103</v>
      </c>
      <c r="P19" t="s">
        <v>123</v>
      </c>
      <c r="Q19">
        <v>236</v>
      </c>
      <c r="R19">
        <v>205.19</v>
      </c>
      <c r="S19">
        <v>48424.84</v>
      </c>
      <c r="T19">
        <v>12.17</v>
      </c>
      <c r="U19">
        <v>11</v>
      </c>
      <c r="V19">
        <v>1546</v>
      </c>
      <c r="W19" t="s">
        <v>57</v>
      </c>
      <c r="X19">
        <v>4952.01</v>
      </c>
    </row>
    <row r="20" spans="1:24" x14ac:dyDescent="0.25">
      <c r="A20" s="2">
        <v>100018</v>
      </c>
      <c r="B20" s="1">
        <v>45454</v>
      </c>
      <c r="C20" s="1">
        <v>45458</v>
      </c>
      <c r="D20" s="1">
        <v>45468</v>
      </c>
      <c r="E20" t="s">
        <v>141</v>
      </c>
      <c r="F20" t="s">
        <v>65</v>
      </c>
      <c r="G20" t="s">
        <v>142</v>
      </c>
      <c r="H20" t="s">
        <v>143</v>
      </c>
      <c r="I20" t="s">
        <v>144</v>
      </c>
      <c r="J20" t="s">
        <v>52</v>
      </c>
      <c r="K20" t="s">
        <v>145</v>
      </c>
      <c r="L20" t="s">
        <v>31</v>
      </c>
      <c r="M20" t="s">
        <v>32</v>
      </c>
      <c r="N20" t="s">
        <v>74</v>
      </c>
      <c r="O20" t="s">
        <v>75</v>
      </c>
      <c r="P20" t="s">
        <v>35</v>
      </c>
      <c r="Q20">
        <v>286</v>
      </c>
      <c r="R20">
        <v>22.66</v>
      </c>
      <c r="S20">
        <v>6480.76</v>
      </c>
      <c r="T20">
        <v>20.58</v>
      </c>
      <c r="U20">
        <v>10</v>
      </c>
      <c r="V20">
        <v>1727</v>
      </c>
      <c r="W20" t="s">
        <v>36</v>
      </c>
      <c r="X20">
        <v>987.11</v>
      </c>
    </row>
    <row r="21" spans="1:24" x14ac:dyDescent="0.25">
      <c r="A21" s="2">
        <v>100019</v>
      </c>
      <c r="B21" s="1">
        <v>45751</v>
      </c>
      <c r="C21" s="1">
        <v>45753</v>
      </c>
      <c r="D21" s="1">
        <v>45765</v>
      </c>
      <c r="E21" t="s">
        <v>146</v>
      </c>
      <c r="F21" t="s">
        <v>38</v>
      </c>
      <c r="G21" t="s">
        <v>147</v>
      </c>
      <c r="H21" t="s">
        <v>148</v>
      </c>
      <c r="I21" t="s">
        <v>149</v>
      </c>
      <c r="J21" t="s">
        <v>42</v>
      </c>
      <c r="K21" t="s">
        <v>150</v>
      </c>
      <c r="L21" t="s">
        <v>64</v>
      </c>
      <c r="M21" t="s">
        <v>54</v>
      </c>
      <c r="N21" t="s">
        <v>151</v>
      </c>
      <c r="O21" t="s">
        <v>152</v>
      </c>
      <c r="P21" t="s">
        <v>76</v>
      </c>
      <c r="Q21">
        <v>47</v>
      </c>
      <c r="R21">
        <v>441.77</v>
      </c>
      <c r="S21">
        <v>20763.189999999999</v>
      </c>
      <c r="T21">
        <v>8.8800000000000008</v>
      </c>
      <c r="U21">
        <v>12</v>
      </c>
      <c r="V21">
        <v>612</v>
      </c>
      <c r="W21" t="s">
        <v>36</v>
      </c>
      <c r="X21">
        <v>3962.57</v>
      </c>
    </row>
    <row r="22" spans="1:24" x14ac:dyDescent="0.25">
      <c r="A22" s="2">
        <v>100020</v>
      </c>
      <c r="B22" s="1">
        <v>45575</v>
      </c>
      <c r="C22" s="1">
        <v>45575</v>
      </c>
      <c r="D22" s="1">
        <v>45581</v>
      </c>
      <c r="E22" t="s">
        <v>153</v>
      </c>
      <c r="F22" t="s">
        <v>65</v>
      </c>
      <c r="G22" t="s">
        <v>154</v>
      </c>
      <c r="H22" t="s">
        <v>155</v>
      </c>
      <c r="I22" t="s">
        <v>89</v>
      </c>
      <c r="J22" t="s">
        <v>62</v>
      </c>
      <c r="K22" t="s">
        <v>156</v>
      </c>
      <c r="L22" t="s">
        <v>31</v>
      </c>
      <c r="M22" t="s">
        <v>38</v>
      </c>
      <c r="N22" t="s">
        <v>33</v>
      </c>
      <c r="O22" t="s">
        <v>34</v>
      </c>
      <c r="P22" t="s">
        <v>35</v>
      </c>
      <c r="Q22">
        <v>229</v>
      </c>
      <c r="R22">
        <v>26.15</v>
      </c>
      <c r="S22">
        <v>5988.35</v>
      </c>
      <c r="T22">
        <v>18.97</v>
      </c>
      <c r="U22">
        <v>6</v>
      </c>
      <c r="V22">
        <v>1369</v>
      </c>
      <c r="W22" t="s">
        <v>36</v>
      </c>
      <c r="X22">
        <v>292.48</v>
      </c>
    </row>
    <row r="23" spans="1:24" x14ac:dyDescent="0.25">
      <c r="A23" s="2">
        <v>100021</v>
      </c>
      <c r="B23" s="1">
        <v>45788</v>
      </c>
      <c r="C23" s="1">
        <v>45793</v>
      </c>
      <c r="D23" s="1">
        <v>45799</v>
      </c>
      <c r="E23" t="s">
        <v>157</v>
      </c>
      <c r="F23" t="s">
        <v>54</v>
      </c>
      <c r="G23" t="s">
        <v>158</v>
      </c>
      <c r="H23" t="s">
        <v>159</v>
      </c>
      <c r="I23" t="s">
        <v>85</v>
      </c>
      <c r="J23" t="s">
        <v>52</v>
      </c>
      <c r="K23" t="s">
        <v>160</v>
      </c>
      <c r="L23" t="s">
        <v>122</v>
      </c>
      <c r="M23" t="s">
        <v>54</v>
      </c>
      <c r="N23" t="s">
        <v>102</v>
      </c>
      <c r="O23" t="s">
        <v>103</v>
      </c>
      <c r="P23" t="s">
        <v>35</v>
      </c>
      <c r="Q23">
        <v>200</v>
      </c>
      <c r="R23">
        <v>33.07</v>
      </c>
      <c r="S23">
        <v>6614</v>
      </c>
      <c r="T23">
        <v>13.44</v>
      </c>
      <c r="U23">
        <v>6</v>
      </c>
      <c r="V23">
        <v>3175</v>
      </c>
      <c r="W23" t="s">
        <v>36</v>
      </c>
      <c r="X23">
        <v>595.27</v>
      </c>
    </row>
    <row r="24" spans="1:24" x14ac:dyDescent="0.25">
      <c r="A24" s="2">
        <v>100022</v>
      </c>
      <c r="B24" s="1">
        <v>45857</v>
      </c>
      <c r="C24" s="1">
        <v>45858</v>
      </c>
      <c r="D24" s="1">
        <v>45870</v>
      </c>
      <c r="E24" t="s">
        <v>161</v>
      </c>
      <c r="F24" t="s">
        <v>65</v>
      </c>
      <c r="G24" t="s">
        <v>142</v>
      </c>
      <c r="H24" t="s">
        <v>162</v>
      </c>
      <c r="I24" t="s">
        <v>51</v>
      </c>
      <c r="J24" t="s">
        <v>52</v>
      </c>
      <c r="K24" t="s">
        <v>163</v>
      </c>
      <c r="L24" t="s">
        <v>31</v>
      </c>
      <c r="M24" t="s">
        <v>38</v>
      </c>
      <c r="N24" t="s">
        <v>45</v>
      </c>
      <c r="O24" t="s">
        <v>46</v>
      </c>
      <c r="P24" t="s">
        <v>76</v>
      </c>
      <c r="Q24">
        <v>160</v>
      </c>
      <c r="R24">
        <v>19.489999999999998</v>
      </c>
      <c r="S24">
        <v>3118.4</v>
      </c>
      <c r="T24">
        <v>10.94</v>
      </c>
      <c r="U24">
        <v>12</v>
      </c>
      <c r="V24">
        <v>354</v>
      </c>
      <c r="W24" t="s">
        <v>36</v>
      </c>
      <c r="X24">
        <v>551.39</v>
      </c>
    </row>
    <row r="25" spans="1:24" x14ac:dyDescent="0.25">
      <c r="A25" s="2">
        <v>100023</v>
      </c>
      <c r="B25" s="1">
        <v>45537</v>
      </c>
      <c r="C25" s="1">
        <v>45541</v>
      </c>
      <c r="D25" s="1">
        <v>45543</v>
      </c>
      <c r="E25" t="s">
        <v>164</v>
      </c>
      <c r="F25" t="s">
        <v>54</v>
      </c>
      <c r="G25" t="s">
        <v>165</v>
      </c>
      <c r="H25" t="s">
        <v>166</v>
      </c>
      <c r="I25" t="s">
        <v>79</v>
      </c>
      <c r="J25" t="s">
        <v>80</v>
      </c>
      <c r="K25" t="s">
        <v>167</v>
      </c>
      <c r="L25" t="s">
        <v>113</v>
      </c>
      <c r="M25" t="s">
        <v>25</v>
      </c>
      <c r="N25" t="s">
        <v>45</v>
      </c>
      <c r="O25" t="s">
        <v>46</v>
      </c>
      <c r="P25" t="s">
        <v>68</v>
      </c>
      <c r="Q25">
        <v>22</v>
      </c>
      <c r="R25">
        <v>65.290000000000006</v>
      </c>
      <c r="S25">
        <v>1436.38</v>
      </c>
      <c r="T25">
        <v>29.94</v>
      </c>
      <c r="U25">
        <v>2</v>
      </c>
      <c r="V25">
        <v>85</v>
      </c>
      <c r="W25" t="s">
        <v>36</v>
      </c>
      <c r="X25">
        <v>291.8</v>
      </c>
    </row>
    <row r="26" spans="1:24" x14ac:dyDescent="0.25">
      <c r="A26" s="2">
        <v>100024</v>
      </c>
      <c r="B26" s="1">
        <v>45691</v>
      </c>
      <c r="C26" s="1">
        <v>45696</v>
      </c>
      <c r="D26" s="1">
        <v>45717</v>
      </c>
      <c r="E26" t="s">
        <v>168</v>
      </c>
      <c r="F26" t="s">
        <v>25</v>
      </c>
      <c r="G26" t="s">
        <v>169</v>
      </c>
      <c r="H26" t="s">
        <v>170</v>
      </c>
      <c r="I26" t="s">
        <v>149</v>
      </c>
      <c r="J26" t="s">
        <v>42</v>
      </c>
      <c r="K26" t="s">
        <v>163</v>
      </c>
      <c r="L26" t="s">
        <v>118</v>
      </c>
      <c r="M26" t="s">
        <v>32</v>
      </c>
      <c r="N26" t="s">
        <v>55</v>
      </c>
      <c r="O26" t="s">
        <v>56</v>
      </c>
      <c r="P26" t="s">
        <v>76</v>
      </c>
      <c r="Q26">
        <v>60</v>
      </c>
      <c r="R26">
        <v>241.58</v>
      </c>
      <c r="S26">
        <v>14494.8</v>
      </c>
      <c r="T26">
        <v>9.11</v>
      </c>
      <c r="U26">
        <v>21</v>
      </c>
      <c r="V26">
        <v>624</v>
      </c>
      <c r="W26" t="s">
        <v>36</v>
      </c>
      <c r="X26">
        <v>2896.47</v>
      </c>
    </row>
    <row r="27" spans="1:24" x14ac:dyDescent="0.25">
      <c r="A27" s="2">
        <v>100025</v>
      </c>
      <c r="B27" s="1">
        <v>45973</v>
      </c>
      <c r="C27" s="1">
        <v>45978</v>
      </c>
      <c r="D27" s="1">
        <v>46002</v>
      </c>
      <c r="E27" t="s">
        <v>171</v>
      </c>
      <c r="F27" t="s">
        <v>25</v>
      </c>
      <c r="G27" t="s">
        <v>172</v>
      </c>
      <c r="H27" t="s">
        <v>173</v>
      </c>
      <c r="I27" t="s">
        <v>126</v>
      </c>
      <c r="J27" t="s">
        <v>42</v>
      </c>
      <c r="K27" t="s">
        <v>174</v>
      </c>
      <c r="L27" t="s">
        <v>44</v>
      </c>
      <c r="M27" t="s">
        <v>25</v>
      </c>
      <c r="N27" t="s">
        <v>74</v>
      </c>
      <c r="O27" t="s">
        <v>75</v>
      </c>
      <c r="P27" t="s">
        <v>76</v>
      </c>
      <c r="Q27">
        <v>69</v>
      </c>
      <c r="R27">
        <v>144.16999999999999</v>
      </c>
      <c r="S27">
        <v>9947.73</v>
      </c>
      <c r="T27">
        <v>6.87</v>
      </c>
      <c r="U27">
        <v>24</v>
      </c>
      <c r="V27">
        <v>54</v>
      </c>
      <c r="W27" t="s">
        <v>36</v>
      </c>
      <c r="X27">
        <v>1059.6600000000001</v>
      </c>
    </row>
    <row r="28" spans="1:24" x14ac:dyDescent="0.25">
      <c r="A28" s="2">
        <v>100026</v>
      </c>
      <c r="B28" s="1">
        <v>45947</v>
      </c>
      <c r="C28" s="1">
        <v>45951</v>
      </c>
      <c r="D28" s="1">
        <v>45954</v>
      </c>
      <c r="E28" t="s">
        <v>175</v>
      </c>
      <c r="F28" t="s">
        <v>38</v>
      </c>
      <c r="G28" t="s">
        <v>49</v>
      </c>
      <c r="H28" t="s">
        <v>176</v>
      </c>
      <c r="I28" t="s">
        <v>177</v>
      </c>
      <c r="J28" t="s">
        <v>29</v>
      </c>
      <c r="K28" t="s">
        <v>178</v>
      </c>
      <c r="L28" t="s">
        <v>31</v>
      </c>
      <c r="M28" t="s">
        <v>38</v>
      </c>
      <c r="N28" t="s">
        <v>66</v>
      </c>
      <c r="O28" t="s">
        <v>67</v>
      </c>
      <c r="P28" t="s">
        <v>35</v>
      </c>
      <c r="Q28">
        <v>328</v>
      </c>
      <c r="R28">
        <v>57.69</v>
      </c>
      <c r="S28">
        <v>18922.32</v>
      </c>
      <c r="T28">
        <v>16.13</v>
      </c>
      <c r="U28">
        <v>3</v>
      </c>
      <c r="V28">
        <v>1231</v>
      </c>
      <c r="W28" t="s">
        <v>57</v>
      </c>
      <c r="X28">
        <v>5519.21</v>
      </c>
    </row>
    <row r="29" spans="1:24" x14ac:dyDescent="0.25">
      <c r="A29" s="2">
        <v>100027</v>
      </c>
      <c r="B29" s="1">
        <v>45684</v>
      </c>
      <c r="C29" s="1">
        <v>45687</v>
      </c>
      <c r="D29" s="1">
        <v>45698</v>
      </c>
      <c r="E29" t="s">
        <v>179</v>
      </c>
      <c r="F29" t="s">
        <v>32</v>
      </c>
      <c r="G29" t="s">
        <v>180</v>
      </c>
      <c r="H29" t="s">
        <v>181</v>
      </c>
      <c r="I29" t="s">
        <v>182</v>
      </c>
      <c r="J29" t="s">
        <v>80</v>
      </c>
      <c r="K29" t="s">
        <v>183</v>
      </c>
      <c r="L29" t="s">
        <v>31</v>
      </c>
      <c r="M29" t="s">
        <v>25</v>
      </c>
      <c r="N29" t="s">
        <v>33</v>
      </c>
      <c r="O29" t="s">
        <v>34</v>
      </c>
      <c r="P29" t="s">
        <v>123</v>
      </c>
      <c r="Q29">
        <v>127</v>
      </c>
      <c r="R29">
        <v>261.52</v>
      </c>
      <c r="S29">
        <v>33213.040000000001</v>
      </c>
      <c r="T29">
        <v>13.78</v>
      </c>
      <c r="U29">
        <v>11</v>
      </c>
      <c r="V29">
        <v>537</v>
      </c>
      <c r="W29" t="s">
        <v>36</v>
      </c>
      <c r="X29">
        <v>6717.55</v>
      </c>
    </row>
    <row r="30" spans="1:24" x14ac:dyDescent="0.25">
      <c r="A30" s="2">
        <v>100028</v>
      </c>
      <c r="B30" s="1">
        <v>45872</v>
      </c>
      <c r="C30" s="1">
        <v>45877</v>
      </c>
      <c r="D30" s="1">
        <v>45890</v>
      </c>
      <c r="E30" t="s">
        <v>184</v>
      </c>
      <c r="F30" t="s">
        <v>65</v>
      </c>
      <c r="G30" t="s">
        <v>154</v>
      </c>
      <c r="H30" t="s">
        <v>185</v>
      </c>
      <c r="I30" t="s">
        <v>182</v>
      </c>
      <c r="J30" t="s">
        <v>80</v>
      </c>
      <c r="K30" t="s">
        <v>186</v>
      </c>
      <c r="L30" t="s">
        <v>187</v>
      </c>
      <c r="M30" t="s">
        <v>25</v>
      </c>
      <c r="N30" t="s">
        <v>151</v>
      </c>
      <c r="O30" t="s">
        <v>152</v>
      </c>
      <c r="P30" t="s">
        <v>123</v>
      </c>
      <c r="Q30">
        <v>194</v>
      </c>
      <c r="R30">
        <v>145.97999999999999</v>
      </c>
      <c r="S30">
        <v>28320.12</v>
      </c>
      <c r="T30">
        <v>15.41</v>
      </c>
      <c r="U30">
        <v>13</v>
      </c>
      <c r="V30">
        <v>1293</v>
      </c>
      <c r="W30" t="s">
        <v>188</v>
      </c>
      <c r="X30">
        <v>3567.56</v>
      </c>
    </row>
    <row r="31" spans="1:24" x14ac:dyDescent="0.25">
      <c r="A31" s="2">
        <v>100029</v>
      </c>
      <c r="B31" s="1">
        <v>45744</v>
      </c>
      <c r="C31" s="1">
        <v>45747</v>
      </c>
      <c r="D31" s="1">
        <v>45760</v>
      </c>
      <c r="E31" t="s">
        <v>189</v>
      </c>
      <c r="F31" t="s">
        <v>65</v>
      </c>
      <c r="G31" t="s">
        <v>70</v>
      </c>
      <c r="H31" t="s">
        <v>190</v>
      </c>
      <c r="I31" t="s">
        <v>191</v>
      </c>
      <c r="J31" t="s">
        <v>62</v>
      </c>
      <c r="K31" t="s">
        <v>140</v>
      </c>
      <c r="L31" t="s">
        <v>31</v>
      </c>
      <c r="M31" t="s">
        <v>38</v>
      </c>
      <c r="N31" t="s">
        <v>92</v>
      </c>
      <c r="O31" t="s">
        <v>93</v>
      </c>
      <c r="P31" t="s">
        <v>123</v>
      </c>
      <c r="Q31">
        <v>231</v>
      </c>
      <c r="R31">
        <v>34.24</v>
      </c>
      <c r="S31">
        <v>7909.44</v>
      </c>
      <c r="T31">
        <v>16.309999999999999</v>
      </c>
      <c r="U31">
        <v>13</v>
      </c>
      <c r="V31">
        <v>3149</v>
      </c>
      <c r="W31" t="s">
        <v>57</v>
      </c>
      <c r="X31">
        <v>1338.95</v>
      </c>
    </row>
    <row r="32" spans="1:24" x14ac:dyDescent="0.25">
      <c r="A32" s="2">
        <v>100030</v>
      </c>
      <c r="B32" s="1">
        <v>45616</v>
      </c>
      <c r="C32" s="1">
        <v>45620</v>
      </c>
      <c r="D32" s="1">
        <v>45633</v>
      </c>
      <c r="E32" t="s">
        <v>192</v>
      </c>
      <c r="F32" t="s">
        <v>54</v>
      </c>
      <c r="G32" t="s">
        <v>193</v>
      </c>
      <c r="H32" t="s">
        <v>194</v>
      </c>
      <c r="I32" t="s">
        <v>177</v>
      </c>
      <c r="J32" t="s">
        <v>29</v>
      </c>
      <c r="K32" t="s">
        <v>195</v>
      </c>
      <c r="L32" t="s">
        <v>31</v>
      </c>
      <c r="M32" t="s">
        <v>25</v>
      </c>
      <c r="N32" t="s">
        <v>92</v>
      </c>
      <c r="O32" t="s">
        <v>93</v>
      </c>
      <c r="P32" t="s">
        <v>76</v>
      </c>
      <c r="Q32">
        <v>485</v>
      </c>
      <c r="R32">
        <v>74.44</v>
      </c>
      <c r="S32">
        <v>36103.4</v>
      </c>
      <c r="T32">
        <v>16.86</v>
      </c>
      <c r="U32">
        <v>13</v>
      </c>
      <c r="V32">
        <v>1001</v>
      </c>
      <c r="W32" t="s">
        <v>36</v>
      </c>
      <c r="X32">
        <v>8238.4599999999991</v>
      </c>
    </row>
    <row r="33" spans="1:24" x14ac:dyDescent="0.25">
      <c r="A33" s="2">
        <v>100031</v>
      </c>
      <c r="B33" s="1">
        <v>45982</v>
      </c>
      <c r="C33" s="1">
        <v>45984</v>
      </c>
      <c r="D33" s="1">
        <v>45990</v>
      </c>
      <c r="E33" t="s">
        <v>196</v>
      </c>
      <c r="F33" t="s">
        <v>25</v>
      </c>
      <c r="G33" t="s">
        <v>26</v>
      </c>
      <c r="H33" t="s">
        <v>197</v>
      </c>
      <c r="I33" t="s">
        <v>198</v>
      </c>
      <c r="J33" t="s">
        <v>52</v>
      </c>
      <c r="K33" t="s">
        <v>199</v>
      </c>
      <c r="L33" t="s">
        <v>44</v>
      </c>
      <c r="M33" t="s">
        <v>32</v>
      </c>
      <c r="N33" t="s">
        <v>66</v>
      </c>
      <c r="O33" t="s">
        <v>67</v>
      </c>
      <c r="P33" t="s">
        <v>35</v>
      </c>
      <c r="Q33">
        <v>53</v>
      </c>
      <c r="R33">
        <v>30.46</v>
      </c>
      <c r="S33">
        <v>1614.38</v>
      </c>
      <c r="T33">
        <v>13.98</v>
      </c>
      <c r="U33">
        <v>6</v>
      </c>
      <c r="V33">
        <v>4307</v>
      </c>
      <c r="W33" t="s">
        <v>57</v>
      </c>
      <c r="X33">
        <v>118.85</v>
      </c>
    </row>
    <row r="34" spans="1:24" x14ac:dyDescent="0.25">
      <c r="A34" s="2">
        <v>100032</v>
      </c>
      <c r="B34" s="1">
        <v>45381</v>
      </c>
      <c r="C34" s="1">
        <v>45385</v>
      </c>
      <c r="D34" s="1">
        <v>45398</v>
      </c>
      <c r="E34" t="s">
        <v>200</v>
      </c>
      <c r="F34" t="s">
        <v>54</v>
      </c>
      <c r="G34" t="s">
        <v>129</v>
      </c>
      <c r="H34" t="s">
        <v>201</v>
      </c>
      <c r="I34" t="s">
        <v>61</v>
      </c>
      <c r="J34" t="s">
        <v>62</v>
      </c>
      <c r="K34" t="s">
        <v>202</v>
      </c>
      <c r="L34" t="s">
        <v>187</v>
      </c>
      <c r="M34" t="s">
        <v>32</v>
      </c>
      <c r="N34" t="s">
        <v>203</v>
      </c>
      <c r="O34" t="s">
        <v>204</v>
      </c>
      <c r="P34" t="s">
        <v>123</v>
      </c>
      <c r="Q34">
        <v>400</v>
      </c>
      <c r="R34">
        <v>10.32</v>
      </c>
      <c r="S34">
        <v>4128</v>
      </c>
      <c r="T34">
        <v>20.41</v>
      </c>
      <c r="U34">
        <v>13</v>
      </c>
      <c r="V34">
        <v>1816</v>
      </c>
      <c r="W34" t="s">
        <v>57</v>
      </c>
      <c r="X34">
        <v>410.28</v>
      </c>
    </row>
    <row r="35" spans="1:24" x14ac:dyDescent="0.25">
      <c r="A35" s="2">
        <v>100033</v>
      </c>
      <c r="B35" s="1">
        <v>45967</v>
      </c>
      <c r="C35" s="1">
        <v>45968</v>
      </c>
      <c r="D35" s="1">
        <v>45974</v>
      </c>
      <c r="E35" t="s">
        <v>205</v>
      </c>
      <c r="F35" t="s">
        <v>54</v>
      </c>
      <c r="G35" t="s">
        <v>165</v>
      </c>
      <c r="H35" t="s">
        <v>206</v>
      </c>
      <c r="I35" t="s">
        <v>207</v>
      </c>
      <c r="J35" t="s">
        <v>80</v>
      </c>
      <c r="K35" t="s">
        <v>208</v>
      </c>
      <c r="L35" t="s">
        <v>91</v>
      </c>
      <c r="M35" t="s">
        <v>38</v>
      </c>
      <c r="N35" t="s">
        <v>92</v>
      </c>
      <c r="O35" t="s">
        <v>93</v>
      </c>
      <c r="P35" t="s">
        <v>35</v>
      </c>
      <c r="Q35">
        <v>475</v>
      </c>
      <c r="R35">
        <v>117.51</v>
      </c>
      <c r="S35">
        <v>55817.25</v>
      </c>
      <c r="T35">
        <v>25.94</v>
      </c>
      <c r="U35">
        <v>6</v>
      </c>
      <c r="V35">
        <v>2193</v>
      </c>
      <c r="W35" t="s">
        <v>36</v>
      </c>
      <c r="X35">
        <v>14338.41</v>
      </c>
    </row>
    <row r="36" spans="1:24" x14ac:dyDescent="0.25">
      <c r="A36" s="2">
        <v>100034</v>
      </c>
      <c r="B36" s="1">
        <v>45816</v>
      </c>
      <c r="C36" s="1">
        <v>45816</v>
      </c>
      <c r="D36" s="1">
        <v>45830</v>
      </c>
      <c r="E36" t="s">
        <v>209</v>
      </c>
      <c r="F36" t="s">
        <v>32</v>
      </c>
      <c r="G36" t="s">
        <v>95</v>
      </c>
      <c r="H36" t="s">
        <v>210</v>
      </c>
      <c r="I36" t="s">
        <v>89</v>
      </c>
      <c r="J36" t="s">
        <v>62</v>
      </c>
      <c r="K36" t="s">
        <v>211</v>
      </c>
      <c r="L36" t="s">
        <v>212</v>
      </c>
      <c r="M36" t="s">
        <v>38</v>
      </c>
      <c r="N36" t="s">
        <v>151</v>
      </c>
      <c r="O36" t="s">
        <v>152</v>
      </c>
      <c r="P36" t="s">
        <v>76</v>
      </c>
      <c r="Q36">
        <v>351</v>
      </c>
      <c r="R36">
        <v>18.39</v>
      </c>
      <c r="S36">
        <v>6454.89</v>
      </c>
      <c r="T36">
        <v>14.42</v>
      </c>
      <c r="U36">
        <v>14</v>
      </c>
      <c r="V36">
        <v>695</v>
      </c>
      <c r="W36" t="s">
        <v>188</v>
      </c>
      <c r="X36">
        <v>1019.19</v>
      </c>
    </row>
    <row r="37" spans="1:24" x14ac:dyDescent="0.25">
      <c r="A37" s="2">
        <v>100035</v>
      </c>
      <c r="B37" s="1">
        <v>46009</v>
      </c>
      <c r="C37" s="1">
        <v>46012</v>
      </c>
      <c r="D37" s="1">
        <v>46015</v>
      </c>
      <c r="E37" t="s">
        <v>213</v>
      </c>
      <c r="F37" t="s">
        <v>25</v>
      </c>
      <c r="G37" t="s">
        <v>172</v>
      </c>
      <c r="H37" t="s">
        <v>214</v>
      </c>
      <c r="I37" t="s">
        <v>51</v>
      </c>
      <c r="J37" t="s">
        <v>52</v>
      </c>
      <c r="K37" t="s">
        <v>215</v>
      </c>
      <c r="L37" t="s">
        <v>118</v>
      </c>
      <c r="M37" t="s">
        <v>38</v>
      </c>
      <c r="N37" t="s">
        <v>66</v>
      </c>
      <c r="O37" t="s">
        <v>67</v>
      </c>
      <c r="P37" t="s">
        <v>68</v>
      </c>
      <c r="Q37">
        <v>108</v>
      </c>
      <c r="R37">
        <v>57.4</v>
      </c>
      <c r="S37">
        <v>6199.2</v>
      </c>
      <c r="T37">
        <v>35.51</v>
      </c>
      <c r="U37">
        <v>3</v>
      </c>
      <c r="V37">
        <v>3138</v>
      </c>
      <c r="W37" t="s">
        <v>36</v>
      </c>
      <c r="X37">
        <v>1028.08</v>
      </c>
    </row>
    <row r="38" spans="1:24" x14ac:dyDescent="0.25">
      <c r="A38" s="2">
        <v>100036</v>
      </c>
      <c r="B38" s="1">
        <v>45984</v>
      </c>
      <c r="C38" s="1">
        <v>45985</v>
      </c>
      <c r="D38" s="1">
        <v>45993</v>
      </c>
      <c r="E38" t="s">
        <v>216</v>
      </c>
      <c r="F38" t="s">
        <v>38</v>
      </c>
      <c r="G38" t="s">
        <v>217</v>
      </c>
      <c r="H38" t="s">
        <v>218</v>
      </c>
      <c r="I38" t="s">
        <v>89</v>
      </c>
      <c r="J38" t="s">
        <v>62</v>
      </c>
      <c r="K38" t="s">
        <v>219</v>
      </c>
      <c r="L38" t="s">
        <v>212</v>
      </c>
      <c r="M38" t="s">
        <v>25</v>
      </c>
      <c r="N38" t="s">
        <v>45</v>
      </c>
      <c r="O38" t="s">
        <v>46</v>
      </c>
      <c r="P38" t="s">
        <v>35</v>
      </c>
      <c r="Q38">
        <v>224</v>
      </c>
      <c r="R38">
        <v>29.57</v>
      </c>
      <c r="S38">
        <v>6623.68</v>
      </c>
      <c r="T38">
        <v>18.82</v>
      </c>
      <c r="U38">
        <v>8</v>
      </c>
      <c r="V38">
        <v>1253</v>
      </c>
      <c r="W38" t="s">
        <v>36</v>
      </c>
      <c r="X38">
        <v>384.79</v>
      </c>
    </row>
    <row r="39" spans="1:24" x14ac:dyDescent="0.25">
      <c r="A39" s="2">
        <v>100037</v>
      </c>
      <c r="B39" s="1">
        <v>45461</v>
      </c>
      <c r="C39" s="1">
        <v>45461</v>
      </c>
      <c r="D39" s="1">
        <v>45466</v>
      </c>
      <c r="E39" t="s">
        <v>220</v>
      </c>
      <c r="F39" t="s">
        <v>25</v>
      </c>
      <c r="G39" t="s">
        <v>221</v>
      </c>
      <c r="H39" t="s">
        <v>222</v>
      </c>
      <c r="I39" t="s">
        <v>116</v>
      </c>
      <c r="J39" t="s">
        <v>62</v>
      </c>
      <c r="K39" t="s">
        <v>223</v>
      </c>
      <c r="L39" t="s">
        <v>212</v>
      </c>
      <c r="M39" t="s">
        <v>25</v>
      </c>
      <c r="N39" t="s">
        <v>55</v>
      </c>
      <c r="O39" t="s">
        <v>56</v>
      </c>
      <c r="P39" t="s">
        <v>123</v>
      </c>
      <c r="Q39">
        <v>431</v>
      </c>
      <c r="R39">
        <v>49.4</v>
      </c>
      <c r="S39">
        <v>21291.4</v>
      </c>
      <c r="T39">
        <v>15.68</v>
      </c>
      <c r="U39">
        <v>5</v>
      </c>
      <c r="V39">
        <v>1688</v>
      </c>
      <c r="W39" t="s">
        <v>36</v>
      </c>
      <c r="X39">
        <v>3670.76</v>
      </c>
    </row>
    <row r="40" spans="1:24" x14ac:dyDescent="0.25">
      <c r="A40" s="2">
        <v>100038</v>
      </c>
      <c r="B40" s="1">
        <v>45423</v>
      </c>
      <c r="C40" s="1">
        <v>45426</v>
      </c>
      <c r="D40" s="1">
        <v>45433</v>
      </c>
      <c r="E40" t="s">
        <v>224</v>
      </c>
      <c r="F40" t="s">
        <v>54</v>
      </c>
      <c r="G40" t="s">
        <v>225</v>
      </c>
      <c r="H40" t="s">
        <v>226</v>
      </c>
      <c r="I40" t="s">
        <v>144</v>
      </c>
      <c r="J40" t="s">
        <v>52</v>
      </c>
      <c r="K40" t="s">
        <v>227</v>
      </c>
      <c r="L40" t="s">
        <v>64</v>
      </c>
      <c r="M40" t="s">
        <v>65</v>
      </c>
      <c r="N40" t="s">
        <v>45</v>
      </c>
      <c r="O40" t="s">
        <v>46</v>
      </c>
      <c r="P40" t="s">
        <v>35</v>
      </c>
      <c r="Q40">
        <v>191</v>
      </c>
      <c r="R40">
        <v>65.819999999999993</v>
      </c>
      <c r="S40">
        <v>12571.62</v>
      </c>
      <c r="T40">
        <v>17.89</v>
      </c>
      <c r="U40">
        <v>7</v>
      </c>
      <c r="V40">
        <v>913</v>
      </c>
      <c r="W40" t="s">
        <v>36</v>
      </c>
      <c r="X40">
        <v>842.89</v>
      </c>
    </row>
    <row r="41" spans="1:24" x14ac:dyDescent="0.25">
      <c r="A41" s="2">
        <v>100039</v>
      </c>
      <c r="B41" s="1">
        <v>45349</v>
      </c>
      <c r="C41" s="1">
        <v>45352</v>
      </c>
      <c r="D41" s="1">
        <v>45356</v>
      </c>
      <c r="E41" t="s">
        <v>228</v>
      </c>
      <c r="F41" t="s">
        <v>32</v>
      </c>
      <c r="G41" t="s">
        <v>95</v>
      </c>
      <c r="H41" t="s">
        <v>229</v>
      </c>
      <c r="I41" t="s">
        <v>230</v>
      </c>
      <c r="J41" t="s">
        <v>80</v>
      </c>
      <c r="K41" t="s">
        <v>231</v>
      </c>
      <c r="L41" t="s">
        <v>98</v>
      </c>
      <c r="M41" t="s">
        <v>54</v>
      </c>
      <c r="N41" t="s">
        <v>74</v>
      </c>
      <c r="O41" t="s">
        <v>75</v>
      </c>
      <c r="P41" t="s">
        <v>68</v>
      </c>
      <c r="Q41">
        <v>199</v>
      </c>
      <c r="R41">
        <v>164.07</v>
      </c>
      <c r="S41">
        <v>32649.93</v>
      </c>
      <c r="T41">
        <v>41.41</v>
      </c>
      <c r="U41">
        <v>4</v>
      </c>
      <c r="V41">
        <v>1581</v>
      </c>
      <c r="W41" t="s">
        <v>36</v>
      </c>
      <c r="X41">
        <v>5044.6400000000003</v>
      </c>
    </row>
    <row r="42" spans="1:24" x14ac:dyDescent="0.25">
      <c r="A42" s="2">
        <v>100040</v>
      </c>
      <c r="B42" s="1">
        <v>45847</v>
      </c>
      <c r="C42" s="1">
        <v>45851</v>
      </c>
      <c r="D42" s="1">
        <v>45863</v>
      </c>
      <c r="E42" t="s">
        <v>232</v>
      </c>
      <c r="F42" t="s">
        <v>25</v>
      </c>
      <c r="G42" t="s">
        <v>233</v>
      </c>
      <c r="H42" t="s">
        <v>234</v>
      </c>
      <c r="I42" t="s">
        <v>144</v>
      </c>
      <c r="J42" t="s">
        <v>52</v>
      </c>
      <c r="K42" t="s">
        <v>235</v>
      </c>
      <c r="L42" t="s">
        <v>44</v>
      </c>
      <c r="M42" t="s">
        <v>25</v>
      </c>
      <c r="N42" t="s">
        <v>102</v>
      </c>
      <c r="O42" t="s">
        <v>103</v>
      </c>
      <c r="P42" t="s">
        <v>35</v>
      </c>
      <c r="Q42">
        <v>450</v>
      </c>
      <c r="R42">
        <v>50.89</v>
      </c>
      <c r="S42">
        <v>22900.5</v>
      </c>
      <c r="T42">
        <v>18.690000000000001</v>
      </c>
      <c r="U42">
        <v>12</v>
      </c>
      <c r="V42">
        <v>1456</v>
      </c>
      <c r="W42" t="s">
        <v>188</v>
      </c>
      <c r="X42">
        <v>2461.0700000000002</v>
      </c>
    </row>
    <row r="43" spans="1:24" x14ac:dyDescent="0.25">
      <c r="A43" s="2">
        <v>100041</v>
      </c>
      <c r="B43" s="1">
        <v>45857</v>
      </c>
      <c r="C43" s="1">
        <v>45862</v>
      </c>
      <c r="D43" s="1">
        <v>45874</v>
      </c>
      <c r="E43" t="s">
        <v>236</v>
      </c>
      <c r="F43" t="s">
        <v>38</v>
      </c>
      <c r="G43" t="s">
        <v>83</v>
      </c>
      <c r="H43" t="s">
        <v>237</v>
      </c>
      <c r="I43" t="s">
        <v>238</v>
      </c>
      <c r="J43" t="s">
        <v>62</v>
      </c>
      <c r="K43" t="s">
        <v>239</v>
      </c>
      <c r="L43" t="s">
        <v>44</v>
      </c>
      <c r="M43" t="s">
        <v>32</v>
      </c>
      <c r="N43" t="s">
        <v>74</v>
      </c>
      <c r="O43" t="s">
        <v>75</v>
      </c>
      <c r="P43" t="s">
        <v>76</v>
      </c>
      <c r="Q43">
        <v>339</v>
      </c>
      <c r="R43">
        <v>47.77</v>
      </c>
      <c r="S43">
        <v>16194.03</v>
      </c>
      <c r="T43">
        <v>14.2</v>
      </c>
      <c r="U43">
        <v>12</v>
      </c>
      <c r="V43">
        <v>657</v>
      </c>
      <c r="W43" t="s">
        <v>36</v>
      </c>
      <c r="X43">
        <v>1379.45</v>
      </c>
    </row>
    <row r="44" spans="1:24" x14ac:dyDescent="0.25">
      <c r="A44" s="2">
        <v>100042</v>
      </c>
      <c r="B44" s="1">
        <v>45381</v>
      </c>
      <c r="C44" s="1">
        <v>45382</v>
      </c>
      <c r="D44" s="1">
        <v>45386</v>
      </c>
      <c r="E44" t="s">
        <v>240</v>
      </c>
      <c r="F44" t="s">
        <v>32</v>
      </c>
      <c r="G44" t="s">
        <v>137</v>
      </c>
      <c r="H44" t="s">
        <v>241</v>
      </c>
      <c r="I44" t="s">
        <v>134</v>
      </c>
      <c r="J44" t="s">
        <v>52</v>
      </c>
      <c r="K44" t="s">
        <v>242</v>
      </c>
      <c r="L44" t="s">
        <v>212</v>
      </c>
      <c r="M44" t="s">
        <v>38</v>
      </c>
      <c r="N44" t="s">
        <v>151</v>
      </c>
      <c r="O44" t="s">
        <v>152</v>
      </c>
      <c r="P44" t="s">
        <v>68</v>
      </c>
      <c r="Q44">
        <v>420</v>
      </c>
      <c r="R44">
        <v>65.25</v>
      </c>
      <c r="S44">
        <v>27405</v>
      </c>
      <c r="T44">
        <v>55.73</v>
      </c>
      <c r="U44">
        <v>4</v>
      </c>
      <c r="V44">
        <v>2708</v>
      </c>
      <c r="W44" t="s">
        <v>36</v>
      </c>
      <c r="X44">
        <v>5107.93</v>
      </c>
    </row>
    <row r="45" spans="1:24" x14ac:dyDescent="0.25">
      <c r="A45" s="2">
        <v>100043</v>
      </c>
      <c r="B45" s="1">
        <v>45885</v>
      </c>
      <c r="C45" s="1">
        <v>45887</v>
      </c>
      <c r="D45" s="1">
        <v>45892</v>
      </c>
      <c r="E45" t="s">
        <v>243</v>
      </c>
      <c r="F45" t="s">
        <v>25</v>
      </c>
      <c r="G45" t="s">
        <v>244</v>
      </c>
      <c r="H45" t="s">
        <v>245</v>
      </c>
      <c r="I45" t="s">
        <v>246</v>
      </c>
      <c r="J45" t="s">
        <v>29</v>
      </c>
      <c r="K45" t="s">
        <v>247</v>
      </c>
      <c r="L45" t="s">
        <v>44</v>
      </c>
      <c r="M45" t="s">
        <v>38</v>
      </c>
      <c r="N45" t="s">
        <v>66</v>
      </c>
      <c r="O45" t="s">
        <v>67</v>
      </c>
      <c r="P45" t="s">
        <v>68</v>
      </c>
      <c r="Q45">
        <v>251</v>
      </c>
      <c r="R45">
        <v>70.67</v>
      </c>
      <c r="S45">
        <v>17738.169999999998</v>
      </c>
      <c r="T45">
        <v>44.78</v>
      </c>
      <c r="U45">
        <v>5</v>
      </c>
      <c r="V45">
        <v>1178</v>
      </c>
      <c r="W45" t="s">
        <v>47</v>
      </c>
      <c r="X45">
        <v>-246.95</v>
      </c>
    </row>
    <row r="46" spans="1:24" x14ac:dyDescent="0.25">
      <c r="A46" s="2">
        <v>100044</v>
      </c>
      <c r="B46" s="1">
        <v>45468</v>
      </c>
      <c r="C46" s="1">
        <v>45470</v>
      </c>
      <c r="D46" s="1">
        <v>45475</v>
      </c>
      <c r="E46" t="s">
        <v>248</v>
      </c>
      <c r="F46" t="s">
        <v>65</v>
      </c>
      <c r="G46" t="s">
        <v>142</v>
      </c>
      <c r="H46" t="s">
        <v>249</v>
      </c>
      <c r="I46" t="s">
        <v>238</v>
      </c>
      <c r="J46" t="s">
        <v>62</v>
      </c>
      <c r="K46" t="s">
        <v>250</v>
      </c>
      <c r="L46" t="s">
        <v>31</v>
      </c>
      <c r="M46" t="s">
        <v>65</v>
      </c>
      <c r="N46" t="s">
        <v>102</v>
      </c>
      <c r="O46" t="s">
        <v>103</v>
      </c>
      <c r="P46" t="s">
        <v>68</v>
      </c>
      <c r="Q46">
        <v>186</v>
      </c>
      <c r="R46">
        <v>42.72</v>
      </c>
      <c r="S46">
        <v>7945.92</v>
      </c>
      <c r="T46">
        <v>30.05</v>
      </c>
      <c r="U46">
        <v>5</v>
      </c>
      <c r="V46">
        <v>1933</v>
      </c>
      <c r="W46" t="s">
        <v>36</v>
      </c>
      <c r="X46">
        <v>381.37</v>
      </c>
    </row>
    <row r="47" spans="1:24" x14ac:dyDescent="0.25">
      <c r="A47" s="2">
        <v>100045</v>
      </c>
      <c r="B47" s="1">
        <v>45767</v>
      </c>
      <c r="C47" s="1">
        <v>45767</v>
      </c>
      <c r="D47" s="1">
        <v>45775</v>
      </c>
      <c r="E47" t="s">
        <v>251</v>
      </c>
      <c r="F47" t="s">
        <v>65</v>
      </c>
      <c r="G47" t="s">
        <v>70</v>
      </c>
      <c r="H47" t="s">
        <v>252</v>
      </c>
      <c r="I47" t="s">
        <v>72</v>
      </c>
      <c r="J47" t="s">
        <v>42</v>
      </c>
      <c r="K47" t="s">
        <v>253</v>
      </c>
      <c r="L47" t="s">
        <v>98</v>
      </c>
      <c r="M47" t="s">
        <v>25</v>
      </c>
      <c r="N47" t="s">
        <v>151</v>
      </c>
      <c r="O47" t="s">
        <v>152</v>
      </c>
      <c r="P47" t="s">
        <v>123</v>
      </c>
      <c r="Q47">
        <v>32</v>
      </c>
      <c r="R47">
        <v>359.91</v>
      </c>
      <c r="S47">
        <v>11517.12</v>
      </c>
      <c r="T47">
        <v>11.47</v>
      </c>
      <c r="U47">
        <v>8</v>
      </c>
      <c r="V47">
        <v>726</v>
      </c>
      <c r="W47" t="s">
        <v>36</v>
      </c>
      <c r="X47">
        <v>1298.6199999999999</v>
      </c>
    </row>
    <row r="48" spans="1:24" x14ac:dyDescent="0.25">
      <c r="A48" s="2">
        <v>100046</v>
      </c>
      <c r="B48" s="1">
        <v>45292</v>
      </c>
      <c r="C48" s="1">
        <v>45294</v>
      </c>
      <c r="D48" s="1">
        <v>45299</v>
      </c>
      <c r="E48" t="s">
        <v>254</v>
      </c>
      <c r="F48" t="s">
        <v>32</v>
      </c>
      <c r="G48" t="s">
        <v>255</v>
      </c>
      <c r="H48" t="s">
        <v>256</v>
      </c>
      <c r="I48" t="s">
        <v>28</v>
      </c>
      <c r="J48" t="s">
        <v>29</v>
      </c>
      <c r="K48" t="s">
        <v>257</v>
      </c>
      <c r="L48" t="s">
        <v>113</v>
      </c>
      <c r="M48" t="s">
        <v>38</v>
      </c>
      <c r="N48" t="s">
        <v>203</v>
      </c>
      <c r="O48" t="s">
        <v>204</v>
      </c>
      <c r="P48" t="s">
        <v>68</v>
      </c>
      <c r="Q48">
        <v>497</v>
      </c>
      <c r="R48">
        <v>77.989999999999995</v>
      </c>
      <c r="S48">
        <v>38761.03</v>
      </c>
      <c r="T48">
        <v>60.72</v>
      </c>
      <c r="U48">
        <v>5</v>
      </c>
      <c r="V48">
        <v>2292</v>
      </c>
      <c r="W48" t="s">
        <v>36</v>
      </c>
      <c r="X48">
        <v>7848.92</v>
      </c>
    </row>
    <row r="49" spans="1:24" x14ac:dyDescent="0.25">
      <c r="A49" s="2">
        <v>100047</v>
      </c>
      <c r="B49" s="1">
        <v>45597</v>
      </c>
      <c r="C49" s="1">
        <v>45600</v>
      </c>
      <c r="D49" s="1">
        <v>45602</v>
      </c>
      <c r="E49" t="s">
        <v>258</v>
      </c>
      <c r="F49" t="s">
        <v>25</v>
      </c>
      <c r="G49" t="s">
        <v>172</v>
      </c>
      <c r="H49" t="s">
        <v>259</v>
      </c>
      <c r="I49" t="s">
        <v>116</v>
      </c>
      <c r="J49" t="s">
        <v>62</v>
      </c>
      <c r="K49" t="s">
        <v>260</v>
      </c>
      <c r="L49" t="s">
        <v>187</v>
      </c>
      <c r="M49" t="s">
        <v>65</v>
      </c>
      <c r="N49" t="s">
        <v>55</v>
      </c>
      <c r="O49" t="s">
        <v>56</v>
      </c>
      <c r="P49" t="s">
        <v>35</v>
      </c>
      <c r="Q49">
        <v>322</v>
      </c>
      <c r="R49">
        <v>31.55</v>
      </c>
      <c r="S49">
        <v>10159.1</v>
      </c>
      <c r="T49">
        <v>21.6</v>
      </c>
      <c r="U49">
        <v>2</v>
      </c>
      <c r="V49">
        <v>3114</v>
      </c>
      <c r="W49" t="s">
        <v>47</v>
      </c>
      <c r="X49">
        <v>-178.98</v>
      </c>
    </row>
    <row r="50" spans="1:24" x14ac:dyDescent="0.25">
      <c r="A50" s="2">
        <v>100048</v>
      </c>
      <c r="B50" s="1">
        <v>45726</v>
      </c>
      <c r="C50" s="1">
        <v>45731</v>
      </c>
      <c r="D50" s="1">
        <v>45756</v>
      </c>
      <c r="E50" t="s">
        <v>261</v>
      </c>
      <c r="F50" t="s">
        <v>54</v>
      </c>
      <c r="G50" t="s">
        <v>193</v>
      </c>
      <c r="H50" t="s">
        <v>262</v>
      </c>
      <c r="I50" t="s">
        <v>139</v>
      </c>
      <c r="J50" t="s">
        <v>42</v>
      </c>
      <c r="K50" t="s">
        <v>247</v>
      </c>
      <c r="L50" t="s">
        <v>64</v>
      </c>
      <c r="M50" t="s">
        <v>25</v>
      </c>
      <c r="N50" t="s">
        <v>74</v>
      </c>
      <c r="O50" t="s">
        <v>75</v>
      </c>
      <c r="P50" t="s">
        <v>76</v>
      </c>
      <c r="Q50">
        <v>344</v>
      </c>
      <c r="R50">
        <v>230.62</v>
      </c>
      <c r="S50">
        <v>79333.279999999999</v>
      </c>
      <c r="T50">
        <v>14.29</v>
      </c>
      <c r="U50">
        <v>25</v>
      </c>
      <c r="V50">
        <v>496</v>
      </c>
      <c r="W50" t="s">
        <v>188</v>
      </c>
      <c r="X50">
        <v>12412.67</v>
      </c>
    </row>
    <row r="51" spans="1:24" x14ac:dyDescent="0.25">
      <c r="A51" s="2">
        <v>100049</v>
      </c>
      <c r="B51" s="1">
        <v>45626</v>
      </c>
      <c r="C51" s="1">
        <v>45629</v>
      </c>
      <c r="D51" s="1">
        <v>45652</v>
      </c>
      <c r="E51" t="s">
        <v>263</v>
      </c>
      <c r="F51" t="s">
        <v>32</v>
      </c>
      <c r="G51" t="s">
        <v>255</v>
      </c>
      <c r="H51" t="s">
        <v>264</v>
      </c>
      <c r="I51" t="s">
        <v>139</v>
      </c>
      <c r="J51" t="s">
        <v>42</v>
      </c>
      <c r="K51" t="s">
        <v>265</v>
      </c>
      <c r="L51" t="s">
        <v>118</v>
      </c>
      <c r="M51" t="s">
        <v>54</v>
      </c>
      <c r="N51" t="s">
        <v>55</v>
      </c>
      <c r="O51" t="s">
        <v>56</v>
      </c>
      <c r="P51" t="s">
        <v>76</v>
      </c>
      <c r="Q51">
        <v>294</v>
      </c>
      <c r="R51">
        <v>117.36</v>
      </c>
      <c r="S51">
        <v>34503.839999999997</v>
      </c>
      <c r="T51">
        <v>13.38</v>
      </c>
      <c r="U51">
        <v>23</v>
      </c>
      <c r="V51">
        <v>233</v>
      </c>
      <c r="W51" t="s">
        <v>36</v>
      </c>
      <c r="X51">
        <v>1408.39</v>
      </c>
    </row>
    <row r="52" spans="1:24" x14ac:dyDescent="0.25">
      <c r="A52" s="2">
        <v>100050</v>
      </c>
      <c r="B52" s="1">
        <v>45741</v>
      </c>
      <c r="C52" s="1">
        <v>45745</v>
      </c>
      <c r="D52" s="1">
        <v>45768</v>
      </c>
      <c r="E52" t="s">
        <v>266</v>
      </c>
      <c r="F52" t="s">
        <v>32</v>
      </c>
      <c r="G52" t="s">
        <v>180</v>
      </c>
      <c r="H52" t="s">
        <v>267</v>
      </c>
      <c r="I52" t="s">
        <v>191</v>
      </c>
      <c r="J52" t="s">
        <v>62</v>
      </c>
      <c r="K52" t="s">
        <v>268</v>
      </c>
      <c r="L52" t="s">
        <v>91</v>
      </c>
      <c r="M52" t="s">
        <v>25</v>
      </c>
      <c r="N52" t="s">
        <v>66</v>
      </c>
      <c r="O52" t="s">
        <v>67</v>
      </c>
      <c r="P52" t="s">
        <v>76</v>
      </c>
      <c r="Q52">
        <v>160</v>
      </c>
      <c r="R52">
        <v>10.76</v>
      </c>
      <c r="S52">
        <v>1721.6</v>
      </c>
      <c r="T52">
        <v>10.94</v>
      </c>
      <c r="U52">
        <v>23</v>
      </c>
      <c r="V52">
        <v>3745</v>
      </c>
      <c r="W52" t="s">
        <v>36</v>
      </c>
      <c r="X52">
        <v>231.02</v>
      </c>
    </row>
    <row r="53" spans="1:24" x14ac:dyDescent="0.25">
      <c r="A53" s="2">
        <v>100051</v>
      </c>
      <c r="B53" s="1">
        <v>45486</v>
      </c>
      <c r="C53" s="1">
        <v>45488</v>
      </c>
      <c r="D53" s="1">
        <v>45493</v>
      </c>
      <c r="E53" t="s">
        <v>269</v>
      </c>
      <c r="F53" t="s">
        <v>54</v>
      </c>
      <c r="G53" t="s">
        <v>193</v>
      </c>
      <c r="H53" t="s">
        <v>270</v>
      </c>
      <c r="I53" t="s">
        <v>28</v>
      </c>
      <c r="J53" t="s">
        <v>29</v>
      </c>
      <c r="K53" t="s">
        <v>271</v>
      </c>
      <c r="L53" t="s">
        <v>44</v>
      </c>
      <c r="M53" t="s">
        <v>54</v>
      </c>
      <c r="N53" t="s">
        <v>151</v>
      </c>
      <c r="O53" t="s">
        <v>152</v>
      </c>
      <c r="P53" t="s">
        <v>68</v>
      </c>
      <c r="Q53">
        <v>286</v>
      </c>
      <c r="R53">
        <v>28.58</v>
      </c>
      <c r="S53">
        <v>8173.88</v>
      </c>
      <c r="T53">
        <v>34.85</v>
      </c>
      <c r="U53">
        <v>5</v>
      </c>
      <c r="V53">
        <v>753</v>
      </c>
      <c r="W53" t="s">
        <v>57</v>
      </c>
      <c r="X53">
        <v>1679.56</v>
      </c>
    </row>
    <row r="54" spans="1:24" x14ac:dyDescent="0.25">
      <c r="A54" s="2">
        <v>100052</v>
      </c>
      <c r="B54" s="1">
        <v>45815</v>
      </c>
      <c r="C54" s="1">
        <v>45816</v>
      </c>
      <c r="D54" s="1">
        <v>45821</v>
      </c>
      <c r="E54" t="s">
        <v>272</v>
      </c>
      <c r="F54" t="s">
        <v>32</v>
      </c>
      <c r="G54" t="s">
        <v>273</v>
      </c>
      <c r="H54" t="s">
        <v>274</v>
      </c>
      <c r="I54" t="s">
        <v>207</v>
      </c>
      <c r="J54" t="s">
        <v>80</v>
      </c>
      <c r="K54" t="s">
        <v>275</v>
      </c>
      <c r="L54" t="s">
        <v>98</v>
      </c>
      <c r="M54" t="s">
        <v>32</v>
      </c>
      <c r="N54" t="s">
        <v>45</v>
      </c>
      <c r="O54" t="s">
        <v>46</v>
      </c>
      <c r="P54" t="s">
        <v>123</v>
      </c>
      <c r="Q54">
        <v>56</v>
      </c>
      <c r="R54">
        <v>234.65</v>
      </c>
      <c r="S54">
        <v>13140.4</v>
      </c>
      <c r="T54">
        <v>8.93</v>
      </c>
      <c r="U54">
        <v>5</v>
      </c>
      <c r="V54">
        <v>1129</v>
      </c>
      <c r="W54" t="s">
        <v>36</v>
      </c>
      <c r="X54">
        <v>1696.33</v>
      </c>
    </row>
    <row r="55" spans="1:24" x14ac:dyDescent="0.25">
      <c r="A55" s="2">
        <v>100053</v>
      </c>
      <c r="B55" s="1">
        <v>45548</v>
      </c>
      <c r="C55" s="1">
        <v>45548</v>
      </c>
      <c r="D55" s="1">
        <v>45552</v>
      </c>
      <c r="E55" t="s">
        <v>276</v>
      </c>
      <c r="F55" t="s">
        <v>32</v>
      </c>
      <c r="G55" t="s">
        <v>137</v>
      </c>
      <c r="H55" t="s">
        <v>277</v>
      </c>
      <c r="I55" t="s">
        <v>278</v>
      </c>
      <c r="J55" t="s">
        <v>29</v>
      </c>
      <c r="K55" t="s">
        <v>279</v>
      </c>
      <c r="L55" t="s">
        <v>44</v>
      </c>
      <c r="M55" t="s">
        <v>65</v>
      </c>
      <c r="N55" t="s">
        <v>74</v>
      </c>
      <c r="O55" t="s">
        <v>75</v>
      </c>
      <c r="P55" t="s">
        <v>35</v>
      </c>
      <c r="Q55">
        <v>223</v>
      </c>
      <c r="R55">
        <v>35.97</v>
      </c>
      <c r="S55">
        <v>8021.31</v>
      </c>
      <c r="T55">
        <v>18.8</v>
      </c>
      <c r="U55">
        <v>4</v>
      </c>
      <c r="V55">
        <v>177</v>
      </c>
      <c r="W55" t="s">
        <v>36</v>
      </c>
      <c r="X55">
        <v>1207.92</v>
      </c>
    </row>
    <row r="56" spans="1:24" x14ac:dyDescent="0.25">
      <c r="A56" s="2">
        <v>100054</v>
      </c>
      <c r="B56" s="1">
        <v>45298</v>
      </c>
      <c r="C56" s="1">
        <v>45300</v>
      </c>
      <c r="D56" s="1">
        <v>45310</v>
      </c>
      <c r="E56" t="s">
        <v>280</v>
      </c>
      <c r="F56" t="s">
        <v>38</v>
      </c>
      <c r="G56" t="s">
        <v>83</v>
      </c>
      <c r="H56" t="s">
        <v>281</v>
      </c>
      <c r="I56" t="s">
        <v>41</v>
      </c>
      <c r="J56" t="s">
        <v>42</v>
      </c>
      <c r="K56" t="s">
        <v>282</v>
      </c>
      <c r="L56" t="s">
        <v>98</v>
      </c>
      <c r="M56" t="s">
        <v>32</v>
      </c>
      <c r="N56" t="s">
        <v>55</v>
      </c>
      <c r="O56" t="s">
        <v>56</v>
      </c>
      <c r="P56" t="s">
        <v>123</v>
      </c>
      <c r="Q56">
        <v>303</v>
      </c>
      <c r="R56">
        <v>267.72000000000003</v>
      </c>
      <c r="S56">
        <v>81119.16</v>
      </c>
      <c r="T56">
        <v>18.05</v>
      </c>
      <c r="U56">
        <v>10</v>
      </c>
      <c r="V56">
        <v>1088</v>
      </c>
      <c r="W56" t="s">
        <v>36</v>
      </c>
      <c r="X56">
        <v>8541.6200000000008</v>
      </c>
    </row>
    <row r="57" spans="1:24" x14ac:dyDescent="0.25">
      <c r="A57" s="2">
        <v>100055</v>
      </c>
      <c r="B57" s="1">
        <v>45564</v>
      </c>
      <c r="C57" s="1">
        <v>45569</v>
      </c>
      <c r="D57" s="1">
        <v>45571</v>
      </c>
      <c r="E57" t="s">
        <v>283</v>
      </c>
      <c r="F57" t="s">
        <v>25</v>
      </c>
      <c r="G57" t="s">
        <v>172</v>
      </c>
      <c r="H57" t="s">
        <v>284</v>
      </c>
      <c r="I57" t="s">
        <v>51</v>
      </c>
      <c r="J57" t="s">
        <v>52</v>
      </c>
      <c r="K57" t="s">
        <v>285</v>
      </c>
      <c r="L57" t="s">
        <v>64</v>
      </c>
      <c r="M57" t="s">
        <v>65</v>
      </c>
      <c r="N57" t="s">
        <v>203</v>
      </c>
      <c r="O57" t="s">
        <v>204</v>
      </c>
      <c r="P57" t="s">
        <v>68</v>
      </c>
      <c r="Q57">
        <v>34</v>
      </c>
      <c r="R57">
        <v>63.69</v>
      </c>
      <c r="S57">
        <v>2165.46</v>
      </c>
      <c r="T57">
        <v>30.72</v>
      </c>
      <c r="U57">
        <v>2</v>
      </c>
      <c r="V57">
        <v>266</v>
      </c>
      <c r="W57" t="s">
        <v>36</v>
      </c>
      <c r="X57">
        <v>255.87</v>
      </c>
    </row>
    <row r="58" spans="1:24" x14ac:dyDescent="0.25">
      <c r="A58" s="2">
        <v>100056</v>
      </c>
      <c r="B58" s="1">
        <v>45761</v>
      </c>
      <c r="C58" s="1">
        <v>45762</v>
      </c>
      <c r="D58" s="1">
        <v>45771</v>
      </c>
      <c r="E58" t="s">
        <v>286</v>
      </c>
      <c r="F58" t="s">
        <v>54</v>
      </c>
      <c r="G58" t="s">
        <v>225</v>
      </c>
      <c r="H58" t="s">
        <v>287</v>
      </c>
      <c r="I58" t="s">
        <v>238</v>
      </c>
      <c r="J58" t="s">
        <v>62</v>
      </c>
      <c r="K58" t="s">
        <v>288</v>
      </c>
      <c r="L58" t="s">
        <v>187</v>
      </c>
      <c r="M58" t="s">
        <v>54</v>
      </c>
      <c r="N58" t="s">
        <v>151</v>
      </c>
      <c r="O58" t="s">
        <v>152</v>
      </c>
      <c r="P58" t="s">
        <v>35</v>
      </c>
      <c r="Q58">
        <v>434</v>
      </c>
      <c r="R58">
        <v>20.190000000000001</v>
      </c>
      <c r="S58">
        <v>8762.4599999999991</v>
      </c>
      <c r="T58">
        <v>18.350000000000001</v>
      </c>
      <c r="U58">
        <v>9</v>
      </c>
      <c r="V58">
        <v>3039</v>
      </c>
      <c r="W58" t="s">
        <v>36</v>
      </c>
      <c r="X58">
        <v>825.41</v>
      </c>
    </row>
    <row r="59" spans="1:24" x14ac:dyDescent="0.25">
      <c r="A59" s="2">
        <v>100057</v>
      </c>
      <c r="B59" s="1">
        <v>45668</v>
      </c>
      <c r="C59" s="1">
        <v>45668</v>
      </c>
      <c r="D59" s="1">
        <v>45689</v>
      </c>
      <c r="E59" t="s">
        <v>289</v>
      </c>
      <c r="F59" t="s">
        <v>65</v>
      </c>
      <c r="G59" t="s">
        <v>154</v>
      </c>
      <c r="H59" t="s">
        <v>290</v>
      </c>
      <c r="I59" t="s">
        <v>139</v>
      </c>
      <c r="J59" t="s">
        <v>42</v>
      </c>
      <c r="K59" t="s">
        <v>291</v>
      </c>
      <c r="L59" t="s">
        <v>212</v>
      </c>
      <c r="M59" t="s">
        <v>65</v>
      </c>
      <c r="N59" t="s">
        <v>33</v>
      </c>
      <c r="O59" t="s">
        <v>34</v>
      </c>
      <c r="P59" t="s">
        <v>76</v>
      </c>
      <c r="Q59">
        <v>13</v>
      </c>
      <c r="R59">
        <v>391.82</v>
      </c>
      <c r="S59">
        <v>5093.66</v>
      </c>
      <c r="T59">
        <v>6.12</v>
      </c>
      <c r="U59">
        <v>21</v>
      </c>
      <c r="V59">
        <v>1519</v>
      </c>
      <c r="W59" t="s">
        <v>188</v>
      </c>
      <c r="X59">
        <v>525.01</v>
      </c>
    </row>
    <row r="60" spans="1:24" x14ac:dyDescent="0.25">
      <c r="A60" s="2">
        <v>100058</v>
      </c>
      <c r="B60" s="1">
        <v>45534</v>
      </c>
      <c r="C60" s="1">
        <v>45538</v>
      </c>
      <c r="D60" s="1">
        <v>45542</v>
      </c>
      <c r="E60" t="s">
        <v>292</v>
      </c>
      <c r="F60" t="s">
        <v>38</v>
      </c>
      <c r="G60" t="s">
        <v>83</v>
      </c>
      <c r="H60" t="s">
        <v>293</v>
      </c>
      <c r="I60" t="s">
        <v>207</v>
      </c>
      <c r="J60" t="s">
        <v>80</v>
      </c>
      <c r="K60" t="s">
        <v>294</v>
      </c>
      <c r="L60" t="s">
        <v>91</v>
      </c>
      <c r="M60" t="s">
        <v>65</v>
      </c>
      <c r="N60" t="s">
        <v>102</v>
      </c>
      <c r="O60" t="s">
        <v>103</v>
      </c>
      <c r="P60" t="s">
        <v>68</v>
      </c>
      <c r="Q60">
        <v>84</v>
      </c>
      <c r="R60">
        <v>308.31</v>
      </c>
      <c r="S60">
        <v>25898.04</v>
      </c>
      <c r="T60">
        <v>33.96</v>
      </c>
      <c r="U60">
        <v>4</v>
      </c>
      <c r="V60">
        <v>695</v>
      </c>
      <c r="W60" t="s">
        <v>36</v>
      </c>
      <c r="X60">
        <v>6069.26</v>
      </c>
    </row>
    <row r="61" spans="1:24" x14ac:dyDescent="0.25">
      <c r="A61" s="2">
        <v>100059</v>
      </c>
      <c r="B61" s="1">
        <v>45485</v>
      </c>
      <c r="C61" s="1">
        <v>45487</v>
      </c>
      <c r="D61" s="1">
        <v>45504</v>
      </c>
      <c r="E61" t="s">
        <v>295</v>
      </c>
      <c r="F61" t="s">
        <v>32</v>
      </c>
      <c r="G61" t="s">
        <v>137</v>
      </c>
      <c r="H61" t="s">
        <v>296</v>
      </c>
      <c r="I61" t="s">
        <v>230</v>
      </c>
      <c r="J61" t="s">
        <v>80</v>
      </c>
      <c r="K61" t="s">
        <v>297</v>
      </c>
      <c r="L61" t="s">
        <v>212</v>
      </c>
      <c r="M61" t="s">
        <v>38</v>
      </c>
      <c r="N61" t="s">
        <v>107</v>
      </c>
      <c r="O61" t="s">
        <v>108</v>
      </c>
      <c r="P61" t="s">
        <v>76</v>
      </c>
      <c r="Q61">
        <v>127</v>
      </c>
      <c r="R61">
        <v>260.39999999999998</v>
      </c>
      <c r="S61">
        <v>33070.800000000003</v>
      </c>
      <c r="T61">
        <v>10.33</v>
      </c>
      <c r="U61">
        <v>17</v>
      </c>
      <c r="V61">
        <v>773</v>
      </c>
      <c r="W61" t="s">
        <v>36</v>
      </c>
      <c r="X61">
        <v>4565.8100000000004</v>
      </c>
    </row>
    <row r="62" spans="1:24" x14ac:dyDescent="0.25">
      <c r="A62" s="2">
        <v>100060</v>
      </c>
      <c r="B62" s="1">
        <v>45611</v>
      </c>
      <c r="C62" s="1">
        <v>45616</v>
      </c>
      <c r="D62" s="1">
        <v>45624</v>
      </c>
      <c r="E62" t="s">
        <v>298</v>
      </c>
      <c r="F62" t="s">
        <v>38</v>
      </c>
      <c r="G62" t="s">
        <v>217</v>
      </c>
      <c r="H62" t="s">
        <v>299</v>
      </c>
      <c r="I62" t="s">
        <v>278</v>
      </c>
      <c r="J62" t="s">
        <v>29</v>
      </c>
      <c r="K62" t="s">
        <v>300</v>
      </c>
      <c r="L62" t="s">
        <v>31</v>
      </c>
      <c r="M62" t="s">
        <v>54</v>
      </c>
      <c r="N62" t="s">
        <v>55</v>
      </c>
      <c r="O62" t="s">
        <v>56</v>
      </c>
      <c r="P62" t="s">
        <v>123</v>
      </c>
      <c r="Q62">
        <v>399</v>
      </c>
      <c r="R62">
        <v>47.03</v>
      </c>
      <c r="S62">
        <v>18764.97</v>
      </c>
      <c r="T62">
        <v>20.39</v>
      </c>
      <c r="U62">
        <v>8</v>
      </c>
      <c r="V62">
        <v>159</v>
      </c>
      <c r="W62" t="s">
        <v>36</v>
      </c>
      <c r="X62">
        <v>2613.1999999999998</v>
      </c>
    </row>
    <row r="63" spans="1:24" x14ac:dyDescent="0.25">
      <c r="A63" s="2">
        <v>100061</v>
      </c>
      <c r="B63" s="1">
        <v>45887</v>
      </c>
      <c r="C63" s="1">
        <v>45887</v>
      </c>
      <c r="D63" s="1">
        <v>45894</v>
      </c>
      <c r="E63" t="s">
        <v>301</v>
      </c>
      <c r="F63" t="s">
        <v>54</v>
      </c>
      <c r="G63" t="s">
        <v>129</v>
      </c>
      <c r="H63" t="s">
        <v>302</v>
      </c>
      <c r="I63" t="s">
        <v>230</v>
      </c>
      <c r="J63" t="s">
        <v>80</v>
      </c>
      <c r="K63" t="s">
        <v>303</v>
      </c>
      <c r="L63" t="s">
        <v>118</v>
      </c>
      <c r="M63" t="s">
        <v>54</v>
      </c>
      <c r="N63" t="s">
        <v>66</v>
      </c>
      <c r="O63" t="s">
        <v>67</v>
      </c>
      <c r="P63" t="s">
        <v>68</v>
      </c>
      <c r="Q63">
        <v>428</v>
      </c>
      <c r="R63">
        <v>148.15</v>
      </c>
      <c r="S63">
        <v>63408.2</v>
      </c>
      <c r="T63">
        <v>41.66</v>
      </c>
      <c r="U63">
        <v>7</v>
      </c>
      <c r="V63">
        <v>1654</v>
      </c>
      <c r="W63" t="s">
        <v>36</v>
      </c>
      <c r="X63">
        <v>8828.36</v>
      </c>
    </row>
    <row r="64" spans="1:24" x14ac:dyDescent="0.25">
      <c r="A64" s="2">
        <v>100062</v>
      </c>
      <c r="B64" s="1">
        <v>45428</v>
      </c>
      <c r="C64" s="1">
        <v>45429</v>
      </c>
      <c r="D64" s="1">
        <v>45440</v>
      </c>
      <c r="E64" t="s">
        <v>304</v>
      </c>
      <c r="F64" t="s">
        <v>65</v>
      </c>
      <c r="G64" t="s">
        <v>142</v>
      </c>
      <c r="H64" t="s">
        <v>305</v>
      </c>
      <c r="I64" t="s">
        <v>134</v>
      </c>
      <c r="J64" t="s">
        <v>52</v>
      </c>
      <c r="K64" t="s">
        <v>306</v>
      </c>
      <c r="L64" t="s">
        <v>44</v>
      </c>
      <c r="M64" t="s">
        <v>32</v>
      </c>
      <c r="N64" t="s">
        <v>107</v>
      </c>
      <c r="O64" t="s">
        <v>108</v>
      </c>
      <c r="P64" t="s">
        <v>35</v>
      </c>
      <c r="Q64">
        <v>276</v>
      </c>
      <c r="R64">
        <v>73.209999999999994</v>
      </c>
      <c r="S64">
        <v>20205.96</v>
      </c>
      <c r="T64">
        <v>20.3</v>
      </c>
      <c r="U64">
        <v>11</v>
      </c>
      <c r="V64">
        <v>1514</v>
      </c>
      <c r="W64" t="s">
        <v>36</v>
      </c>
      <c r="X64">
        <v>3141.44</v>
      </c>
    </row>
    <row r="65" spans="1:24" x14ac:dyDescent="0.25">
      <c r="A65" s="2">
        <v>100063</v>
      </c>
      <c r="B65" s="1">
        <v>45423</v>
      </c>
      <c r="C65" s="1">
        <v>45423</v>
      </c>
      <c r="D65" s="1">
        <v>45445</v>
      </c>
      <c r="E65" t="s">
        <v>307</v>
      </c>
      <c r="F65" t="s">
        <v>32</v>
      </c>
      <c r="G65" t="s">
        <v>273</v>
      </c>
      <c r="H65" t="s">
        <v>308</v>
      </c>
      <c r="I65" t="s">
        <v>41</v>
      </c>
      <c r="J65" t="s">
        <v>42</v>
      </c>
      <c r="K65" t="s">
        <v>309</v>
      </c>
      <c r="L65" t="s">
        <v>31</v>
      </c>
      <c r="M65" t="s">
        <v>54</v>
      </c>
      <c r="N65" t="s">
        <v>55</v>
      </c>
      <c r="O65" t="s">
        <v>56</v>
      </c>
      <c r="P65" t="s">
        <v>76</v>
      </c>
      <c r="Q65">
        <v>431</v>
      </c>
      <c r="R65">
        <v>270.51</v>
      </c>
      <c r="S65">
        <v>116589.81</v>
      </c>
      <c r="T65">
        <v>15.87</v>
      </c>
      <c r="U65">
        <v>22</v>
      </c>
      <c r="V65">
        <v>624</v>
      </c>
      <c r="W65" t="s">
        <v>36</v>
      </c>
      <c r="X65">
        <v>23994.69</v>
      </c>
    </row>
    <row r="66" spans="1:24" x14ac:dyDescent="0.25">
      <c r="A66" s="2">
        <v>100064</v>
      </c>
      <c r="B66" s="1">
        <v>45907</v>
      </c>
      <c r="C66" s="1">
        <v>45909</v>
      </c>
      <c r="D66" s="1">
        <v>45924</v>
      </c>
      <c r="E66" t="s">
        <v>310</v>
      </c>
      <c r="F66" t="s">
        <v>54</v>
      </c>
      <c r="G66" t="s">
        <v>129</v>
      </c>
      <c r="H66" t="s">
        <v>311</v>
      </c>
      <c r="I66" t="s">
        <v>85</v>
      </c>
      <c r="J66" t="s">
        <v>52</v>
      </c>
      <c r="K66" t="s">
        <v>288</v>
      </c>
      <c r="L66" t="s">
        <v>91</v>
      </c>
      <c r="M66" t="s">
        <v>54</v>
      </c>
      <c r="N66" t="s">
        <v>203</v>
      </c>
      <c r="O66" t="s">
        <v>204</v>
      </c>
      <c r="P66" t="s">
        <v>35</v>
      </c>
      <c r="Q66">
        <v>457</v>
      </c>
      <c r="R66">
        <v>21.67</v>
      </c>
      <c r="S66">
        <v>9903.19</v>
      </c>
      <c r="T66">
        <v>18.84</v>
      </c>
      <c r="U66">
        <v>15</v>
      </c>
      <c r="V66">
        <v>2235</v>
      </c>
      <c r="W66" t="s">
        <v>188</v>
      </c>
      <c r="X66">
        <v>1412.27</v>
      </c>
    </row>
    <row r="67" spans="1:24" x14ac:dyDescent="0.25">
      <c r="A67" s="2">
        <v>100065</v>
      </c>
      <c r="B67" s="1">
        <v>45732</v>
      </c>
      <c r="C67" s="1">
        <v>45732</v>
      </c>
      <c r="D67" s="1">
        <v>45754</v>
      </c>
      <c r="E67" t="s">
        <v>312</v>
      </c>
      <c r="F67" t="s">
        <v>32</v>
      </c>
      <c r="G67" t="s">
        <v>255</v>
      </c>
      <c r="H67" t="s">
        <v>313</v>
      </c>
      <c r="I67" t="s">
        <v>41</v>
      </c>
      <c r="J67" t="s">
        <v>42</v>
      </c>
      <c r="K67" t="s">
        <v>140</v>
      </c>
      <c r="L67" t="s">
        <v>91</v>
      </c>
      <c r="M67" t="s">
        <v>32</v>
      </c>
      <c r="N67" t="s">
        <v>66</v>
      </c>
      <c r="O67" t="s">
        <v>67</v>
      </c>
      <c r="P67" t="s">
        <v>76</v>
      </c>
      <c r="Q67">
        <v>205</v>
      </c>
      <c r="R67">
        <v>282.26</v>
      </c>
      <c r="S67">
        <v>57863.3</v>
      </c>
      <c r="T67">
        <v>8.7100000000000009</v>
      </c>
      <c r="U67">
        <v>22</v>
      </c>
      <c r="V67">
        <v>1595</v>
      </c>
      <c r="W67" t="s">
        <v>36</v>
      </c>
      <c r="X67">
        <v>5454.06</v>
      </c>
    </row>
    <row r="68" spans="1:24" x14ac:dyDescent="0.25">
      <c r="A68" s="2">
        <v>100066</v>
      </c>
      <c r="B68" s="1">
        <v>45519</v>
      </c>
      <c r="C68" s="1">
        <v>45523</v>
      </c>
      <c r="D68" s="1">
        <v>45534</v>
      </c>
      <c r="E68" t="s">
        <v>314</v>
      </c>
      <c r="F68" t="s">
        <v>25</v>
      </c>
      <c r="G68" t="s">
        <v>221</v>
      </c>
      <c r="H68" t="s">
        <v>315</v>
      </c>
      <c r="I68" t="s">
        <v>89</v>
      </c>
      <c r="J68" t="s">
        <v>62</v>
      </c>
      <c r="K68" t="s">
        <v>316</v>
      </c>
      <c r="L68" t="s">
        <v>113</v>
      </c>
      <c r="M68" t="s">
        <v>32</v>
      </c>
      <c r="N68" t="s">
        <v>92</v>
      </c>
      <c r="O68" t="s">
        <v>93</v>
      </c>
      <c r="P68" t="s">
        <v>123</v>
      </c>
      <c r="Q68">
        <v>166</v>
      </c>
      <c r="R68">
        <v>15.32</v>
      </c>
      <c r="S68">
        <v>2543.12</v>
      </c>
      <c r="T68">
        <v>14.73</v>
      </c>
      <c r="U68">
        <v>11</v>
      </c>
      <c r="V68">
        <v>3191</v>
      </c>
      <c r="W68" t="s">
        <v>57</v>
      </c>
      <c r="X68">
        <v>310.27</v>
      </c>
    </row>
    <row r="69" spans="1:24" x14ac:dyDescent="0.25">
      <c r="A69" s="2">
        <v>100067</v>
      </c>
      <c r="B69" s="1">
        <v>45574</v>
      </c>
      <c r="C69" s="1">
        <v>45578</v>
      </c>
      <c r="D69" s="1">
        <v>45582</v>
      </c>
      <c r="E69" t="s">
        <v>317</v>
      </c>
      <c r="F69" t="s">
        <v>54</v>
      </c>
      <c r="G69" t="s">
        <v>225</v>
      </c>
      <c r="H69" t="s">
        <v>318</v>
      </c>
      <c r="I69" t="s">
        <v>51</v>
      </c>
      <c r="J69" t="s">
        <v>52</v>
      </c>
      <c r="K69" t="s">
        <v>319</v>
      </c>
      <c r="L69" t="s">
        <v>118</v>
      </c>
      <c r="M69" t="s">
        <v>54</v>
      </c>
      <c r="N69" t="s">
        <v>66</v>
      </c>
      <c r="O69" t="s">
        <v>67</v>
      </c>
      <c r="P69" t="s">
        <v>68</v>
      </c>
      <c r="Q69">
        <v>311</v>
      </c>
      <c r="R69">
        <v>58.43</v>
      </c>
      <c r="S69">
        <v>18171.73</v>
      </c>
      <c r="T69">
        <v>36.049999999999997</v>
      </c>
      <c r="U69">
        <v>4</v>
      </c>
      <c r="V69">
        <v>2465</v>
      </c>
      <c r="W69" t="s">
        <v>36</v>
      </c>
      <c r="X69">
        <v>2231.14</v>
      </c>
    </row>
    <row r="70" spans="1:24" x14ac:dyDescent="0.25">
      <c r="A70" s="2">
        <v>100068</v>
      </c>
      <c r="B70" s="1">
        <v>45751</v>
      </c>
      <c r="C70" s="1">
        <v>45754</v>
      </c>
      <c r="D70" s="1">
        <v>45761</v>
      </c>
      <c r="E70" t="s">
        <v>320</v>
      </c>
      <c r="F70" t="s">
        <v>54</v>
      </c>
      <c r="G70" t="s">
        <v>165</v>
      </c>
      <c r="H70" t="s">
        <v>321</v>
      </c>
      <c r="I70" t="s">
        <v>238</v>
      </c>
      <c r="J70" t="s">
        <v>62</v>
      </c>
      <c r="K70" t="s">
        <v>322</v>
      </c>
      <c r="L70" t="s">
        <v>118</v>
      </c>
      <c r="M70" t="s">
        <v>54</v>
      </c>
      <c r="N70" t="s">
        <v>45</v>
      </c>
      <c r="O70" t="s">
        <v>46</v>
      </c>
      <c r="P70" t="s">
        <v>123</v>
      </c>
      <c r="Q70">
        <v>101</v>
      </c>
      <c r="R70">
        <v>21.85</v>
      </c>
      <c r="S70">
        <v>2206.85</v>
      </c>
      <c r="T70">
        <v>9.74</v>
      </c>
      <c r="U70">
        <v>7</v>
      </c>
      <c r="V70">
        <v>4446</v>
      </c>
      <c r="W70" t="s">
        <v>36</v>
      </c>
      <c r="X70">
        <v>366.14</v>
      </c>
    </row>
    <row r="71" spans="1:24" x14ac:dyDescent="0.25">
      <c r="A71" s="2">
        <v>100069</v>
      </c>
      <c r="B71" s="1">
        <v>45904</v>
      </c>
      <c r="C71" s="1">
        <v>45908</v>
      </c>
      <c r="D71" s="1">
        <v>45910</v>
      </c>
      <c r="E71" t="s">
        <v>323</v>
      </c>
      <c r="F71" t="s">
        <v>54</v>
      </c>
      <c r="G71" t="s">
        <v>158</v>
      </c>
      <c r="H71" t="s">
        <v>324</v>
      </c>
      <c r="I71" t="s">
        <v>28</v>
      </c>
      <c r="J71" t="s">
        <v>29</v>
      </c>
      <c r="K71" t="s">
        <v>325</v>
      </c>
      <c r="L71" t="s">
        <v>98</v>
      </c>
      <c r="M71" t="s">
        <v>65</v>
      </c>
      <c r="N71" t="s">
        <v>74</v>
      </c>
      <c r="O71" t="s">
        <v>75</v>
      </c>
      <c r="P71" t="s">
        <v>68</v>
      </c>
      <c r="Q71">
        <v>328</v>
      </c>
      <c r="R71">
        <v>44.26</v>
      </c>
      <c r="S71">
        <v>14517.28</v>
      </c>
      <c r="T71">
        <v>49.77</v>
      </c>
      <c r="U71">
        <v>2</v>
      </c>
      <c r="V71">
        <v>2568</v>
      </c>
      <c r="W71" t="s">
        <v>36</v>
      </c>
      <c r="X71">
        <v>1364.39</v>
      </c>
    </row>
    <row r="72" spans="1:24" x14ac:dyDescent="0.25">
      <c r="A72" s="2">
        <v>100070</v>
      </c>
      <c r="B72" s="1">
        <v>45727</v>
      </c>
      <c r="C72" s="1">
        <v>45727</v>
      </c>
      <c r="D72" s="1">
        <v>45733</v>
      </c>
      <c r="E72" t="s">
        <v>326</v>
      </c>
      <c r="F72" t="s">
        <v>32</v>
      </c>
      <c r="G72" t="s">
        <v>273</v>
      </c>
      <c r="H72" t="s">
        <v>327</v>
      </c>
      <c r="I72" t="s">
        <v>61</v>
      </c>
      <c r="J72" t="s">
        <v>62</v>
      </c>
      <c r="K72" t="s">
        <v>328</v>
      </c>
      <c r="L72" t="s">
        <v>122</v>
      </c>
      <c r="M72" t="s">
        <v>32</v>
      </c>
      <c r="N72" t="s">
        <v>33</v>
      </c>
      <c r="O72" t="s">
        <v>34</v>
      </c>
      <c r="P72" t="s">
        <v>35</v>
      </c>
      <c r="Q72">
        <v>34</v>
      </c>
      <c r="R72">
        <v>43.86</v>
      </c>
      <c r="S72">
        <v>1491.24</v>
      </c>
      <c r="T72">
        <v>9.9499999999999993</v>
      </c>
      <c r="U72">
        <v>6</v>
      </c>
      <c r="V72">
        <v>685</v>
      </c>
      <c r="W72" t="s">
        <v>36</v>
      </c>
      <c r="X72">
        <v>242.66</v>
      </c>
    </row>
    <row r="73" spans="1:24" x14ac:dyDescent="0.25">
      <c r="A73" s="2">
        <v>100071</v>
      </c>
      <c r="B73" s="1">
        <v>45470</v>
      </c>
      <c r="C73" s="1">
        <v>45475</v>
      </c>
      <c r="D73" s="1">
        <v>45486</v>
      </c>
      <c r="E73" t="s">
        <v>329</v>
      </c>
      <c r="F73" t="s">
        <v>54</v>
      </c>
      <c r="G73" t="s">
        <v>165</v>
      </c>
      <c r="H73" t="s">
        <v>330</v>
      </c>
      <c r="I73" t="s">
        <v>51</v>
      </c>
      <c r="J73" t="s">
        <v>52</v>
      </c>
      <c r="K73" t="s">
        <v>331</v>
      </c>
      <c r="L73" t="s">
        <v>91</v>
      </c>
      <c r="M73" t="s">
        <v>25</v>
      </c>
      <c r="N73" t="s">
        <v>45</v>
      </c>
      <c r="O73" t="s">
        <v>46</v>
      </c>
      <c r="P73" t="s">
        <v>123</v>
      </c>
      <c r="Q73">
        <v>353</v>
      </c>
      <c r="R73">
        <v>33.54</v>
      </c>
      <c r="S73">
        <v>11839.62</v>
      </c>
      <c r="T73">
        <v>19.27</v>
      </c>
      <c r="U73">
        <v>11</v>
      </c>
      <c r="V73">
        <v>4358</v>
      </c>
      <c r="W73" t="s">
        <v>36</v>
      </c>
      <c r="X73">
        <v>1136.8499999999999</v>
      </c>
    </row>
    <row r="74" spans="1:24" x14ac:dyDescent="0.25">
      <c r="A74" s="2">
        <v>100072</v>
      </c>
      <c r="B74" s="1">
        <v>45375</v>
      </c>
      <c r="C74" s="1">
        <v>45375</v>
      </c>
      <c r="D74" s="1">
        <v>45379</v>
      </c>
      <c r="E74" t="s">
        <v>332</v>
      </c>
      <c r="F74" t="s">
        <v>54</v>
      </c>
      <c r="G74" t="s">
        <v>225</v>
      </c>
      <c r="H74" t="s">
        <v>333</v>
      </c>
      <c r="I74" t="s">
        <v>149</v>
      </c>
      <c r="J74" t="s">
        <v>42</v>
      </c>
      <c r="K74" t="s">
        <v>334</v>
      </c>
      <c r="L74" t="s">
        <v>91</v>
      </c>
      <c r="M74" t="s">
        <v>54</v>
      </c>
      <c r="N74" t="s">
        <v>151</v>
      </c>
      <c r="O74" t="s">
        <v>152</v>
      </c>
      <c r="P74" t="s">
        <v>123</v>
      </c>
      <c r="Q74">
        <v>369</v>
      </c>
      <c r="R74">
        <v>255.86</v>
      </c>
      <c r="S74">
        <v>94412.34</v>
      </c>
      <c r="T74">
        <v>14.56</v>
      </c>
      <c r="U74">
        <v>4</v>
      </c>
      <c r="V74">
        <v>1214</v>
      </c>
      <c r="W74" t="s">
        <v>36</v>
      </c>
      <c r="X74">
        <v>18109.73</v>
      </c>
    </row>
    <row r="75" spans="1:24" x14ac:dyDescent="0.25">
      <c r="A75" s="2">
        <v>100073</v>
      </c>
      <c r="B75" s="1">
        <v>45961</v>
      </c>
      <c r="C75" s="1">
        <v>45965</v>
      </c>
      <c r="D75" s="1">
        <v>45973</v>
      </c>
      <c r="E75" t="s">
        <v>335</v>
      </c>
      <c r="F75" t="s">
        <v>65</v>
      </c>
      <c r="G75" t="s">
        <v>154</v>
      </c>
      <c r="H75" t="s">
        <v>336</v>
      </c>
      <c r="I75" t="s">
        <v>79</v>
      </c>
      <c r="J75" t="s">
        <v>80</v>
      </c>
      <c r="K75" t="s">
        <v>337</v>
      </c>
      <c r="L75" t="s">
        <v>118</v>
      </c>
      <c r="M75" t="s">
        <v>38</v>
      </c>
      <c r="N75" t="s">
        <v>45</v>
      </c>
      <c r="O75" t="s">
        <v>46</v>
      </c>
      <c r="P75" t="s">
        <v>68</v>
      </c>
      <c r="Q75">
        <v>266</v>
      </c>
      <c r="R75">
        <v>280.41000000000003</v>
      </c>
      <c r="S75">
        <v>74589.06</v>
      </c>
      <c r="T75">
        <v>45.75</v>
      </c>
      <c r="U75">
        <v>8</v>
      </c>
      <c r="V75">
        <v>243</v>
      </c>
      <c r="W75" t="s">
        <v>36</v>
      </c>
      <c r="X75">
        <v>14836.4</v>
      </c>
    </row>
    <row r="76" spans="1:24" x14ac:dyDescent="0.25">
      <c r="A76" s="2">
        <v>100074</v>
      </c>
      <c r="B76" s="1">
        <v>45935</v>
      </c>
      <c r="C76" s="1">
        <v>45935</v>
      </c>
      <c r="D76" s="1">
        <v>45946</v>
      </c>
      <c r="E76" t="s">
        <v>338</v>
      </c>
      <c r="F76" t="s">
        <v>32</v>
      </c>
      <c r="G76" t="s">
        <v>95</v>
      </c>
      <c r="H76" t="s">
        <v>339</v>
      </c>
      <c r="I76" t="s">
        <v>182</v>
      </c>
      <c r="J76" t="s">
        <v>80</v>
      </c>
      <c r="K76" t="s">
        <v>340</v>
      </c>
      <c r="L76" t="s">
        <v>187</v>
      </c>
      <c r="M76" t="s">
        <v>54</v>
      </c>
      <c r="N76" t="s">
        <v>74</v>
      </c>
      <c r="O76" t="s">
        <v>75</v>
      </c>
      <c r="P76" t="s">
        <v>123</v>
      </c>
      <c r="Q76">
        <v>275</v>
      </c>
      <c r="R76">
        <v>123.93</v>
      </c>
      <c r="S76">
        <v>34080.75</v>
      </c>
      <c r="T76">
        <v>17.37</v>
      </c>
      <c r="U76">
        <v>11</v>
      </c>
      <c r="V76">
        <v>1951</v>
      </c>
      <c r="W76" t="s">
        <v>36</v>
      </c>
      <c r="X76">
        <v>9410.35</v>
      </c>
    </row>
    <row r="77" spans="1:24" x14ac:dyDescent="0.25">
      <c r="A77" s="2">
        <v>100075</v>
      </c>
      <c r="B77" s="1">
        <v>45682</v>
      </c>
      <c r="C77" s="1">
        <v>45686</v>
      </c>
      <c r="D77" s="1">
        <v>45701</v>
      </c>
      <c r="E77" t="s">
        <v>341</v>
      </c>
      <c r="F77" t="s">
        <v>32</v>
      </c>
      <c r="G77" t="s">
        <v>180</v>
      </c>
      <c r="H77" t="s">
        <v>342</v>
      </c>
      <c r="I77" t="s">
        <v>230</v>
      </c>
      <c r="J77" t="s">
        <v>80</v>
      </c>
      <c r="K77" t="s">
        <v>268</v>
      </c>
      <c r="L77" t="s">
        <v>212</v>
      </c>
      <c r="M77" t="s">
        <v>38</v>
      </c>
      <c r="N77" t="s">
        <v>151</v>
      </c>
      <c r="O77" t="s">
        <v>152</v>
      </c>
      <c r="P77" t="s">
        <v>123</v>
      </c>
      <c r="Q77">
        <v>248</v>
      </c>
      <c r="R77">
        <v>216.53</v>
      </c>
      <c r="S77">
        <v>53699.44</v>
      </c>
      <c r="T77">
        <v>16.72</v>
      </c>
      <c r="U77">
        <v>15</v>
      </c>
      <c r="V77">
        <v>1337</v>
      </c>
      <c r="W77" t="s">
        <v>188</v>
      </c>
      <c r="X77">
        <v>8516.5300000000007</v>
      </c>
    </row>
    <row r="78" spans="1:24" x14ac:dyDescent="0.25">
      <c r="A78" s="2">
        <v>100076</v>
      </c>
      <c r="B78" s="1">
        <v>45411</v>
      </c>
      <c r="C78" s="1">
        <v>45416</v>
      </c>
      <c r="D78" s="1">
        <v>45430</v>
      </c>
      <c r="E78" t="s">
        <v>343</v>
      </c>
      <c r="F78" t="s">
        <v>38</v>
      </c>
      <c r="G78" t="s">
        <v>147</v>
      </c>
      <c r="H78" t="s">
        <v>344</v>
      </c>
      <c r="I78" t="s">
        <v>41</v>
      </c>
      <c r="J78" t="s">
        <v>42</v>
      </c>
      <c r="K78" t="s">
        <v>345</v>
      </c>
      <c r="L78" t="s">
        <v>91</v>
      </c>
      <c r="M78" t="s">
        <v>32</v>
      </c>
      <c r="N78" t="s">
        <v>92</v>
      </c>
      <c r="O78" t="s">
        <v>93</v>
      </c>
      <c r="P78" t="s">
        <v>123</v>
      </c>
      <c r="Q78">
        <v>320</v>
      </c>
      <c r="R78">
        <v>409.57</v>
      </c>
      <c r="S78">
        <v>131062.39999999999</v>
      </c>
      <c r="T78">
        <v>18.47</v>
      </c>
      <c r="U78">
        <v>14</v>
      </c>
      <c r="V78">
        <v>56</v>
      </c>
      <c r="W78" t="s">
        <v>36</v>
      </c>
      <c r="X78">
        <v>26028.6</v>
      </c>
    </row>
    <row r="79" spans="1:24" x14ac:dyDescent="0.25">
      <c r="A79" s="2">
        <v>100077</v>
      </c>
      <c r="B79" s="1">
        <v>45839</v>
      </c>
      <c r="C79" s="1">
        <v>45843</v>
      </c>
      <c r="D79" s="1">
        <v>45864</v>
      </c>
      <c r="E79" t="s">
        <v>346</v>
      </c>
      <c r="F79" t="s">
        <v>25</v>
      </c>
      <c r="G79" t="s">
        <v>169</v>
      </c>
      <c r="H79" t="s">
        <v>347</v>
      </c>
      <c r="I79" t="s">
        <v>207</v>
      </c>
      <c r="J79" t="s">
        <v>80</v>
      </c>
      <c r="K79" t="s">
        <v>348</v>
      </c>
      <c r="L79" t="s">
        <v>31</v>
      </c>
      <c r="M79" t="s">
        <v>54</v>
      </c>
      <c r="N79" t="s">
        <v>74</v>
      </c>
      <c r="O79" t="s">
        <v>75</v>
      </c>
      <c r="P79" t="s">
        <v>76</v>
      </c>
      <c r="Q79">
        <v>243</v>
      </c>
      <c r="R79">
        <v>295.77999999999997</v>
      </c>
      <c r="S79">
        <v>71874.539999999994</v>
      </c>
      <c r="T79">
        <v>12.45</v>
      </c>
      <c r="U79">
        <v>21</v>
      </c>
      <c r="V79">
        <v>756</v>
      </c>
      <c r="W79" t="s">
        <v>36</v>
      </c>
      <c r="X79">
        <v>15790.16</v>
      </c>
    </row>
    <row r="80" spans="1:24" x14ac:dyDescent="0.25">
      <c r="A80" s="2">
        <v>100078</v>
      </c>
      <c r="B80" s="1">
        <v>45517</v>
      </c>
      <c r="C80" s="1">
        <v>45521</v>
      </c>
      <c r="D80" s="1">
        <v>45525</v>
      </c>
      <c r="E80" t="s">
        <v>349</v>
      </c>
      <c r="F80" t="s">
        <v>54</v>
      </c>
      <c r="G80" t="s">
        <v>165</v>
      </c>
      <c r="H80" t="s">
        <v>350</v>
      </c>
      <c r="I80" t="s">
        <v>207</v>
      </c>
      <c r="J80" t="s">
        <v>80</v>
      </c>
      <c r="K80" t="s">
        <v>86</v>
      </c>
      <c r="L80" t="s">
        <v>44</v>
      </c>
      <c r="M80" t="s">
        <v>54</v>
      </c>
      <c r="N80" t="s">
        <v>151</v>
      </c>
      <c r="O80" t="s">
        <v>152</v>
      </c>
      <c r="P80" t="s">
        <v>68</v>
      </c>
      <c r="Q80">
        <v>211</v>
      </c>
      <c r="R80">
        <v>215.39</v>
      </c>
      <c r="S80">
        <v>45447.29</v>
      </c>
      <c r="T80">
        <v>31.25</v>
      </c>
      <c r="U80">
        <v>4</v>
      </c>
      <c r="V80">
        <v>2156</v>
      </c>
      <c r="W80" t="s">
        <v>36</v>
      </c>
      <c r="X80">
        <v>4420.7</v>
      </c>
    </row>
    <row r="81" spans="1:24" x14ac:dyDescent="0.25">
      <c r="A81" s="2">
        <v>100079</v>
      </c>
      <c r="B81" s="1">
        <v>45843</v>
      </c>
      <c r="C81" s="1">
        <v>45844</v>
      </c>
      <c r="D81" s="1">
        <v>45854</v>
      </c>
      <c r="E81" t="s">
        <v>351</v>
      </c>
      <c r="F81" t="s">
        <v>65</v>
      </c>
      <c r="G81" t="s">
        <v>70</v>
      </c>
      <c r="H81" t="s">
        <v>352</v>
      </c>
      <c r="I81" t="s">
        <v>41</v>
      </c>
      <c r="J81" t="s">
        <v>42</v>
      </c>
      <c r="K81" t="s">
        <v>353</v>
      </c>
      <c r="L81" t="s">
        <v>187</v>
      </c>
      <c r="M81" t="s">
        <v>32</v>
      </c>
      <c r="N81" t="s">
        <v>45</v>
      </c>
      <c r="O81" t="s">
        <v>46</v>
      </c>
      <c r="P81" t="s">
        <v>35</v>
      </c>
      <c r="Q81">
        <v>13</v>
      </c>
      <c r="R81">
        <v>111.59</v>
      </c>
      <c r="S81">
        <v>1450.67</v>
      </c>
      <c r="T81">
        <v>12.84</v>
      </c>
      <c r="U81">
        <v>10</v>
      </c>
      <c r="V81">
        <v>78</v>
      </c>
      <c r="W81" t="s">
        <v>36</v>
      </c>
      <c r="X81">
        <v>106.95</v>
      </c>
    </row>
    <row r="82" spans="1:24" x14ac:dyDescent="0.25">
      <c r="A82" s="2">
        <v>100080</v>
      </c>
      <c r="B82" s="1">
        <v>45333</v>
      </c>
      <c r="C82" s="1">
        <v>45336</v>
      </c>
      <c r="D82" s="1">
        <v>45346</v>
      </c>
      <c r="E82" t="s">
        <v>354</v>
      </c>
      <c r="F82" t="s">
        <v>38</v>
      </c>
      <c r="G82" t="s">
        <v>49</v>
      </c>
      <c r="H82" t="s">
        <v>355</v>
      </c>
      <c r="I82" t="s">
        <v>191</v>
      </c>
      <c r="J82" t="s">
        <v>62</v>
      </c>
      <c r="K82" t="s">
        <v>356</v>
      </c>
      <c r="L82" t="s">
        <v>113</v>
      </c>
      <c r="M82" t="s">
        <v>25</v>
      </c>
      <c r="N82" t="s">
        <v>55</v>
      </c>
      <c r="O82" t="s">
        <v>56</v>
      </c>
      <c r="P82" t="s">
        <v>35</v>
      </c>
      <c r="Q82">
        <v>495</v>
      </c>
      <c r="R82">
        <v>42.34</v>
      </c>
      <c r="S82">
        <v>20958.3</v>
      </c>
      <c r="T82">
        <v>26.51</v>
      </c>
      <c r="U82">
        <v>10</v>
      </c>
      <c r="V82">
        <v>1922</v>
      </c>
      <c r="W82" t="s">
        <v>36</v>
      </c>
      <c r="X82">
        <v>1739.83</v>
      </c>
    </row>
    <row r="83" spans="1:24" x14ac:dyDescent="0.25">
      <c r="A83" s="2">
        <v>100081</v>
      </c>
      <c r="B83" s="1">
        <v>46022</v>
      </c>
      <c r="C83" s="1">
        <v>46023</v>
      </c>
      <c r="D83" s="1">
        <v>46044</v>
      </c>
      <c r="E83" t="s">
        <v>357</v>
      </c>
      <c r="F83" t="s">
        <v>54</v>
      </c>
      <c r="G83" t="s">
        <v>165</v>
      </c>
      <c r="H83" t="s">
        <v>358</v>
      </c>
      <c r="I83" t="s">
        <v>28</v>
      </c>
      <c r="J83" t="s">
        <v>29</v>
      </c>
      <c r="K83" t="s">
        <v>359</v>
      </c>
      <c r="L83" t="s">
        <v>212</v>
      </c>
      <c r="M83" t="s">
        <v>38</v>
      </c>
      <c r="N83" t="s">
        <v>33</v>
      </c>
      <c r="O83" t="s">
        <v>34</v>
      </c>
      <c r="P83" t="s">
        <v>76</v>
      </c>
      <c r="Q83">
        <v>419</v>
      </c>
      <c r="R83">
        <v>54.48</v>
      </c>
      <c r="S83">
        <v>22827.119999999999</v>
      </c>
      <c r="T83">
        <v>15.66</v>
      </c>
      <c r="U83">
        <v>21</v>
      </c>
      <c r="V83">
        <v>851</v>
      </c>
      <c r="W83" t="s">
        <v>57</v>
      </c>
      <c r="X83">
        <v>3026.21</v>
      </c>
    </row>
    <row r="84" spans="1:24" x14ac:dyDescent="0.25">
      <c r="A84" s="2">
        <v>100082</v>
      </c>
      <c r="B84" s="1">
        <v>45984</v>
      </c>
      <c r="C84" s="1">
        <v>45987</v>
      </c>
      <c r="D84" s="1">
        <v>45999</v>
      </c>
      <c r="E84" t="s">
        <v>360</v>
      </c>
      <c r="F84" t="s">
        <v>65</v>
      </c>
      <c r="G84" t="s">
        <v>70</v>
      </c>
      <c r="H84" t="s">
        <v>361</v>
      </c>
      <c r="I84" t="s">
        <v>198</v>
      </c>
      <c r="J84" t="s">
        <v>52</v>
      </c>
      <c r="K84" t="s">
        <v>362</v>
      </c>
      <c r="L84" t="s">
        <v>98</v>
      </c>
      <c r="M84" t="s">
        <v>38</v>
      </c>
      <c r="N84" t="s">
        <v>203</v>
      </c>
      <c r="O84" t="s">
        <v>204</v>
      </c>
      <c r="P84" t="s">
        <v>76</v>
      </c>
      <c r="Q84">
        <v>20</v>
      </c>
      <c r="R84">
        <v>37.17</v>
      </c>
      <c r="S84">
        <v>743.4</v>
      </c>
      <c r="T84">
        <v>8.3800000000000008</v>
      </c>
      <c r="U84">
        <v>12</v>
      </c>
      <c r="V84">
        <v>1336</v>
      </c>
      <c r="W84" t="s">
        <v>36</v>
      </c>
      <c r="X84">
        <v>135.4</v>
      </c>
    </row>
    <row r="85" spans="1:24" x14ac:dyDescent="0.25">
      <c r="A85" s="2">
        <v>100083</v>
      </c>
      <c r="B85" s="1">
        <v>45955</v>
      </c>
      <c r="C85" s="1">
        <v>45960</v>
      </c>
      <c r="D85" s="1">
        <v>45969</v>
      </c>
      <c r="E85" t="s">
        <v>363</v>
      </c>
      <c r="F85" t="s">
        <v>32</v>
      </c>
      <c r="G85" t="s">
        <v>364</v>
      </c>
      <c r="H85" t="s">
        <v>365</v>
      </c>
      <c r="I85" t="s">
        <v>85</v>
      </c>
      <c r="J85" t="s">
        <v>52</v>
      </c>
      <c r="K85" t="s">
        <v>208</v>
      </c>
      <c r="L85" t="s">
        <v>44</v>
      </c>
      <c r="M85" t="s">
        <v>65</v>
      </c>
      <c r="N85" t="s">
        <v>55</v>
      </c>
      <c r="O85" t="s">
        <v>56</v>
      </c>
      <c r="P85" t="s">
        <v>123</v>
      </c>
      <c r="Q85">
        <v>248</v>
      </c>
      <c r="R85">
        <v>29.51</v>
      </c>
      <c r="S85">
        <v>7318.48</v>
      </c>
      <c r="T85">
        <v>16.72</v>
      </c>
      <c r="U85">
        <v>9</v>
      </c>
      <c r="V85">
        <v>1962</v>
      </c>
      <c r="W85" t="s">
        <v>36</v>
      </c>
      <c r="X85">
        <v>1404.39</v>
      </c>
    </row>
    <row r="86" spans="1:24" x14ac:dyDescent="0.25">
      <c r="A86" s="2">
        <v>100084</v>
      </c>
      <c r="B86" s="1">
        <v>45492</v>
      </c>
      <c r="C86" s="1">
        <v>45493</v>
      </c>
      <c r="D86" s="1">
        <v>45498</v>
      </c>
      <c r="E86" t="s">
        <v>366</v>
      </c>
      <c r="F86" t="s">
        <v>38</v>
      </c>
      <c r="G86" t="s">
        <v>217</v>
      </c>
      <c r="H86" t="s">
        <v>367</v>
      </c>
      <c r="I86" t="s">
        <v>368</v>
      </c>
      <c r="J86" t="s">
        <v>29</v>
      </c>
      <c r="K86" t="s">
        <v>131</v>
      </c>
      <c r="L86" t="s">
        <v>91</v>
      </c>
      <c r="M86" t="s">
        <v>65</v>
      </c>
      <c r="N86" t="s">
        <v>33</v>
      </c>
      <c r="O86" t="s">
        <v>34</v>
      </c>
      <c r="P86" t="s">
        <v>35</v>
      </c>
      <c r="Q86">
        <v>226</v>
      </c>
      <c r="R86">
        <v>87.54</v>
      </c>
      <c r="S86">
        <v>19784.04</v>
      </c>
      <c r="T86">
        <v>18.88</v>
      </c>
      <c r="U86">
        <v>5</v>
      </c>
      <c r="V86">
        <v>1789</v>
      </c>
      <c r="W86" t="s">
        <v>36</v>
      </c>
      <c r="X86">
        <v>5200.55</v>
      </c>
    </row>
    <row r="87" spans="1:24" x14ac:dyDescent="0.25">
      <c r="A87" s="2">
        <v>100085</v>
      </c>
      <c r="B87" s="1">
        <v>45463</v>
      </c>
      <c r="C87" s="1">
        <v>45465</v>
      </c>
      <c r="D87" s="1">
        <v>45473</v>
      </c>
      <c r="E87" t="s">
        <v>369</v>
      </c>
      <c r="F87" t="s">
        <v>25</v>
      </c>
      <c r="G87" t="s">
        <v>59</v>
      </c>
      <c r="H87" t="s">
        <v>370</v>
      </c>
      <c r="I87" t="s">
        <v>182</v>
      </c>
      <c r="J87" t="s">
        <v>80</v>
      </c>
      <c r="K87" t="s">
        <v>371</v>
      </c>
      <c r="L87" t="s">
        <v>44</v>
      </c>
      <c r="M87" t="s">
        <v>54</v>
      </c>
      <c r="N87" t="s">
        <v>74</v>
      </c>
      <c r="O87" t="s">
        <v>75</v>
      </c>
      <c r="P87" t="s">
        <v>68</v>
      </c>
      <c r="Q87">
        <v>339</v>
      </c>
      <c r="R87">
        <v>254.07</v>
      </c>
      <c r="S87">
        <v>86129.73</v>
      </c>
      <c r="T87">
        <v>50.48</v>
      </c>
      <c r="U87">
        <v>8</v>
      </c>
      <c r="V87">
        <v>1570</v>
      </c>
      <c r="W87" t="s">
        <v>36</v>
      </c>
      <c r="X87">
        <v>22314.94</v>
      </c>
    </row>
    <row r="88" spans="1:24" x14ac:dyDescent="0.25">
      <c r="A88" s="2">
        <v>100086</v>
      </c>
      <c r="B88" s="1">
        <v>45952</v>
      </c>
      <c r="C88" s="1">
        <v>45952</v>
      </c>
      <c r="D88" s="1">
        <v>45962</v>
      </c>
      <c r="E88" t="s">
        <v>372</v>
      </c>
      <c r="F88" t="s">
        <v>32</v>
      </c>
      <c r="G88" t="s">
        <v>137</v>
      </c>
      <c r="H88" t="s">
        <v>373</v>
      </c>
      <c r="I88" t="s">
        <v>116</v>
      </c>
      <c r="J88" t="s">
        <v>62</v>
      </c>
      <c r="K88" t="s">
        <v>374</v>
      </c>
      <c r="L88" t="s">
        <v>98</v>
      </c>
      <c r="M88" t="s">
        <v>38</v>
      </c>
      <c r="N88" t="s">
        <v>102</v>
      </c>
      <c r="O88" t="s">
        <v>103</v>
      </c>
      <c r="P88" t="s">
        <v>123</v>
      </c>
      <c r="Q88">
        <v>34</v>
      </c>
      <c r="R88">
        <v>45.65</v>
      </c>
      <c r="S88">
        <v>1552.1</v>
      </c>
      <c r="T88">
        <v>11.52</v>
      </c>
      <c r="U88">
        <v>10</v>
      </c>
      <c r="V88">
        <v>4026</v>
      </c>
      <c r="W88" t="s">
        <v>57</v>
      </c>
      <c r="X88">
        <v>118.21</v>
      </c>
    </row>
    <row r="89" spans="1:24" x14ac:dyDescent="0.25">
      <c r="A89" s="2">
        <v>100087</v>
      </c>
      <c r="B89" s="1">
        <v>45692</v>
      </c>
      <c r="C89" s="1">
        <v>45693</v>
      </c>
      <c r="D89" s="1">
        <v>45701</v>
      </c>
      <c r="E89" t="s">
        <v>375</v>
      </c>
      <c r="F89" t="s">
        <v>54</v>
      </c>
      <c r="G89" t="s">
        <v>129</v>
      </c>
      <c r="H89" t="s">
        <v>376</v>
      </c>
      <c r="I89" t="s">
        <v>134</v>
      </c>
      <c r="J89" t="s">
        <v>52</v>
      </c>
      <c r="K89" t="s">
        <v>377</v>
      </c>
      <c r="L89" t="s">
        <v>64</v>
      </c>
      <c r="M89" t="s">
        <v>32</v>
      </c>
      <c r="N89" t="s">
        <v>33</v>
      </c>
      <c r="O89" t="s">
        <v>34</v>
      </c>
      <c r="P89" t="s">
        <v>123</v>
      </c>
      <c r="Q89">
        <v>126</v>
      </c>
      <c r="R89">
        <v>67.94</v>
      </c>
      <c r="S89">
        <v>8560.44</v>
      </c>
      <c r="T89">
        <v>13.75</v>
      </c>
      <c r="U89">
        <v>8</v>
      </c>
      <c r="V89">
        <v>3130</v>
      </c>
      <c r="W89" t="s">
        <v>36</v>
      </c>
      <c r="X89">
        <v>1636.31</v>
      </c>
    </row>
    <row r="90" spans="1:24" x14ac:dyDescent="0.25">
      <c r="A90" s="2">
        <v>100088</v>
      </c>
      <c r="B90" s="1">
        <v>45663</v>
      </c>
      <c r="C90" s="1">
        <v>45665</v>
      </c>
      <c r="D90" s="1">
        <v>45667</v>
      </c>
      <c r="E90" t="s">
        <v>378</v>
      </c>
      <c r="F90" t="s">
        <v>54</v>
      </c>
      <c r="G90" t="s">
        <v>193</v>
      </c>
      <c r="H90" t="s">
        <v>379</v>
      </c>
      <c r="I90" t="s">
        <v>79</v>
      </c>
      <c r="J90" t="s">
        <v>80</v>
      </c>
      <c r="K90" t="s">
        <v>380</v>
      </c>
      <c r="L90" t="s">
        <v>212</v>
      </c>
      <c r="M90" t="s">
        <v>54</v>
      </c>
      <c r="N90" t="s">
        <v>74</v>
      </c>
      <c r="O90" t="s">
        <v>75</v>
      </c>
      <c r="P90" t="s">
        <v>68</v>
      </c>
      <c r="Q90">
        <v>168</v>
      </c>
      <c r="R90">
        <v>153.06</v>
      </c>
      <c r="S90">
        <v>25714.080000000002</v>
      </c>
      <c r="T90">
        <v>29.18</v>
      </c>
      <c r="U90">
        <v>2</v>
      </c>
      <c r="V90">
        <v>1171</v>
      </c>
      <c r="W90" t="s">
        <v>36</v>
      </c>
      <c r="X90">
        <v>5238.1499999999996</v>
      </c>
    </row>
    <row r="91" spans="1:24" x14ac:dyDescent="0.25">
      <c r="A91" s="2">
        <v>100089</v>
      </c>
      <c r="B91" s="1">
        <v>45655</v>
      </c>
      <c r="C91" s="1">
        <v>45655</v>
      </c>
      <c r="D91" s="1">
        <v>45660</v>
      </c>
      <c r="E91" t="s">
        <v>381</v>
      </c>
      <c r="F91" t="s">
        <v>54</v>
      </c>
      <c r="G91" t="s">
        <v>165</v>
      </c>
      <c r="H91" t="s">
        <v>382</v>
      </c>
      <c r="I91" t="s">
        <v>61</v>
      </c>
      <c r="J91" t="s">
        <v>62</v>
      </c>
      <c r="K91" t="s">
        <v>383</v>
      </c>
      <c r="L91" t="s">
        <v>31</v>
      </c>
      <c r="M91" t="s">
        <v>65</v>
      </c>
      <c r="N91" t="s">
        <v>107</v>
      </c>
      <c r="O91" t="s">
        <v>108</v>
      </c>
      <c r="P91" t="s">
        <v>35</v>
      </c>
      <c r="Q91">
        <v>170</v>
      </c>
      <c r="R91">
        <v>44.87</v>
      </c>
      <c r="S91">
        <v>7627.9</v>
      </c>
      <c r="T91">
        <v>17.29</v>
      </c>
      <c r="U91">
        <v>5</v>
      </c>
      <c r="V91">
        <v>1431</v>
      </c>
      <c r="W91" t="s">
        <v>57</v>
      </c>
      <c r="X91">
        <v>1038.1500000000001</v>
      </c>
    </row>
    <row r="92" spans="1:24" x14ac:dyDescent="0.25">
      <c r="A92" s="2">
        <v>100090</v>
      </c>
      <c r="B92" s="1">
        <v>45432</v>
      </c>
      <c r="C92" s="1">
        <v>45433</v>
      </c>
      <c r="D92" s="1">
        <v>45443</v>
      </c>
      <c r="E92" t="s">
        <v>384</v>
      </c>
      <c r="F92" t="s">
        <v>65</v>
      </c>
      <c r="G92" t="s">
        <v>142</v>
      </c>
      <c r="H92" t="s">
        <v>385</v>
      </c>
      <c r="I92" t="s">
        <v>368</v>
      </c>
      <c r="J92" t="s">
        <v>29</v>
      </c>
      <c r="K92" t="s">
        <v>386</v>
      </c>
      <c r="L92" t="s">
        <v>187</v>
      </c>
      <c r="M92" t="s">
        <v>38</v>
      </c>
      <c r="N92" t="s">
        <v>45</v>
      </c>
      <c r="O92" t="s">
        <v>46</v>
      </c>
      <c r="P92" t="s">
        <v>68</v>
      </c>
      <c r="Q92">
        <v>254</v>
      </c>
      <c r="R92">
        <v>62.78</v>
      </c>
      <c r="S92">
        <v>15946.12</v>
      </c>
      <c r="T92">
        <v>44.97</v>
      </c>
      <c r="U92">
        <v>10</v>
      </c>
      <c r="V92">
        <v>421</v>
      </c>
      <c r="W92" t="s">
        <v>36</v>
      </c>
      <c r="X92">
        <v>3999.84</v>
      </c>
    </row>
    <row r="93" spans="1:24" x14ac:dyDescent="0.25">
      <c r="A93" s="2">
        <v>100091</v>
      </c>
      <c r="B93" s="1">
        <v>45650</v>
      </c>
      <c r="C93" s="1">
        <v>45653</v>
      </c>
      <c r="D93" s="1">
        <v>45659</v>
      </c>
      <c r="E93" t="s">
        <v>387</v>
      </c>
      <c r="F93" t="s">
        <v>32</v>
      </c>
      <c r="G93" t="s">
        <v>255</v>
      </c>
      <c r="H93" t="s">
        <v>388</v>
      </c>
      <c r="I93" t="s">
        <v>182</v>
      </c>
      <c r="J93" t="s">
        <v>80</v>
      </c>
      <c r="K93" t="s">
        <v>389</v>
      </c>
      <c r="L93" t="s">
        <v>118</v>
      </c>
      <c r="M93" t="s">
        <v>32</v>
      </c>
      <c r="N93" t="s">
        <v>92</v>
      </c>
      <c r="O93" t="s">
        <v>93</v>
      </c>
      <c r="P93" t="s">
        <v>35</v>
      </c>
      <c r="Q93">
        <v>151</v>
      </c>
      <c r="R93">
        <v>132.07</v>
      </c>
      <c r="S93">
        <v>19942.57</v>
      </c>
      <c r="T93">
        <v>12.41</v>
      </c>
      <c r="U93">
        <v>6</v>
      </c>
      <c r="V93">
        <v>2083</v>
      </c>
      <c r="W93" t="s">
        <v>36</v>
      </c>
      <c r="X93">
        <v>2265.48</v>
      </c>
    </row>
    <row r="94" spans="1:24" x14ac:dyDescent="0.25">
      <c r="A94" s="2">
        <v>100092</v>
      </c>
      <c r="B94" s="1">
        <v>45876</v>
      </c>
      <c r="C94" s="1">
        <v>45876</v>
      </c>
      <c r="D94" s="1">
        <v>45888</v>
      </c>
      <c r="E94" t="s">
        <v>390</v>
      </c>
      <c r="F94" t="s">
        <v>54</v>
      </c>
      <c r="G94" t="s">
        <v>158</v>
      </c>
      <c r="H94" t="s">
        <v>391</v>
      </c>
      <c r="I94" t="s">
        <v>139</v>
      </c>
      <c r="J94" t="s">
        <v>42</v>
      </c>
      <c r="K94" t="s">
        <v>392</v>
      </c>
      <c r="L94" t="s">
        <v>31</v>
      </c>
      <c r="M94" t="s">
        <v>54</v>
      </c>
      <c r="N94" t="s">
        <v>45</v>
      </c>
      <c r="O94" t="s">
        <v>46</v>
      </c>
      <c r="P94" t="s">
        <v>123</v>
      </c>
      <c r="Q94">
        <v>207</v>
      </c>
      <c r="R94">
        <v>443.11</v>
      </c>
      <c r="S94">
        <v>91723.77</v>
      </c>
      <c r="T94">
        <v>11.65</v>
      </c>
      <c r="U94">
        <v>12</v>
      </c>
      <c r="V94">
        <v>1392</v>
      </c>
      <c r="W94" t="s">
        <v>36</v>
      </c>
      <c r="X94">
        <v>15203.27</v>
      </c>
    </row>
    <row r="95" spans="1:24" x14ac:dyDescent="0.25">
      <c r="A95" s="2">
        <v>100093</v>
      </c>
      <c r="B95" s="1">
        <v>45855</v>
      </c>
      <c r="C95" s="1">
        <v>45858</v>
      </c>
      <c r="D95" s="1">
        <v>45861</v>
      </c>
      <c r="E95" t="s">
        <v>393</v>
      </c>
      <c r="F95" t="s">
        <v>38</v>
      </c>
      <c r="G95" t="s">
        <v>83</v>
      </c>
      <c r="H95" t="s">
        <v>394</v>
      </c>
      <c r="I95" t="s">
        <v>79</v>
      </c>
      <c r="J95" t="s">
        <v>80</v>
      </c>
      <c r="K95" t="s">
        <v>395</v>
      </c>
      <c r="L95" t="s">
        <v>118</v>
      </c>
      <c r="M95" t="s">
        <v>65</v>
      </c>
      <c r="N95" t="s">
        <v>203</v>
      </c>
      <c r="O95" t="s">
        <v>204</v>
      </c>
      <c r="P95" t="s">
        <v>68</v>
      </c>
      <c r="Q95">
        <v>375</v>
      </c>
      <c r="R95">
        <v>111.51</v>
      </c>
      <c r="S95">
        <v>41816.25</v>
      </c>
      <c r="T95">
        <v>52.81</v>
      </c>
      <c r="U95">
        <v>3</v>
      </c>
      <c r="V95">
        <v>275</v>
      </c>
      <c r="W95" t="s">
        <v>57</v>
      </c>
      <c r="X95">
        <v>11369.85</v>
      </c>
    </row>
    <row r="96" spans="1:24" x14ac:dyDescent="0.25">
      <c r="A96" s="2">
        <v>100094</v>
      </c>
      <c r="B96" s="1">
        <v>45808</v>
      </c>
      <c r="C96" s="1">
        <v>45812</v>
      </c>
      <c r="D96" s="1">
        <v>45813</v>
      </c>
      <c r="E96" t="s">
        <v>396</v>
      </c>
      <c r="F96" t="s">
        <v>65</v>
      </c>
      <c r="G96" t="s">
        <v>142</v>
      </c>
      <c r="H96" t="s">
        <v>397</v>
      </c>
      <c r="I96" t="s">
        <v>207</v>
      </c>
      <c r="J96" t="s">
        <v>80</v>
      </c>
      <c r="K96" t="s">
        <v>398</v>
      </c>
      <c r="L96" t="s">
        <v>98</v>
      </c>
      <c r="M96" t="s">
        <v>65</v>
      </c>
      <c r="N96" t="s">
        <v>45</v>
      </c>
      <c r="O96" t="s">
        <v>46</v>
      </c>
      <c r="P96" t="s">
        <v>68</v>
      </c>
      <c r="Q96">
        <v>388</v>
      </c>
      <c r="R96">
        <v>162.84</v>
      </c>
      <c r="S96">
        <v>63181.919999999998</v>
      </c>
      <c r="T96">
        <v>39.74</v>
      </c>
      <c r="U96">
        <v>1</v>
      </c>
      <c r="V96">
        <v>899</v>
      </c>
      <c r="W96" t="s">
        <v>36</v>
      </c>
      <c r="X96">
        <v>9097.84</v>
      </c>
    </row>
    <row r="97" spans="1:24" x14ac:dyDescent="0.25">
      <c r="A97" s="2">
        <v>100095</v>
      </c>
      <c r="B97" s="1">
        <v>45411</v>
      </c>
      <c r="C97" s="1">
        <v>45415</v>
      </c>
      <c r="D97" s="1">
        <v>45425</v>
      </c>
      <c r="E97" t="s">
        <v>399</v>
      </c>
      <c r="F97" t="s">
        <v>32</v>
      </c>
      <c r="G97" t="s">
        <v>95</v>
      </c>
      <c r="H97" t="s">
        <v>400</v>
      </c>
      <c r="I97" t="s">
        <v>149</v>
      </c>
      <c r="J97" t="s">
        <v>42</v>
      </c>
      <c r="K97" t="s">
        <v>401</v>
      </c>
      <c r="L97" t="s">
        <v>122</v>
      </c>
      <c r="M97" t="s">
        <v>32</v>
      </c>
      <c r="N97" t="s">
        <v>45</v>
      </c>
      <c r="O97" t="s">
        <v>46</v>
      </c>
      <c r="P97" t="s">
        <v>35</v>
      </c>
      <c r="Q97">
        <v>276</v>
      </c>
      <c r="R97">
        <v>402.21</v>
      </c>
      <c r="S97">
        <v>111009.96</v>
      </c>
      <c r="T97">
        <v>15.04</v>
      </c>
      <c r="U97">
        <v>10</v>
      </c>
      <c r="V97">
        <v>1396</v>
      </c>
      <c r="W97" t="s">
        <v>36</v>
      </c>
      <c r="X97">
        <v>9555.43</v>
      </c>
    </row>
    <row r="98" spans="1:24" x14ac:dyDescent="0.25">
      <c r="A98" s="2">
        <v>100096</v>
      </c>
      <c r="B98" s="1">
        <v>45461</v>
      </c>
      <c r="C98" s="1">
        <v>45461</v>
      </c>
      <c r="D98" s="1">
        <v>45472</v>
      </c>
      <c r="E98" t="s">
        <v>402</v>
      </c>
      <c r="F98" t="s">
        <v>65</v>
      </c>
      <c r="G98" t="s">
        <v>142</v>
      </c>
      <c r="H98" t="s">
        <v>403</v>
      </c>
      <c r="I98" t="s">
        <v>144</v>
      </c>
      <c r="J98" t="s">
        <v>52</v>
      </c>
      <c r="K98" t="s">
        <v>404</v>
      </c>
      <c r="L98" t="s">
        <v>212</v>
      </c>
      <c r="M98" t="s">
        <v>65</v>
      </c>
      <c r="N98" t="s">
        <v>33</v>
      </c>
      <c r="O98" t="s">
        <v>34</v>
      </c>
      <c r="P98" t="s">
        <v>123</v>
      </c>
      <c r="Q98">
        <v>472</v>
      </c>
      <c r="R98">
        <v>8.42</v>
      </c>
      <c r="S98">
        <v>3974.24</v>
      </c>
      <c r="T98">
        <v>16.420000000000002</v>
      </c>
      <c r="U98">
        <v>11</v>
      </c>
      <c r="V98">
        <v>4172</v>
      </c>
      <c r="W98" t="s">
        <v>36</v>
      </c>
      <c r="X98">
        <v>758.86</v>
      </c>
    </row>
    <row r="99" spans="1:24" x14ac:dyDescent="0.25">
      <c r="A99" s="2">
        <v>100097</v>
      </c>
      <c r="B99" s="1">
        <v>45884</v>
      </c>
      <c r="C99" s="1">
        <v>45885</v>
      </c>
      <c r="D99" s="1">
        <v>45902</v>
      </c>
      <c r="E99" t="s">
        <v>405</v>
      </c>
      <c r="F99" t="s">
        <v>65</v>
      </c>
      <c r="G99" t="s">
        <v>70</v>
      </c>
      <c r="H99" t="s">
        <v>406</v>
      </c>
      <c r="I99" t="s">
        <v>28</v>
      </c>
      <c r="J99" t="s">
        <v>29</v>
      </c>
      <c r="K99" t="s">
        <v>407</v>
      </c>
      <c r="L99" t="s">
        <v>98</v>
      </c>
      <c r="M99" t="s">
        <v>25</v>
      </c>
      <c r="N99" t="s">
        <v>102</v>
      </c>
      <c r="O99" t="s">
        <v>103</v>
      </c>
      <c r="P99" t="s">
        <v>76</v>
      </c>
      <c r="Q99">
        <v>195</v>
      </c>
      <c r="R99">
        <v>72.849999999999994</v>
      </c>
      <c r="S99">
        <v>14205.75</v>
      </c>
      <c r="T99">
        <v>11.57</v>
      </c>
      <c r="U99">
        <v>17</v>
      </c>
      <c r="V99">
        <v>3261</v>
      </c>
      <c r="W99" t="s">
        <v>36</v>
      </c>
      <c r="X99">
        <v>2167.67</v>
      </c>
    </row>
    <row r="100" spans="1:24" x14ac:dyDescent="0.25">
      <c r="A100" s="2">
        <v>100098</v>
      </c>
      <c r="B100" s="1">
        <v>45438</v>
      </c>
      <c r="C100" s="1">
        <v>45441</v>
      </c>
      <c r="D100" s="1">
        <v>45451</v>
      </c>
      <c r="E100" t="s">
        <v>408</v>
      </c>
      <c r="F100" t="s">
        <v>65</v>
      </c>
      <c r="G100" t="s">
        <v>70</v>
      </c>
      <c r="H100" t="s">
        <v>409</v>
      </c>
      <c r="I100" t="s">
        <v>149</v>
      </c>
      <c r="J100" t="s">
        <v>42</v>
      </c>
      <c r="K100" t="s">
        <v>410</v>
      </c>
      <c r="L100" t="s">
        <v>98</v>
      </c>
      <c r="M100" t="s">
        <v>32</v>
      </c>
      <c r="N100" t="s">
        <v>92</v>
      </c>
      <c r="O100" t="s">
        <v>93</v>
      </c>
      <c r="P100" t="s">
        <v>76</v>
      </c>
      <c r="Q100">
        <v>354</v>
      </c>
      <c r="R100">
        <v>422.74</v>
      </c>
      <c r="S100">
        <v>149649.96</v>
      </c>
      <c r="T100">
        <v>14.47</v>
      </c>
      <c r="U100">
        <v>10</v>
      </c>
      <c r="V100">
        <v>405</v>
      </c>
      <c r="W100" t="s">
        <v>36</v>
      </c>
      <c r="X100">
        <v>15280.46</v>
      </c>
    </row>
    <row r="101" spans="1:24" x14ac:dyDescent="0.25">
      <c r="A101" s="2">
        <v>100099</v>
      </c>
      <c r="B101" s="1">
        <v>45322</v>
      </c>
      <c r="C101" s="1">
        <v>45323</v>
      </c>
      <c r="D101" s="1">
        <v>45329</v>
      </c>
      <c r="E101" t="s">
        <v>411</v>
      </c>
      <c r="F101" t="s">
        <v>25</v>
      </c>
      <c r="G101" t="s">
        <v>221</v>
      </c>
      <c r="H101" t="s">
        <v>412</v>
      </c>
      <c r="I101" t="s">
        <v>177</v>
      </c>
      <c r="J101" t="s">
        <v>29</v>
      </c>
      <c r="K101" t="s">
        <v>413</v>
      </c>
      <c r="L101" t="s">
        <v>113</v>
      </c>
      <c r="M101" t="s">
        <v>54</v>
      </c>
      <c r="N101" t="s">
        <v>74</v>
      </c>
      <c r="O101" t="s">
        <v>75</v>
      </c>
      <c r="P101" t="s">
        <v>35</v>
      </c>
      <c r="Q101">
        <v>215</v>
      </c>
      <c r="R101">
        <v>93.23</v>
      </c>
      <c r="S101">
        <v>20044.45</v>
      </c>
      <c r="T101">
        <v>18.57</v>
      </c>
      <c r="U101">
        <v>6</v>
      </c>
      <c r="V101">
        <v>1697</v>
      </c>
      <c r="W101" t="s">
        <v>47</v>
      </c>
      <c r="X101">
        <v>-245.48</v>
      </c>
    </row>
    <row r="102" spans="1:24" x14ac:dyDescent="0.25">
      <c r="A102" s="2">
        <v>100100</v>
      </c>
      <c r="B102" s="1">
        <v>45308</v>
      </c>
      <c r="C102" s="1">
        <v>45309</v>
      </c>
      <c r="D102" s="1">
        <v>45334</v>
      </c>
      <c r="E102" t="s">
        <v>414</v>
      </c>
      <c r="F102" t="s">
        <v>25</v>
      </c>
      <c r="G102" t="s">
        <v>169</v>
      </c>
      <c r="H102" t="s">
        <v>415</v>
      </c>
      <c r="I102" t="s">
        <v>416</v>
      </c>
      <c r="J102" t="s">
        <v>80</v>
      </c>
      <c r="K102" t="s">
        <v>30</v>
      </c>
      <c r="L102" t="s">
        <v>44</v>
      </c>
      <c r="M102" t="s">
        <v>54</v>
      </c>
      <c r="N102" t="s">
        <v>92</v>
      </c>
      <c r="O102" t="s">
        <v>93</v>
      </c>
      <c r="P102" t="s">
        <v>76</v>
      </c>
      <c r="Q102">
        <v>423</v>
      </c>
      <c r="R102">
        <v>45.71</v>
      </c>
      <c r="S102">
        <v>19335.330000000002</v>
      </c>
      <c r="T102">
        <v>15.73</v>
      </c>
      <c r="U102">
        <v>25</v>
      </c>
      <c r="V102">
        <v>1306</v>
      </c>
      <c r="W102" t="s">
        <v>188</v>
      </c>
      <c r="X102">
        <v>3362.14</v>
      </c>
    </row>
    <row r="103" spans="1:24" x14ac:dyDescent="0.25">
      <c r="A103" s="2">
        <v>100101</v>
      </c>
      <c r="B103" s="1">
        <v>45513</v>
      </c>
      <c r="C103" s="1">
        <v>45517</v>
      </c>
      <c r="D103" s="1">
        <v>45524</v>
      </c>
      <c r="E103" t="s">
        <v>417</v>
      </c>
      <c r="F103" t="s">
        <v>38</v>
      </c>
      <c r="G103" t="s">
        <v>217</v>
      </c>
      <c r="H103" t="s">
        <v>418</v>
      </c>
      <c r="I103" t="s">
        <v>191</v>
      </c>
      <c r="J103" t="s">
        <v>62</v>
      </c>
      <c r="K103" t="s">
        <v>419</v>
      </c>
      <c r="L103" t="s">
        <v>212</v>
      </c>
      <c r="M103" t="s">
        <v>65</v>
      </c>
      <c r="N103" t="s">
        <v>33</v>
      </c>
      <c r="O103" t="s">
        <v>34</v>
      </c>
      <c r="P103" t="s">
        <v>35</v>
      </c>
      <c r="Q103">
        <v>333</v>
      </c>
      <c r="R103">
        <v>18.54</v>
      </c>
      <c r="S103">
        <v>6173.82</v>
      </c>
      <c r="T103">
        <v>21.91</v>
      </c>
      <c r="U103">
        <v>7</v>
      </c>
      <c r="V103">
        <v>1340</v>
      </c>
      <c r="W103" t="s">
        <v>36</v>
      </c>
      <c r="X103">
        <v>26.74</v>
      </c>
    </row>
    <row r="104" spans="1:24" x14ac:dyDescent="0.25">
      <c r="A104" s="2">
        <v>100102</v>
      </c>
      <c r="B104" s="1">
        <v>45501</v>
      </c>
      <c r="C104" s="1">
        <v>45502</v>
      </c>
      <c r="D104" s="1">
        <v>45525</v>
      </c>
      <c r="E104" t="s">
        <v>420</v>
      </c>
      <c r="F104" t="s">
        <v>25</v>
      </c>
      <c r="G104" t="s">
        <v>221</v>
      </c>
      <c r="H104" t="s">
        <v>421</v>
      </c>
      <c r="I104" t="s">
        <v>79</v>
      </c>
      <c r="J104" t="s">
        <v>80</v>
      </c>
      <c r="K104" t="s">
        <v>422</v>
      </c>
      <c r="L104" t="s">
        <v>212</v>
      </c>
      <c r="M104" t="s">
        <v>38</v>
      </c>
      <c r="N104" t="s">
        <v>45</v>
      </c>
      <c r="O104" t="s">
        <v>46</v>
      </c>
      <c r="P104" t="s">
        <v>76</v>
      </c>
      <c r="Q104">
        <v>260</v>
      </c>
      <c r="R104">
        <v>80.33</v>
      </c>
      <c r="S104">
        <v>20885.8</v>
      </c>
      <c r="T104">
        <v>12.76</v>
      </c>
      <c r="U104">
        <v>23</v>
      </c>
      <c r="V104">
        <v>1080</v>
      </c>
      <c r="W104" t="s">
        <v>36</v>
      </c>
      <c r="X104">
        <v>3736.1</v>
      </c>
    </row>
    <row r="105" spans="1:24" x14ac:dyDescent="0.25">
      <c r="A105" s="2">
        <v>100103</v>
      </c>
      <c r="B105" s="1">
        <v>45750</v>
      </c>
      <c r="C105" s="1">
        <v>45751</v>
      </c>
      <c r="D105" s="1">
        <v>45761</v>
      </c>
      <c r="E105" t="s">
        <v>423</v>
      </c>
      <c r="F105" t="s">
        <v>54</v>
      </c>
      <c r="G105" t="s">
        <v>129</v>
      </c>
      <c r="H105" t="s">
        <v>424</v>
      </c>
      <c r="I105" t="s">
        <v>368</v>
      </c>
      <c r="J105" t="s">
        <v>29</v>
      </c>
      <c r="K105" t="s">
        <v>425</v>
      </c>
      <c r="L105" t="s">
        <v>91</v>
      </c>
      <c r="M105" t="s">
        <v>65</v>
      </c>
      <c r="N105" t="s">
        <v>55</v>
      </c>
      <c r="O105" t="s">
        <v>56</v>
      </c>
      <c r="P105" t="s">
        <v>123</v>
      </c>
      <c r="Q105">
        <v>406</v>
      </c>
      <c r="R105">
        <v>103.96</v>
      </c>
      <c r="S105">
        <v>42207.76</v>
      </c>
      <c r="T105">
        <v>20.56</v>
      </c>
      <c r="U105">
        <v>10</v>
      </c>
      <c r="V105">
        <v>3492</v>
      </c>
      <c r="W105" t="s">
        <v>36</v>
      </c>
      <c r="X105">
        <v>6063.85</v>
      </c>
    </row>
    <row r="106" spans="1:24" x14ac:dyDescent="0.25">
      <c r="A106" s="2">
        <v>100104</v>
      </c>
      <c r="B106" s="1">
        <v>45375</v>
      </c>
      <c r="C106" s="1">
        <v>45380</v>
      </c>
      <c r="D106" s="1">
        <v>45384</v>
      </c>
      <c r="E106" t="s">
        <v>426</v>
      </c>
      <c r="F106" t="s">
        <v>38</v>
      </c>
      <c r="G106" t="s">
        <v>217</v>
      </c>
      <c r="H106" t="s">
        <v>427</v>
      </c>
      <c r="I106" t="s">
        <v>191</v>
      </c>
      <c r="J106" t="s">
        <v>62</v>
      </c>
      <c r="K106" t="s">
        <v>428</v>
      </c>
      <c r="L106" t="s">
        <v>98</v>
      </c>
      <c r="M106" t="s">
        <v>25</v>
      </c>
      <c r="N106" t="s">
        <v>66</v>
      </c>
      <c r="O106" t="s">
        <v>67</v>
      </c>
      <c r="P106" t="s">
        <v>35</v>
      </c>
      <c r="Q106">
        <v>473</v>
      </c>
      <c r="R106">
        <v>43.58</v>
      </c>
      <c r="S106">
        <v>20613.34</v>
      </c>
      <c r="T106">
        <v>25.88</v>
      </c>
      <c r="U106">
        <v>4</v>
      </c>
      <c r="V106">
        <v>4479</v>
      </c>
      <c r="W106" t="s">
        <v>36</v>
      </c>
      <c r="X106">
        <v>3641.59</v>
      </c>
    </row>
    <row r="107" spans="1:24" x14ac:dyDescent="0.25">
      <c r="A107" s="2">
        <v>100105</v>
      </c>
      <c r="B107" s="1">
        <v>45818</v>
      </c>
      <c r="C107" s="1">
        <v>45819</v>
      </c>
      <c r="D107" s="1">
        <v>45841</v>
      </c>
      <c r="E107" t="s">
        <v>429</v>
      </c>
      <c r="F107" t="s">
        <v>32</v>
      </c>
      <c r="G107" t="s">
        <v>110</v>
      </c>
      <c r="H107" t="s">
        <v>430</v>
      </c>
      <c r="I107" t="s">
        <v>126</v>
      </c>
      <c r="J107" t="s">
        <v>42</v>
      </c>
      <c r="K107" t="s">
        <v>431</v>
      </c>
      <c r="L107" t="s">
        <v>187</v>
      </c>
      <c r="M107" t="s">
        <v>54</v>
      </c>
      <c r="N107" t="s">
        <v>92</v>
      </c>
      <c r="O107" t="s">
        <v>93</v>
      </c>
      <c r="P107" t="s">
        <v>76</v>
      </c>
      <c r="Q107">
        <v>283</v>
      </c>
      <c r="R107">
        <v>397.1</v>
      </c>
      <c r="S107">
        <v>112379.3</v>
      </c>
      <c r="T107">
        <v>13.18</v>
      </c>
      <c r="U107">
        <v>22</v>
      </c>
      <c r="V107">
        <v>257</v>
      </c>
      <c r="W107" t="s">
        <v>36</v>
      </c>
      <c r="X107">
        <v>12182.02</v>
      </c>
    </row>
    <row r="108" spans="1:24" x14ac:dyDescent="0.25">
      <c r="A108" s="2">
        <v>100106</v>
      </c>
      <c r="B108" s="1">
        <v>45811</v>
      </c>
      <c r="C108" s="1">
        <v>45813</v>
      </c>
      <c r="D108" s="1">
        <v>45818</v>
      </c>
      <c r="E108" t="s">
        <v>432</v>
      </c>
      <c r="F108" t="s">
        <v>65</v>
      </c>
      <c r="G108" t="s">
        <v>70</v>
      </c>
      <c r="H108" t="s">
        <v>433</v>
      </c>
      <c r="I108" t="s">
        <v>238</v>
      </c>
      <c r="J108" t="s">
        <v>62</v>
      </c>
      <c r="K108" t="s">
        <v>434</v>
      </c>
      <c r="L108" t="s">
        <v>98</v>
      </c>
      <c r="M108" t="s">
        <v>54</v>
      </c>
      <c r="N108" t="s">
        <v>33</v>
      </c>
      <c r="O108" t="s">
        <v>34</v>
      </c>
      <c r="P108" t="s">
        <v>123</v>
      </c>
      <c r="Q108">
        <v>33</v>
      </c>
      <c r="R108">
        <v>46.44</v>
      </c>
      <c r="S108">
        <v>1532.52</v>
      </c>
      <c r="T108">
        <v>11.49</v>
      </c>
      <c r="U108">
        <v>5</v>
      </c>
      <c r="V108">
        <v>3246</v>
      </c>
      <c r="W108" t="s">
        <v>36</v>
      </c>
      <c r="X108">
        <v>65.38</v>
      </c>
    </row>
    <row r="109" spans="1:24" x14ac:dyDescent="0.25">
      <c r="A109" s="2">
        <v>100107</v>
      </c>
      <c r="B109" s="1">
        <v>45527</v>
      </c>
      <c r="C109" s="1">
        <v>45530</v>
      </c>
      <c r="D109" s="1">
        <v>45543</v>
      </c>
      <c r="E109" t="s">
        <v>435</v>
      </c>
      <c r="F109" t="s">
        <v>65</v>
      </c>
      <c r="G109" t="s">
        <v>142</v>
      </c>
      <c r="H109" t="s">
        <v>436</v>
      </c>
      <c r="I109" t="s">
        <v>85</v>
      </c>
      <c r="J109" t="s">
        <v>52</v>
      </c>
      <c r="K109" t="s">
        <v>331</v>
      </c>
      <c r="L109" t="s">
        <v>91</v>
      </c>
      <c r="M109" t="s">
        <v>25</v>
      </c>
      <c r="N109" t="s">
        <v>102</v>
      </c>
      <c r="O109" t="s">
        <v>103</v>
      </c>
      <c r="P109" t="s">
        <v>76</v>
      </c>
      <c r="Q109">
        <v>126</v>
      </c>
      <c r="R109">
        <v>56.4</v>
      </c>
      <c r="S109">
        <v>7106.4</v>
      </c>
      <c r="T109">
        <v>10.32</v>
      </c>
      <c r="U109">
        <v>13</v>
      </c>
      <c r="V109">
        <v>783</v>
      </c>
      <c r="W109" t="s">
        <v>36</v>
      </c>
      <c r="X109">
        <v>497.86</v>
      </c>
    </row>
    <row r="110" spans="1:24" x14ac:dyDescent="0.25">
      <c r="A110" s="2">
        <v>100108</v>
      </c>
      <c r="B110" s="1">
        <v>45611</v>
      </c>
      <c r="C110" s="1">
        <v>45612</v>
      </c>
      <c r="D110" s="1">
        <v>45635</v>
      </c>
      <c r="E110" t="s">
        <v>437</v>
      </c>
      <c r="F110" t="s">
        <v>32</v>
      </c>
      <c r="G110" t="s">
        <v>95</v>
      </c>
      <c r="H110" t="s">
        <v>438</v>
      </c>
      <c r="I110" t="s">
        <v>89</v>
      </c>
      <c r="J110" t="s">
        <v>62</v>
      </c>
      <c r="K110" t="s">
        <v>439</v>
      </c>
      <c r="L110" t="s">
        <v>187</v>
      </c>
      <c r="M110" t="s">
        <v>32</v>
      </c>
      <c r="N110" t="s">
        <v>107</v>
      </c>
      <c r="O110" t="s">
        <v>108</v>
      </c>
      <c r="P110" t="s">
        <v>76</v>
      </c>
      <c r="Q110">
        <v>310</v>
      </c>
      <c r="R110">
        <v>39.07</v>
      </c>
      <c r="S110">
        <v>12111.7</v>
      </c>
      <c r="T110">
        <v>10.119999999999999</v>
      </c>
      <c r="U110">
        <v>23</v>
      </c>
      <c r="V110">
        <v>2343</v>
      </c>
      <c r="W110" t="s">
        <v>57</v>
      </c>
      <c r="X110">
        <v>1352.03</v>
      </c>
    </row>
    <row r="111" spans="1:24" x14ac:dyDescent="0.25">
      <c r="A111" s="2">
        <v>100109</v>
      </c>
      <c r="B111" s="1">
        <v>45692</v>
      </c>
      <c r="C111" s="1">
        <v>45695</v>
      </c>
      <c r="D111" s="1">
        <v>45696</v>
      </c>
      <c r="E111" t="s">
        <v>440</v>
      </c>
      <c r="F111" t="s">
        <v>54</v>
      </c>
      <c r="G111" t="s">
        <v>158</v>
      </c>
      <c r="H111" t="s">
        <v>441</v>
      </c>
      <c r="I111" t="s">
        <v>207</v>
      </c>
      <c r="J111" t="s">
        <v>80</v>
      </c>
      <c r="K111" t="s">
        <v>300</v>
      </c>
      <c r="L111" t="s">
        <v>91</v>
      </c>
      <c r="M111" t="s">
        <v>65</v>
      </c>
      <c r="N111" t="s">
        <v>102</v>
      </c>
      <c r="O111" t="s">
        <v>103</v>
      </c>
      <c r="P111" t="s">
        <v>68</v>
      </c>
      <c r="Q111">
        <v>211</v>
      </c>
      <c r="R111">
        <v>280.5</v>
      </c>
      <c r="S111">
        <v>59185.5</v>
      </c>
      <c r="T111">
        <v>42.18</v>
      </c>
      <c r="U111">
        <v>1</v>
      </c>
      <c r="V111">
        <v>291</v>
      </c>
      <c r="W111" t="s">
        <v>36</v>
      </c>
      <c r="X111">
        <v>11962.64</v>
      </c>
    </row>
    <row r="112" spans="1:24" x14ac:dyDescent="0.25">
      <c r="A112" s="2">
        <v>100110</v>
      </c>
      <c r="B112" s="1">
        <v>45880</v>
      </c>
      <c r="C112" s="1">
        <v>45883</v>
      </c>
      <c r="D112" s="1">
        <v>45896</v>
      </c>
      <c r="E112" t="s">
        <v>442</v>
      </c>
      <c r="F112" t="s">
        <v>54</v>
      </c>
      <c r="G112" t="s">
        <v>158</v>
      </c>
      <c r="H112" t="s">
        <v>443</v>
      </c>
      <c r="I112" t="s">
        <v>198</v>
      </c>
      <c r="J112" t="s">
        <v>52</v>
      </c>
      <c r="K112" t="s">
        <v>444</v>
      </c>
      <c r="L112" t="s">
        <v>91</v>
      </c>
      <c r="M112" t="s">
        <v>65</v>
      </c>
      <c r="N112" t="s">
        <v>55</v>
      </c>
      <c r="O112" t="s">
        <v>56</v>
      </c>
      <c r="P112" t="s">
        <v>123</v>
      </c>
      <c r="Q112">
        <v>152</v>
      </c>
      <c r="R112">
        <v>24.41</v>
      </c>
      <c r="S112">
        <v>3710.32</v>
      </c>
      <c r="T112">
        <v>14.39</v>
      </c>
      <c r="U112">
        <v>13</v>
      </c>
      <c r="V112">
        <v>1086</v>
      </c>
      <c r="W112" t="s">
        <v>36</v>
      </c>
      <c r="X112">
        <v>305.25</v>
      </c>
    </row>
    <row r="113" spans="1:24" x14ac:dyDescent="0.25">
      <c r="A113" s="2">
        <v>100111</v>
      </c>
      <c r="B113" s="1">
        <v>45300</v>
      </c>
      <c r="C113" s="1">
        <v>45305</v>
      </c>
      <c r="D113" s="1">
        <v>45308</v>
      </c>
      <c r="E113" t="s">
        <v>445</v>
      </c>
      <c r="F113" t="s">
        <v>25</v>
      </c>
      <c r="G113" t="s">
        <v>172</v>
      </c>
      <c r="H113" t="s">
        <v>446</v>
      </c>
      <c r="I113" t="s">
        <v>116</v>
      </c>
      <c r="J113" t="s">
        <v>62</v>
      </c>
      <c r="K113" t="s">
        <v>447</v>
      </c>
      <c r="L113" t="s">
        <v>212</v>
      </c>
      <c r="M113" t="s">
        <v>25</v>
      </c>
      <c r="N113" t="s">
        <v>107</v>
      </c>
      <c r="O113" t="s">
        <v>108</v>
      </c>
      <c r="P113" t="s">
        <v>68</v>
      </c>
      <c r="Q113">
        <v>327</v>
      </c>
      <c r="R113">
        <v>40.25</v>
      </c>
      <c r="S113">
        <v>13161.75</v>
      </c>
      <c r="T113">
        <v>36.82</v>
      </c>
      <c r="U113">
        <v>3</v>
      </c>
      <c r="V113">
        <v>4506</v>
      </c>
      <c r="W113" t="s">
        <v>57</v>
      </c>
      <c r="X113">
        <v>2152.3200000000002</v>
      </c>
    </row>
    <row r="114" spans="1:24" x14ac:dyDescent="0.25">
      <c r="A114" s="2">
        <v>100112</v>
      </c>
      <c r="B114" s="1">
        <v>45605</v>
      </c>
      <c r="C114" s="1">
        <v>45610</v>
      </c>
      <c r="D114" s="1">
        <v>45619</v>
      </c>
      <c r="E114" t="s">
        <v>448</v>
      </c>
      <c r="F114" t="s">
        <v>32</v>
      </c>
      <c r="G114" t="s">
        <v>137</v>
      </c>
      <c r="H114" t="s">
        <v>449</v>
      </c>
      <c r="I114" t="s">
        <v>51</v>
      </c>
      <c r="J114" t="s">
        <v>52</v>
      </c>
      <c r="K114" t="s">
        <v>239</v>
      </c>
      <c r="L114" t="s">
        <v>98</v>
      </c>
      <c r="M114" t="s">
        <v>32</v>
      </c>
      <c r="N114" t="s">
        <v>55</v>
      </c>
      <c r="O114" t="s">
        <v>56</v>
      </c>
      <c r="P114" t="s">
        <v>35</v>
      </c>
      <c r="Q114">
        <v>96</v>
      </c>
      <c r="R114">
        <v>61.32</v>
      </c>
      <c r="S114">
        <v>5886.72</v>
      </c>
      <c r="T114">
        <v>11.26</v>
      </c>
      <c r="U114">
        <v>9</v>
      </c>
      <c r="V114">
        <v>1760</v>
      </c>
      <c r="W114" t="s">
        <v>36</v>
      </c>
      <c r="X114">
        <v>1147.6099999999999</v>
      </c>
    </row>
    <row r="115" spans="1:24" x14ac:dyDescent="0.25">
      <c r="A115" s="2">
        <v>100113</v>
      </c>
      <c r="B115" s="1">
        <v>45922</v>
      </c>
      <c r="C115" s="1">
        <v>45926</v>
      </c>
      <c r="D115" s="1">
        <v>45941</v>
      </c>
      <c r="E115" t="s">
        <v>450</v>
      </c>
      <c r="F115" t="s">
        <v>54</v>
      </c>
      <c r="G115" t="s">
        <v>158</v>
      </c>
      <c r="H115" t="s">
        <v>451</v>
      </c>
      <c r="I115" t="s">
        <v>207</v>
      </c>
      <c r="J115" t="s">
        <v>80</v>
      </c>
      <c r="K115" t="s">
        <v>452</v>
      </c>
      <c r="L115" t="s">
        <v>91</v>
      </c>
      <c r="M115" t="s">
        <v>65</v>
      </c>
      <c r="N115" t="s">
        <v>74</v>
      </c>
      <c r="O115" t="s">
        <v>75</v>
      </c>
      <c r="P115" t="s">
        <v>123</v>
      </c>
      <c r="Q115">
        <v>159</v>
      </c>
      <c r="R115">
        <v>143.02000000000001</v>
      </c>
      <c r="S115">
        <v>22740.18</v>
      </c>
      <c r="T115">
        <v>14.56</v>
      </c>
      <c r="U115">
        <v>15</v>
      </c>
      <c r="V115">
        <v>361</v>
      </c>
      <c r="W115" t="s">
        <v>188</v>
      </c>
      <c r="X115">
        <v>5080.43</v>
      </c>
    </row>
    <row r="116" spans="1:24" x14ac:dyDescent="0.25">
      <c r="A116" s="2">
        <v>100114</v>
      </c>
      <c r="B116" s="1">
        <v>45326</v>
      </c>
      <c r="C116" s="1">
        <v>45330</v>
      </c>
      <c r="D116" s="1">
        <v>45339</v>
      </c>
      <c r="E116" t="s">
        <v>453</v>
      </c>
      <c r="F116" t="s">
        <v>32</v>
      </c>
      <c r="G116" t="s">
        <v>95</v>
      </c>
      <c r="H116" t="s">
        <v>454</v>
      </c>
      <c r="I116" t="s">
        <v>182</v>
      </c>
      <c r="J116" t="s">
        <v>80</v>
      </c>
      <c r="K116" t="s">
        <v>455</v>
      </c>
      <c r="L116" t="s">
        <v>98</v>
      </c>
      <c r="M116" t="s">
        <v>54</v>
      </c>
      <c r="N116" t="s">
        <v>102</v>
      </c>
      <c r="O116" t="s">
        <v>103</v>
      </c>
      <c r="P116" t="s">
        <v>35</v>
      </c>
      <c r="Q116">
        <v>413</v>
      </c>
      <c r="R116">
        <v>234.92</v>
      </c>
      <c r="S116">
        <v>97021.96</v>
      </c>
      <c r="T116">
        <v>24.18</v>
      </c>
      <c r="U116">
        <v>9</v>
      </c>
      <c r="V116">
        <v>1437</v>
      </c>
      <c r="W116" t="s">
        <v>36</v>
      </c>
      <c r="X116">
        <v>20052.39</v>
      </c>
    </row>
    <row r="117" spans="1:24" x14ac:dyDescent="0.25">
      <c r="A117" s="2">
        <v>100115</v>
      </c>
      <c r="B117" s="1">
        <v>45908</v>
      </c>
      <c r="C117" s="1">
        <v>45911</v>
      </c>
      <c r="D117" s="1">
        <v>45917</v>
      </c>
      <c r="E117" t="s">
        <v>456</v>
      </c>
      <c r="F117" t="s">
        <v>54</v>
      </c>
      <c r="G117" t="s">
        <v>158</v>
      </c>
      <c r="H117" t="s">
        <v>457</v>
      </c>
      <c r="I117" t="s">
        <v>278</v>
      </c>
      <c r="J117" t="s">
        <v>29</v>
      </c>
      <c r="K117" t="s">
        <v>458</v>
      </c>
      <c r="L117" t="s">
        <v>64</v>
      </c>
      <c r="M117" t="s">
        <v>25</v>
      </c>
      <c r="N117" t="s">
        <v>203</v>
      </c>
      <c r="O117" t="s">
        <v>204</v>
      </c>
      <c r="P117" t="s">
        <v>35</v>
      </c>
      <c r="Q117">
        <v>134</v>
      </c>
      <c r="R117">
        <v>33.17</v>
      </c>
      <c r="S117">
        <v>4444.78</v>
      </c>
      <c r="T117">
        <v>16.27</v>
      </c>
      <c r="U117">
        <v>6</v>
      </c>
      <c r="V117">
        <v>3458</v>
      </c>
      <c r="W117" t="s">
        <v>36</v>
      </c>
      <c r="X117">
        <v>637.82000000000005</v>
      </c>
    </row>
    <row r="118" spans="1:24" x14ac:dyDescent="0.25">
      <c r="A118" s="2">
        <v>100116</v>
      </c>
      <c r="B118" s="1">
        <v>45391</v>
      </c>
      <c r="C118" s="1">
        <v>45396</v>
      </c>
      <c r="D118" s="1">
        <v>45404</v>
      </c>
      <c r="E118" t="s">
        <v>459</v>
      </c>
      <c r="F118" t="s">
        <v>38</v>
      </c>
      <c r="G118" t="s">
        <v>39</v>
      </c>
      <c r="H118" t="s">
        <v>460</v>
      </c>
      <c r="I118" t="s">
        <v>416</v>
      </c>
      <c r="J118" t="s">
        <v>80</v>
      </c>
      <c r="K118" t="s">
        <v>117</v>
      </c>
      <c r="L118" t="s">
        <v>31</v>
      </c>
      <c r="M118" t="s">
        <v>38</v>
      </c>
      <c r="N118" t="s">
        <v>74</v>
      </c>
      <c r="O118" t="s">
        <v>75</v>
      </c>
      <c r="P118" t="s">
        <v>35</v>
      </c>
      <c r="Q118">
        <v>384</v>
      </c>
      <c r="R118">
        <v>168.04</v>
      </c>
      <c r="S118">
        <v>64527.360000000001</v>
      </c>
      <c r="T118">
        <v>17.3</v>
      </c>
      <c r="U118">
        <v>8</v>
      </c>
      <c r="V118">
        <v>602</v>
      </c>
      <c r="W118" t="s">
        <v>36</v>
      </c>
      <c r="X118">
        <v>12323.48</v>
      </c>
    </row>
    <row r="119" spans="1:24" x14ac:dyDescent="0.25">
      <c r="A119" s="2">
        <v>100117</v>
      </c>
      <c r="B119" s="1">
        <v>45375</v>
      </c>
      <c r="C119" s="1">
        <v>45376</v>
      </c>
      <c r="D119" s="1">
        <v>45386</v>
      </c>
      <c r="E119" t="s">
        <v>461</v>
      </c>
      <c r="F119" t="s">
        <v>54</v>
      </c>
      <c r="G119" t="s">
        <v>158</v>
      </c>
      <c r="H119" t="s">
        <v>462</v>
      </c>
      <c r="I119" t="s">
        <v>238</v>
      </c>
      <c r="J119" t="s">
        <v>62</v>
      </c>
      <c r="K119" t="s">
        <v>219</v>
      </c>
      <c r="L119" t="s">
        <v>118</v>
      </c>
      <c r="M119" t="s">
        <v>32</v>
      </c>
      <c r="N119" t="s">
        <v>107</v>
      </c>
      <c r="O119" t="s">
        <v>108</v>
      </c>
      <c r="P119" t="s">
        <v>123</v>
      </c>
      <c r="Q119">
        <v>238</v>
      </c>
      <c r="R119">
        <v>5.41</v>
      </c>
      <c r="S119">
        <v>1287.58</v>
      </c>
      <c r="T119">
        <v>16.48</v>
      </c>
      <c r="U119">
        <v>10</v>
      </c>
      <c r="V119">
        <v>4855</v>
      </c>
      <c r="W119" t="s">
        <v>36</v>
      </c>
      <c r="X119">
        <v>123.86</v>
      </c>
    </row>
    <row r="120" spans="1:24" x14ac:dyDescent="0.25">
      <c r="A120" s="2">
        <v>100118</v>
      </c>
      <c r="B120" s="1">
        <v>45998</v>
      </c>
      <c r="C120" s="1">
        <v>46003</v>
      </c>
      <c r="D120" s="1">
        <v>46016</v>
      </c>
      <c r="E120" t="s">
        <v>463</v>
      </c>
      <c r="F120" t="s">
        <v>54</v>
      </c>
      <c r="G120" t="s">
        <v>158</v>
      </c>
      <c r="H120" t="s">
        <v>464</v>
      </c>
      <c r="I120" t="s">
        <v>149</v>
      </c>
      <c r="J120" t="s">
        <v>42</v>
      </c>
      <c r="K120" t="s">
        <v>265</v>
      </c>
      <c r="L120" t="s">
        <v>31</v>
      </c>
      <c r="M120" t="s">
        <v>32</v>
      </c>
      <c r="N120" t="s">
        <v>107</v>
      </c>
      <c r="O120" t="s">
        <v>108</v>
      </c>
      <c r="P120" t="s">
        <v>123</v>
      </c>
      <c r="Q120">
        <v>285</v>
      </c>
      <c r="R120">
        <v>289.27</v>
      </c>
      <c r="S120">
        <v>82441.95</v>
      </c>
      <c r="T120">
        <v>17.62</v>
      </c>
      <c r="U120">
        <v>13</v>
      </c>
      <c r="V120">
        <v>1021</v>
      </c>
      <c r="W120" t="s">
        <v>36</v>
      </c>
      <c r="X120">
        <v>5444.45</v>
      </c>
    </row>
    <row r="121" spans="1:24" x14ac:dyDescent="0.25">
      <c r="A121" s="2">
        <v>100119</v>
      </c>
      <c r="B121" s="1">
        <v>45495</v>
      </c>
      <c r="C121" s="1">
        <v>45499</v>
      </c>
      <c r="D121" s="1">
        <v>45501</v>
      </c>
      <c r="E121" t="s">
        <v>465</v>
      </c>
      <c r="F121" t="s">
        <v>38</v>
      </c>
      <c r="G121" t="s">
        <v>39</v>
      </c>
      <c r="H121" t="s">
        <v>466</v>
      </c>
      <c r="I121" t="s">
        <v>126</v>
      </c>
      <c r="J121" t="s">
        <v>42</v>
      </c>
      <c r="K121" t="s">
        <v>467</v>
      </c>
      <c r="L121" t="s">
        <v>44</v>
      </c>
      <c r="M121" t="s">
        <v>54</v>
      </c>
      <c r="N121" t="s">
        <v>33</v>
      </c>
      <c r="O121" t="s">
        <v>34</v>
      </c>
      <c r="P121" t="s">
        <v>35</v>
      </c>
      <c r="Q121">
        <v>399</v>
      </c>
      <c r="R121">
        <v>140.28</v>
      </c>
      <c r="S121">
        <v>55971.72</v>
      </c>
      <c r="T121">
        <v>23.79</v>
      </c>
      <c r="U121">
        <v>2</v>
      </c>
      <c r="V121">
        <v>1006</v>
      </c>
      <c r="W121" t="s">
        <v>36</v>
      </c>
      <c r="X121">
        <v>5417.55</v>
      </c>
    </row>
    <row r="122" spans="1:24" x14ac:dyDescent="0.25">
      <c r="A122" s="2">
        <v>100120</v>
      </c>
      <c r="B122" s="1">
        <v>45573</v>
      </c>
      <c r="C122" s="1">
        <v>45577</v>
      </c>
      <c r="D122" s="1">
        <v>45587</v>
      </c>
      <c r="E122" t="s">
        <v>468</v>
      </c>
      <c r="F122" t="s">
        <v>54</v>
      </c>
      <c r="G122" t="s">
        <v>165</v>
      </c>
      <c r="H122" t="s">
        <v>469</v>
      </c>
      <c r="I122" t="s">
        <v>134</v>
      </c>
      <c r="J122" t="s">
        <v>52</v>
      </c>
      <c r="K122" t="s">
        <v>470</v>
      </c>
      <c r="L122" t="s">
        <v>91</v>
      </c>
      <c r="M122" t="s">
        <v>54</v>
      </c>
      <c r="N122" t="s">
        <v>92</v>
      </c>
      <c r="O122" t="s">
        <v>93</v>
      </c>
      <c r="P122" t="s">
        <v>76</v>
      </c>
      <c r="Q122">
        <v>68</v>
      </c>
      <c r="R122">
        <v>33.92</v>
      </c>
      <c r="S122">
        <v>2306.56</v>
      </c>
      <c r="T122">
        <v>6.86</v>
      </c>
      <c r="U122">
        <v>10</v>
      </c>
      <c r="V122">
        <v>1208</v>
      </c>
      <c r="W122" t="s">
        <v>36</v>
      </c>
      <c r="X122">
        <v>273.75</v>
      </c>
    </row>
    <row r="123" spans="1:24" x14ac:dyDescent="0.25">
      <c r="A123" s="2">
        <v>100121</v>
      </c>
      <c r="B123" s="1">
        <v>45542</v>
      </c>
      <c r="C123" s="1">
        <v>45544</v>
      </c>
      <c r="D123" s="1">
        <v>45567</v>
      </c>
      <c r="E123" t="s">
        <v>471</v>
      </c>
      <c r="F123" t="s">
        <v>54</v>
      </c>
      <c r="G123" t="s">
        <v>225</v>
      </c>
      <c r="H123" t="s">
        <v>472</v>
      </c>
      <c r="I123" t="s">
        <v>61</v>
      </c>
      <c r="J123" t="s">
        <v>62</v>
      </c>
      <c r="K123" t="s">
        <v>473</v>
      </c>
      <c r="L123" t="s">
        <v>31</v>
      </c>
      <c r="M123" t="s">
        <v>38</v>
      </c>
      <c r="N123" t="s">
        <v>102</v>
      </c>
      <c r="O123" t="s">
        <v>103</v>
      </c>
      <c r="P123" t="s">
        <v>76</v>
      </c>
      <c r="Q123">
        <v>48</v>
      </c>
      <c r="R123">
        <v>25.46</v>
      </c>
      <c r="S123">
        <v>1222.08</v>
      </c>
      <c r="T123">
        <v>8.89</v>
      </c>
      <c r="U123">
        <v>23</v>
      </c>
      <c r="V123">
        <v>3549</v>
      </c>
      <c r="W123" t="s">
        <v>36</v>
      </c>
      <c r="X123">
        <v>72.19</v>
      </c>
    </row>
    <row r="124" spans="1:24" x14ac:dyDescent="0.25">
      <c r="A124" s="2">
        <v>100122</v>
      </c>
      <c r="B124" s="1">
        <v>45599</v>
      </c>
      <c r="C124" s="1">
        <v>45600</v>
      </c>
      <c r="D124" s="1">
        <v>45619</v>
      </c>
      <c r="E124" t="s">
        <v>474</v>
      </c>
      <c r="F124" t="s">
        <v>25</v>
      </c>
      <c r="G124" t="s">
        <v>169</v>
      </c>
      <c r="H124" t="s">
        <v>475</v>
      </c>
      <c r="I124" t="s">
        <v>207</v>
      </c>
      <c r="J124" t="s">
        <v>80</v>
      </c>
      <c r="K124" t="s">
        <v>476</v>
      </c>
      <c r="L124" t="s">
        <v>118</v>
      </c>
      <c r="M124" t="s">
        <v>65</v>
      </c>
      <c r="N124" t="s">
        <v>151</v>
      </c>
      <c r="O124" t="s">
        <v>152</v>
      </c>
      <c r="P124" t="s">
        <v>76</v>
      </c>
      <c r="Q124">
        <v>138</v>
      </c>
      <c r="R124">
        <v>266.56</v>
      </c>
      <c r="S124">
        <v>36785.279999999999</v>
      </c>
      <c r="T124">
        <v>10.53</v>
      </c>
      <c r="U124">
        <v>19</v>
      </c>
      <c r="V124">
        <v>1431</v>
      </c>
      <c r="W124" t="s">
        <v>36</v>
      </c>
      <c r="X124">
        <v>8480.25</v>
      </c>
    </row>
    <row r="125" spans="1:24" x14ac:dyDescent="0.25">
      <c r="A125" s="2">
        <v>100123</v>
      </c>
      <c r="B125" s="1">
        <v>45509</v>
      </c>
      <c r="C125" s="1">
        <v>45511</v>
      </c>
      <c r="D125" s="1">
        <v>45516</v>
      </c>
      <c r="E125" t="s">
        <v>477</v>
      </c>
      <c r="F125" t="s">
        <v>65</v>
      </c>
      <c r="G125" t="s">
        <v>142</v>
      </c>
      <c r="H125" t="s">
        <v>478</v>
      </c>
      <c r="I125" t="s">
        <v>51</v>
      </c>
      <c r="J125" t="s">
        <v>52</v>
      </c>
      <c r="K125" t="s">
        <v>428</v>
      </c>
      <c r="L125" t="s">
        <v>122</v>
      </c>
      <c r="M125" t="s">
        <v>54</v>
      </c>
      <c r="N125" t="s">
        <v>102</v>
      </c>
      <c r="O125" t="s">
        <v>103</v>
      </c>
      <c r="P125" t="s">
        <v>68</v>
      </c>
      <c r="Q125">
        <v>241</v>
      </c>
      <c r="R125">
        <v>71.02</v>
      </c>
      <c r="S125">
        <v>17115.82</v>
      </c>
      <c r="T125">
        <v>44.13</v>
      </c>
      <c r="U125">
        <v>5</v>
      </c>
      <c r="V125">
        <v>1186</v>
      </c>
      <c r="W125" t="s">
        <v>36</v>
      </c>
      <c r="X125">
        <v>2659.26</v>
      </c>
    </row>
    <row r="126" spans="1:24" x14ac:dyDescent="0.25">
      <c r="A126" s="2">
        <v>100124</v>
      </c>
      <c r="B126" s="1">
        <v>45945</v>
      </c>
      <c r="C126" s="1">
        <v>45949</v>
      </c>
      <c r="D126" s="1">
        <v>45957</v>
      </c>
      <c r="E126" t="s">
        <v>479</v>
      </c>
      <c r="F126" t="s">
        <v>65</v>
      </c>
      <c r="G126" t="s">
        <v>154</v>
      </c>
      <c r="H126" t="s">
        <v>480</v>
      </c>
      <c r="I126" t="s">
        <v>144</v>
      </c>
      <c r="J126" t="s">
        <v>52</v>
      </c>
      <c r="K126" t="s">
        <v>242</v>
      </c>
      <c r="L126" t="s">
        <v>91</v>
      </c>
      <c r="M126" t="s">
        <v>54</v>
      </c>
      <c r="N126" t="s">
        <v>74</v>
      </c>
      <c r="O126" t="s">
        <v>75</v>
      </c>
      <c r="P126" t="s">
        <v>123</v>
      </c>
      <c r="Q126">
        <v>463</v>
      </c>
      <c r="R126">
        <v>34.090000000000003</v>
      </c>
      <c r="S126">
        <v>15783.67</v>
      </c>
      <c r="T126">
        <v>21.94</v>
      </c>
      <c r="U126">
        <v>8</v>
      </c>
      <c r="V126">
        <v>3432</v>
      </c>
      <c r="W126" t="s">
        <v>36</v>
      </c>
      <c r="X126">
        <v>2688.28</v>
      </c>
    </row>
    <row r="127" spans="1:24" x14ac:dyDescent="0.25">
      <c r="A127" s="2">
        <v>100125</v>
      </c>
      <c r="B127" s="1">
        <v>45780</v>
      </c>
      <c r="C127" s="1">
        <v>45782</v>
      </c>
      <c r="D127" s="1">
        <v>45795</v>
      </c>
      <c r="E127" t="s">
        <v>481</v>
      </c>
      <c r="F127" t="s">
        <v>32</v>
      </c>
      <c r="G127" t="s">
        <v>110</v>
      </c>
      <c r="H127" t="s">
        <v>482</v>
      </c>
      <c r="I127" t="s">
        <v>230</v>
      </c>
      <c r="J127" t="s">
        <v>80</v>
      </c>
      <c r="K127" t="s">
        <v>483</v>
      </c>
      <c r="L127" t="s">
        <v>91</v>
      </c>
      <c r="M127" t="s">
        <v>25</v>
      </c>
      <c r="N127" t="s">
        <v>74</v>
      </c>
      <c r="O127" t="s">
        <v>75</v>
      </c>
      <c r="P127" t="s">
        <v>76</v>
      </c>
      <c r="Q127">
        <v>111</v>
      </c>
      <c r="R127">
        <v>175.83</v>
      </c>
      <c r="S127">
        <v>19517.13</v>
      </c>
      <c r="T127">
        <v>10.039999999999999</v>
      </c>
      <c r="U127">
        <v>13</v>
      </c>
      <c r="V127">
        <v>1050</v>
      </c>
      <c r="W127" t="s">
        <v>36</v>
      </c>
      <c r="X127">
        <v>3505.14</v>
      </c>
    </row>
    <row r="128" spans="1:24" x14ac:dyDescent="0.25">
      <c r="A128" s="2">
        <v>100126</v>
      </c>
      <c r="B128" s="1">
        <v>45746</v>
      </c>
      <c r="C128" s="1">
        <v>45746</v>
      </c>
      <c r="D128" s="1">
        <v>45754</v>
      </c>
      <c r="E128" t="s">
        <v>484</v>
      </c>
      <c r="F128" t="s">
        <v>54</v>
      </c>
      <c r="G128" t="s">
        <v>129</v>
      </c>
      <c r="H128" t="s">
        <v>485</v>
      </c>
      <c r="I128" t="s">
        <v>61</v>
      </c>
      <c r="J128" t="s">
        <v>62</v>
      </c>
      <c r="K128" t="s">
        <v>486</v>
      </c>
      <c r="L128" t="s">
        <v>187</v>
      </c>
      <c r="M128" t="s">
        <v>32</v>
      </c>
      <c r="N128" t="s">
        <v>102</v>
      </c>
      <c r="O128" t="s">
        <v>103</v>
      </c>
      <c r="P128" t="s">
        <v>123</v>
      </c>
      <c r="Q128">
        <v>102</v>
      </c>
      <c r="R128">
        <v>25.19</v>
      </c>
      <c r="S128">
        <v>2569.38</v>
      </c>
      <c r="T128">
        <v>13.17</v>
      </c>
      <c r="U128">
        <v>8</v>
      </c>
      <c r="V128">
        <v>4700</v>
      </c>
      <c r="W128" t="s">
        <v>36</v>
      </c>
      <c r="X128">
        <v>120.2</v>
      </c>
    </row>
    <row r="129" spans="1:24" x14ac:dyDescent="0.25">
      <c r="A129" s="2">
        <v>100127</v>
      </c>
      <c r="B129" s="1">
        <v>45913</v>
      </c>
      <c r="C129" s="1">
        <v>45918</v>
      </c>
      <c r="D129" s="1">
        <v>45920</v>
      </c>
      <c r="E129" t="s">
        <v>487</v>
      </c>
      <c r="F129" t="s">
        <v>25</v>
      </c>
      <c r="G129" t="s">
        <v>59</v>
      </c>
      <c r="H129" t="s">
        <v>488</v>
      </c>
      <c r="I129" t="s">
        <v>416</v>
      </c>
      <c r="J129" t="s">
        <v>80</v>
      </c>
      <c r="K129" t="s">
        <v>489</v>
      </c>
      <c r="L129" t="s">
        <v>118</v>
      </c>
      <c r="M129" t="s">
        <v>54</v>
      </c>
      <c r="N129" t="s">
        <v>151</v>
      </c>
      <c r="O129" t="s">
        <v>152</v>
      </c>
      <c r="P129" t="s">
        <v>68</v>
      </c>
      <c r="Q129">
        <v>459</v>
      </c>
      <c r="R129">
        <v>188.55</v>
      </c>
      <c r="S129">
        <v>86544.45</v>
      </c>
      <c r="T129">
        <v>58.26</v>
      </c>
      <c r="U129">
        <v>2</v>
      </c>
      <c r="V129">
        <v>1227</v>
      </c>
      <c r="W129" t="s">
        <v>36</v>
      </c>
      <c r="X129">
        <v>12390.18</v>
      </c>
    </row>
    <row r="130" spans="1:24" x14ac:dyDescent="0.25">
      <c r="A130" s="2">
        <v>100128</v>
      </c>
      <c r="B130" s="1">
        <v>45591</v>
      </c>
      <c r="C130" s="1">
        <v>45594</v>
      </c>
      <c r="D130" s="1">
        <v>45618</v>
      </c>
      <c r="E130" t="s">
        <v>490</v>
      </c>
      <c r="F130" t="s">
        <v>54</v>
      </c>
      <c r="G130" t="s">
        <v>193</v>
      </c>
      <c r="H130" t="s">
        <v>491</v>
      </c>
      <c r="I130" t="s">
        <v>72</v>
      </c>
      <c r="J130" t="s">
        <v>42</v>
      </c>
      <c r="K130" t="s">
        <v>492</v>
      </c>
      <c r="L130" t="s">
        <v>98</v>
      </c>
      <c r="M130" t="s">
        <v>65</v>
      </c>
      <c r="N130" t="s">
        <v>55</v>
      </c>
      <c r="O130" t="s">
        <v>56</v>
      </c>
      <c r="P130" t="s">
        <v>76</v>
      </c>
      <c r="Q130">
        <v>373</v>
      </c>
      <c r="R130">
        <v>432.65</v>
      </c>
      <c r="S130">
        <v>161378.45000000001</v>
      </c>
      <c r="T130">
        <v>14.82</v>
      </c>
      <c r="U130">
        <v>24</v>
      </c>
      <c r="V130">
        <v>1054</v>
      </c>
      <c r="W130" t="s">
        <v>36</v>
      </c>
      <c r="X130">
        <v>33154.910000000003</v>
      </c>
    </row>
    <row r="131" spans="1:24" x14ac:dyDescent="0.25">
      <c r="A131" s="2">
        <v>100129</v>
      </c>
      <c r="B131" s="1">
        <v>45690</v>
      </c>
      <c r="C131" s="1">
        <v>45690</v>
      </c>
      <c r="D131" s="1">
        <v>45697</v>
      </c>
      <c r="E131" t="s">
        <v>493</v>
      </c>
      <c r="F131" t="s">
        <v>25</v>
      </c>
      <c r="G131" t="s">
        <v>59</v>
      </c>
      <c r="H131" t="s">
        <v>494</v>
      </c>
      <c r="I131" t="s">
        <v>368</v>
      </c>
      <c r="J131" t="s">
        <v>29</v>
      </c>
      <c r="K131" t="s">
        <v>495</v>
      </c>
      <c r="L131" t="s">
        <v>91</v>
      </c>
      <c r="M131" t="s">
        <v>65</v>
      </c>
      <c r="N131" t="s">
        <v>92</v>
      </c>
      <c r="O131" t="s">
        <v>93</v>
      </c>
      <c r="P131" t="s">
        <v>123</v>
      </c>
      <c r="Q131">
        <v>343</v>
      </c>
      <c r="R131">
        <v>63.45</v>
      </c>
      <c r="S131">
        <v>21763.35</v>
      </c>
      <c r="T131">
        <v>19.03</v>
      </c>
      <c r="U131">
        <v>7</v>
      </c>
      <c r="V131">
        <v>3205</v>
      </c>
      <c r="W131" t="s">
        <v>36</v>
      </c>
      <c r="X131">
        <v>6203.57</v>
      </c>
    </row>
    <row r="132" spans="1:24" x14ac:dyDescent="0.25">
      <c r="A132" s="2">
        <v>100130</v>
      </c>
      <c r="B132" s="1">
        <v>45939</v>
      </c>
      <c r="C132" s="1">
        <v>45940</v>
      </c>
      <c r="D132" s="1">
        <v>45945</v>
      </c>
      <c r="E132" t="s">
        <v>496</v>
      </c>
      <c r="F132" t="s">
        <v>38</v>
      </c>
      <c r="G132" t="s">
        <v>217</v>
      </c>
      <c r="H132" t="s">
        <v>497</v>
      </c>
      <c r="I132" t="s">
        <v>238</v>
      </c>
      <c r="J132" t="s">
        <v>62</v>
      </c>
      <c r="K132" t="s">
        <v>498</v>
      </c>
      <c r="L132" t="s">
        <v>31</v>
      </c>
      <c r="M132" t="s">
        <v>25</v>
      </c>
      <c r="N132" t="s">
        <v>203</v>
      </c>
      <c r="O132" t="s">
        <v>204</v>
      </c>
      <c r="P132" t="s">
        <v>35</v>
      </c>
      <c r="Q132">
        <v>272</v>
      </c>
      <c r="R132">
        <v>35.65</v>
      </c>
      <c r="S132">
        <v>9696.7999999999993</v>
      </c>
      <c r="T132">
        <v>20.190000000000001</v>
      </c>
      <c r="U132">
        <v>5</v>
      </c>
      <c r="V132">
        <v>3954</v>
      </c>
      <c r="W132" t="s">
        <v>36</v>
      </c>
      <c r="X132">
        <v>698.15</v>
      </c>
    </row>
    <row r="133" spans="1:24" x14ac:dyDescent="0.25">
      <c r="A133" s="2">
        <v>100131</v>
      </c>
      <c r="B133" s="1">
        <v>45375</v>
      </c>
      <c r="C133" s="1">
        <v>45378</v>
      </c>
      <c r="D133" s="1">
        <v>45385</v>
      </c>
      <c r="E133" t="s">
        <v>499</v>
      </c>
      <c r="F133" t="s">
        <v>25</v>
      </c>
      <c r="G133" t="s">
        <v>233</v>
      </c>
      <c r="H133" t="s">
        <v>500</v>
      </c>
      <c r="I133" t="s">
        <v>238</v>
      </c>
      <c r="J133" t="s">
        <v>62</v>
      </c>
      <c r="K133" t="s">
        <v>501</v>
      </c>
      <c r="L133" t="s">
        <v>187</v>
      </c>
      <c r="M133" t="s">
        <v>25</v>
      </c>
      <c r="N133" t="s">
        <v>74</v>
      </c>
      <c r="O133" t="s">
        <v>75</v>
      </c>
      <c r="P133" t="s">
        <v>35</v>
      </c>
      <c r="Q133">
        <v>371</v>
      </c>
      <c r="R133">
        <v>10.050000000000001</v>
      </c>
      <c r="S133">
        <v>3728.55</v>
      </c>
      <c r="T133">
        <v>17.03</v>
      </c>
      <c r="U133">
        <v>7</v>
      </c>
      <c r="V133">
        <v>1600</v>
      </c>
      <c r="W133" t="s">
        <v>36</v>
      </c>
      <c r="X133">
        <v>272.18</v>
      </c>
    </row>
    <row r="134" spans="1:24" x14ac:dyDescent="0.25">
      <c r="A134" s="2">
        <v>100132</v>
      </c>
      <c r="B134" s="1">
        <v>45669</v>
      </c>
      <c r="C134" s="1">
        <v>45669</v>
      </c>
      <c r="D134" s="1">
        <v>45678</v>
      </c>
      <c r="E134" t="s">
        <v>502</v>
      </c>
      <c r="F134" t="s">
        <v>65</v>
      </c>
      <c r="G134" t="s">
        <v>154</v>
      </c>
      <c r="H134" t="s">
        <v>503</v>
      </c>
      <c r="I134" t="s">
        <v>177</v>
      </c>
      <c r="J134" t="s">
        <v>29</v>
      </c>
      <c r="K134" t="s">
        <v>504</v>
      </c>
      <c r="L134" t="s">
        <v>122</v>
      </c>
      <c r="M134" t="s">
        <v>32</v>
      </c>
      <c r="N134" t="s">
        <v>102</v>
      </c>
      <c r="O134" t="s">
        <v>103</v>
      </c>
      <c r="P134" t="s">
        <v>35</v>
      </c>
      <c r="Q134">
        <v>59</v>
      </c>
      <c r="R134">
        <v>90.52</v>
      </c>
      <c r="S134">
        <v>5340.68</v>
      </c>
      <c r="T134">
        <v>14.15</v>
      </c>
      <c r="U134">
        <v>9</v>
      </c>
      <c r="V134">
        <v>3281</v>
      </c>
      <c r="W134" t="s">
        <v>36</v>
      </c>
      <c r="X134">
        <v>1338.81</v>
      </c>
    </row>
    <row r="135" spans="1:24" x14ac:dyDescent="0.25">
      <c r="A135" s="2">
        <v>100133</v>
      </c>
      <c r="B135" s="1">
        <v>45730</v>
      </c>
      <c r="C135" s="1">
        <v>45731</v>
      </c>
      <c r="D135" s="1">
        <v>45739</v>
      </c>
      <c r="E135" t="s">
        <v>505</v>
      </c>
      <c r="F135" t="s">
        <v>38</v>
      </c>
      <c r="G135" t="s">
        <v>49</v>
      </c>
      <c r="H135" t="s">
        <v>506</v>
      </c>
      <c r="I135" t="s">
        <v>191</v>
      </c>
      <c r="J135" t="s">
        <v>62</v>
      </c>
      <c r="K135" t="s">
        <v>300</v>
      </c>
      <c r="L135" t="s">
        <v>44</v>
      </c>
      <c r="M135" t="s">
        <v>38</v>
      </c>
      <c r="N135" t="s">
        <v>203</v>
      </c>
      <c r="O135" t="s">
        <v>204</v>
      </c>
      <c r="P135" t="s">
        <v>123</v>
      </c>
      <c r="Q135">
        <v>128</v>
      </c>
      <c r="R135">
        <v>29.09</v>
      </c>
      <c r="S135">
        <v>3723.52</v>
      </c>
      <c r="T135">
        <v>10.220000000000001</v>
      </c>
      <c r="U135">
        <v>8</v>
      </c>
      <c r="V135">
        <v>961</v>
      </c>
      <c r="W135" t="s">
        <v>47</v>
      </c>
      <c r="X135">
        <v>-141.21</v>
      </c>
    </row>
    <row r="136" spans="1:24" x14ac:dyDescent="0.25">
      <c r="A136" s="2">
        <v>100134</v>
      </c>
      <c r="B136" s="1">
        <v>45941</v>
      </c>
      <c r="C136" s="1">
        <v>45941</v>
      </c>
      <c r="D136" s="1">
        <v>45964</v>
      </c>
      <c r="E136" t="s">
        <v>507</v>
      </c>
      <c r="F136" t="s">
        <v>54</v>
      </c>
      <c r="G136" t="s">
        <v>225</v>
      </c>
      <c r="H136" t="s">
        <v>508</v>
      </c>
      <c r="I136" t="s">
        <v>191</v>
      </c>
      <c r="J136" t="s">
        <v>62</v>
      </c>
      <c r="K136" t="s">
        <v>509</v>
      </c>
      <c r="L136" t="s">
        <v>113</v>
      </c>
      <c r="M136" t="s">
        <v>65</v>
      </c>
      <c r="N136" t="s">
        <v>92</v>
      </c>
      <c r="O136" t="s">
        <v>93</v>
      </c>
      <c r="P136" t="s">
        <v>76</v>
      </c>
      <c r="Q136">
        <v>329</v>
      </c>
      <c r="R136">
        <v>11.14</v>
      </c>
      <c r="S136">
        <v>3665.06</v>
      </c>
      <c r="T136">
        <v>14.02</v>
      </c>
      <c r="U136">
        <v>23</v>
      </c>
      <c r="V136">
        <v>4029</v>
      </c>
      <c r="W136" t="s">
        <v>36</v>
      </c>
      <c r="X136">
        <v>511.14</v>
      </c>
    </row>
    <row r="137" spans="1:24" x14ac:dyDescent="0.25">
      <c r="A137" s="2">
        <v>100135</v>
      </c>
      <c r="B137" s="1">
        <v>45571</v>
      </c>
      <c r="C137" s="1">
        <v>45574</v>
      </c>
      <c r="D137" s="1">
        <v>45577</v>
      </c>
      <c r="E137" t="s">
        <v>510</v>
      </c>
      <c r="F137" t="s">
        <v>25</v>
      </c>
      <c r="G137" t="s">
        <v>59</v>
      </c>
      <c r="H137" t="s">
        <v>511</v>
      </c>
      <c r="I137" t="s">
        <v>207</v>
      </c>
      <c r="J137" t="s">
        <v>80</v>
      </c>
      <c r="K137" t="s">
        <v>512</v>
      </c>
      <c r="L137" t="s">
        <v>118</v>
      </c>
      <c r="M137" t="s">
        <v>32</v>
      </c>
      <c r="N137" t="s">
        <v>33</v>
      </c>
      <c r="O137" t="s">
        <v>34</v>
      </c>
      <c r="P137" t="s">
        <v>68</v>
      </c>
      <c r="Q137">
        <v>176</v>
      </c>
      <c r="R137">
        <v>279.51</v>
      </c>
      <c r="S137">
        <v>49193.760000000002</v>
      </c>
      <c r="T137">
        <v>39.92</v>
      </c>
      <c r="U137">
        <v>3</v>
      </c>
      <c r="V137">
        <v>85</v>
      </c>
      <c r="W137" t="s">
        <v>36</v>
      </c>
      <c r="X137">
        <v>7373.52</v>
      </c>
    </row>
    <row r="138" spans="1:24" x14ac:dyDescent="0.25">
      <c r="A138" s="2">
        <v>100136</v>
      </c>
      <c r="B138" s="1">
        <v>45361</v>
      </c>
      <c r="C138" s="1">
        <v>45361</v>
      </c>
      <c r="D138" s="1">
        <v>45373</v>
      </c>
      <c r="E138" t="s">
        <v>513</v>
      </c>
      <c r="F138" t="s">
        <v>65</v>
      </c>
      <c r="G138" t="s">
        <v>142</v>
      </c>
      <c r="H138" t="s">
        <v>514</v>
      </c>
      <c r="I138" t="s">
        <v>177</v>
      </c>
      <c r="J138" t="s">
        <v>29</v>
      </c>
      <c r="K138" t="s">
        <v>515</v>
      </c>
      <c r="L138" t="s">
        <v>98</v>
      </c>
      <c r="M138" t="s">
        <v>54</v>
      </c>
      <c r="N138" t="s">
        <v>107</v>
      </c>
      <c r="O138" t="s">
        <v>108</v>
      </c>
      <c r="P138" t="s">
        <v>123</v>
      </c>
      <c r="Q138">
        <v>437</v>
      </c>
      <c r="R138">
        <v>35.71</v>
      </c>
      <c r="S138">
        <v>15605.27</v>
      </c>
      <c r="T138">
        <v>21.31</v>
      </c>
      <c r="U138">
        <v>12</v>
      </c>
      <c r="V138">
        <v>2346</v>
      </c>
      <c r="W138" t="s">
        <v>188</v>
      </c>
      <c r="X138">
        <v>3389.42</v>
      </c>
    </row>
    <row r="139" spans="1:24" x14ac:dyDescent="0.25">
      <c r="A139" s="2">
        <v>100137</v>
      </c>
      <c r="B139" s="1">
        <v>45672</v>
      </c>
      <c r="C139" s="1">
        <v>45673</v>
      </c>
      <c r="D139" s="1">
        <v>45685</v>
      </c>
      <c r="E139" t="s">
        <v>516</v>
      </c>
      <c r="F139" t="s">
        <v>54</v>
      </c>
      <c r="G139" t="s">
        <v>129</v>
      </c>
      <c r="H139" t="s">
        <v>517</v>
      </c>
      <c r="I139" t="s">
        <v>126</v>
      </c>
      <c r="J139" t="s">
        <v>42</v>
      </c>
      <c r="K139" t="s">
        <v>518</v>
      </c>
      <c r="L139" t="s">
        <v>91</v>
      </c>
      <c r="M139" t="s">
        <v>38</v>
      </c>
      <c r="N139" t="s">
        <v>74</v>
      </c>
      <c r="O139" t="s">
        <v>75</v>
      </c>
      <c r="P139" t="s">
        <v>76</v>
      </c>
      <c r="Q139">
        <v>218</v>
      </c>
      <c r="R139">
        <v>448.24</v>
      </c>
      <c r="S139">
        <v>97716.32</v>
      </c>
      <c r="T139">
        <v>11.99</v>
      </c>
      <c r="U139">
        <v>12</v>
      </c>
      <c r="V139">
        <v>1544</v>
      </c>
      <c r="W139" t="s">
        <v>57</v>
      </c>
      <c r="X139">
        <v>15497.7</v>
      </c>
    </row>
    <row r="140" spans="1:24" x14ac:dyDescent="0.25">
      <c r="A140" s="2">
        <v>100138</v>
      </c>
      <c r="B140" s="1">
        <v>45768</v>
      </c>
      <c r="C140" s="1">
        <v>45768</v>
      </c>
      <c r="D140" s="1">
        <v>45772</v>
      </c>
      <c r="E140" t="s">
        <v>519</v>
      </c>
      <c r="F140" t="s">
        <v>65</v>
      </c>
      <c r="G140" t="s">
        <v>70</v>
      </c>
      <c r="H140" t="s">
        <v>520</v>
      </c>
      <c r="I140" t="s">
        <v>207</v>
      </c>
      <c r="J140" t="s">
        <v>80</v>
      </c>
      <c r="K140" t="s">
        <v>521</v>
      </c>
      <c r="L140" t="s">
        <v>187</v>
      </c>
      <c r="M140" t="s">
        <v>38</v>
      </c>
      <c r="N140" t="s">
        <v>151</v>
      </c>
      <c r="O140" t="s">
        <v>152</v>
      </c>
      <c r="P140" t="s">
        <v>68</v>
      </c>
      <c r="Q140">
        <v>405</v>
      </c>
      <c r="R140">
        <v>344.18</v>
      </c>
      <c r="S140">
        <v>139392.9</v>
      </c>
      <c r="T140">
        <v>54.76</v>
      </c>
      <c r="U140">
        <v>4</v>
      </c>
      <c r="V140">
        <v>1729</v>
      </c>
      <c r="W140" t="s">
        <v>36</v>
      </c>
      <c r="X140">
        <v>32413.84</v>
      </c>
    </row>
    <row r="141" spans="1:24" x14ac:dyDescent="0.25">
      <c r="A141" s="2">
        <v>100139</v>
      </c>
      <c r="B141" s="1">
        <v>45539</v>
      </c>
      <c r="C141" s="1">
        <v>45542</v>
      </c>
      <c r="D141" s="1">
        <v>45546</v>
      </c>
      <c r="E141" t="s">
        <v>522</v>
      </c>
      <c r="F141" t="s">
        <v>65</v>
      </c>
      <c r="G141" t="s">
        <v>70</v>
      </c>
      <c r="H141" t="s">
        <v>523</v>
      </c>
      <c r="I141" t="s">
        <v>134</v>
      </c>
      <c r="J141" t="s">
        <v>52</v>
      </c>
      <c r="K141" t="s">
        <v>524</v>
      </c>
      <c r="L141" t="s">
        <v>31</v>
      </c>
      <c r="M141" t="s">
        <v>32</v>
      </c>
      <c r="N141" t="s">
        <v>55</v>
      </c>
      <c r="O141" t="s">
        <v>56</v>
      </c>
      <c r="P141" t="s">
        <v>123</v>
      </c>
      <c r="Q141">
        <v>475</v>
      </c>
      <c r="R141">
        <v>72.61</v>
      </c>
      <c r="S141">
        <v>34489.75</v>
      </c>
      <c r="T141">
        <v>22.23</v>
      </c>
      <c r="U141">
        <v>4</v>
      </c>
      <c r="V141">
        <v>1212</v>
      </c>
      <c r="W141" t="s">
        <v>36</v>
      </c>
      <c r="X141">
        <v>2655.14</v>
      </c>
    </row>
    <row r="142" spans="1:24" x14ac:dyDescent="0.25">
      <c r="A142" s="2">
        <v>100140</v>
      </c>
      <c r="B142" s="1">
        <v>45405</v>
      </c>
      <c r="C142" s="1">
        <v>45409</v>
      </c>
      <c r="D142" s="1">
        <v>45411</v>
      </c>
      <c r="E142" t="s">
        <v>525</v>
      </c>
      <c r="F142" t="s">
        <v>32</v>
      </c>
      <c r="G142" t="s">
        <v>255</v>
      </c>
      <c r="H142" t="s">
        <v>526</v>
      </c>
      <c r="I142" t="s">
        <v>41</v>
      </c>
      <c r="J142" t="s">
        <v>42</v>
      </c>
      <c r="K142" t="s">
        <v>268</v>
      </c>
      <c r="L142" t="s">
        <v>98</v>
      </c>
      <c r="M142" t="s">
        <v>54</v>
      </c>
      <c r="N142" t="s">
        <v>151</v>
      </c>
      <c r="O142" t="s">
        <v>152</v>
      </c>
      <c r="P142" t="s">
        <v>68</v>
      </c>
      <c r="Q142">
        <v>466</v>
      </c>
      <c r="R142">
        <v>258.79000000000002</v>
      </c>
      <c r="S142">
        <v>120596.14</v>
      </c>
      <c r="T142">
        <v>58.71</v>
      </c>
      <c r="U142">
        <v>2</v>
      </c>
      <c r="V142">
        <v>884</v>
      </c>
      <c r="W142" t="s">
        <v>36</v>
      </c>
      <c r="X142">
        <v>17139.310000000001</v>
      </c>
    </row>
    <row r="143" spans="1:24" x14ac:dyDescent="0.25">
      <c r="A143" s="2">
        <v>100141</v>
      </c>
      <c r="B143" s="1">
        <v>45602</v>
      </c>
      <c r="C143" s="1">
        <v>45607</v>
      </c>
      <c r="D143" s="1">
        <v>45610</v>
      </c>
      <c r="E143" t="s">
        <v>527</v>
      </c>
      <c r="F143" t="s">
        <v>32</v>
      </c>
      <c r="G143" t="s">
        <v>364</v>
      </c>
      <c r="H143" t="s">
        <v>528</v>
      </c>
      <c r="I143" t="s">
        <v>278</v>
      </c>
      <c r="J143" t="s">
        <v>29</v>
      </c>
      <c r="K143" t="s">
        <v>529</v>
      </c>
      <c r="L143" t="s">
        <v>91</v>
      </c>
      <c r="M143" t="s">
        <v>32</v>
      </c>
      <c r="N143" t="s">
        <v>45</v>
      </c>
      <c r="O143" t="s">
        <v>46</v>
      </c>
      <c r="P143" t="s">
        <v>68</v>
      </c>
      <c r="Q143">
        <v>253</v>
      </c>
      <c r="R143">
        <v>32.94</v>
      </c>
      <c r="S143">
        <v>8333.82</v>
      </c>
      <c r="T143">
        <v>33.26</v>
      </c>
      <c r="U143">
        <v>3</v>
      </c>
      <c r="V143">
        <v>3460</v>
      </c>
      <c r="W143" t="s">
        <v>36</v>
      </c>
      <c r="X143">
        <v>1846.77</v>
      </c>
    </row>
    <row r="144" spans="1:24" x14ac:dyDescent="0.25">
      <c r="A144" s="2">
        <v>100142</v>
      </c>
      <c r="B144" s="1">
        <v>45961</v>
      </c>
      <c r="C144" s="1">
        <v>45966</v>
      </c>
      <c r="D144" s="1">
        <v>45981</v>
      </c>
      <c r="E144" t="s">
        <v>530</v>
      </c>
      <c r="F144" t="s">
        <v>38</v>
      </c>
      <c r="G144" t="s">
        <v>83</v>
      </c>
      <c r="H144" t="s">
        <v>531</v>
      </c>
      <c r="I144" t="s">
        <v>144</v>
      </c>
      <c r="J144" t="s">
        <v>52</v>
      </c>
      <c r="K144" t="s">
        <v>532</v>
      </c>
      <c r="L144" t="s">
        <v>98</v>
      </c>
      <c r="M144" t="s">
        <v>32</v>
      </c>
      <c r="N144" t="s">
        <v>107</v>
      </c>
      <c r="O144" t="s">
        <v>108</v>
      </c>
      <c r="P144" t="s">
        <v>76</v>
      </c>
      <c r="Q144">
        <v>414</v>
      </c>
      <c r="R144">
        <v>9.8800000000000008</v>
      </c>
      <c r="S144">
        <v>4090.32</v>
      </c>
      <c r="T144">
        <v>15.56</v>
      </c>
      <c r="U144">
        <v>15</v>
      </c>
      <c r="V144">
        <v>4425</v>
      </c>
      <c r="W144" t="s">
        <v>36</v>
      </c>
      <c r="X144">
        <v>575.47</v>
      </c>
    </row>
    <row r="145" spans="1:24" x14ac:dyDescent="0.25">
      <c r="A145" s="2">
        <v>100143</v>
      </c>
      <c r="B145" s="1">
        <v>45544</v>
      </c>
      <c r="C145" s="1">
        <v>45549</v>
      </c>
      <c r="D145" s="1">
        <v>45553</v>
      </c>
      <c r="E145" t="s">
        <v>533</v>
      </c>
      <c r="F145" t="s">
        <v>65</v>
      </c>
      <c r="G145" t="s">
        <v>142</v>
      </c>
      <c r="H145" t="s">
        <v>534</v>
      </c>
      <c r="I145" t="s">
        <v>246</v>
      </c>
      <c r="J145" t="s">
        <v>29</v>
      </c>
      <c r="K145" t="s">
        <v>535</v>
      </c>
      <c r="L145" t="s">
        <v>113</v>
      </c>
      <c r="M145" t="s">
        <v>25</v>
      </c>
      <c r="N145" t="s">
        <v>66</v>
      </c>
      <c r="O145" t="s">
        <v>67</v>
      </c>
      <c r="P145" t="s">
        <v>123</v>
      </c>
      <c r="Q145">
        <v>345</v>
      </c>
      <c r="R145">
        <v>94.13</v>
      </c>
      <c r="S145">
        <v>32474.85</v>
      </c>
      <c r="T145">
        <v>19.079999999999998</v>
      </c>
      <c r="U145">
        <v>4</v>
      </c>
      <c r="V145">
        <v>2578</v>
      </c>
      <c r="W145" t="s">
        <v>36</v>
      </c>
      <c r="X145">
        <v>8588.06</v>
      </c>
    </row>
    <row r="146" spans="1:24" x14ac:dyDescent="0.25">
      <c r="A146" s="2">
        <v>100144</v>
      </c>
      <c r="B146" s="1">
        <v>45773</v>
      </c>
      <c r="C146" s="1">
        <v>45777</v>
      </c>
      <c r="D146" s="1">
        <v>45788</v>
      </c>
      <c r="E146" t="s">
        <v>536</v>
      </c>
      <c r="F146" t="s">
        <v>54</v>
      </c>
      <c r="G146" t="s">
        <v>225</v>
      </c>
      <c r="H146" t="s">
        <v>537</v>
      </c>
      <c r="I146" t="s">
        <v>246</v>
      </c>
      <c r="J146" t="s">
        <v>29</v>
      </c>
      <c r="K146" t="s">
        <v>340</v>
      </c>
      <c r="L146" t="s">
        <v>91</v>
      </c>
      <c r="M146" t="s">
        <v>25</v>
      </c>
      <c r="N146" t="s">
        <v>107</v>
      </c>
      <c r="O146" t="s">
        <v>108</v>
      </c>
      <c r="P146" t="s">
        <v>76</v>
      </c>
      <c r="Q146">
        <v>137</v>
      </c>
      <c r="R146">
        <v>57.57</v>
      </c>
      <c r="S146">
        <v>7887.09</v>
      </c>
      <c r="T146">
        <v>10.52</v>
      </c>
      <c r="U146">
        <v>11</v>
      </c>
      <c r="V146">
        <v>692</v>
      </c>
      <c r="W146" t="s">
        <v>36</v>
      </c>
      <c r="X146">
        <v>944.87</v>
      </c>
    </row>
    <row r="147" spans="1:24" x14ac:dyDescent="0.25">
      <c r="A147" s="2">
        <v>100145</v>
      </c>
      <c r="B147" s="1">
        <v>45334</v>
      </c>
      <c r="C147" s="1">
        <v>45339</v>
      </c>
      <c r="D147" s="1">
        <v>45342</v>
      </c>
      <c r="E147" t="s">
        <v>538</v>
      </c>
      <c r="F147" t="s">
        <v>54</v>
      </c>
      <c r="G147" t="s">
        <v>165</v>
      </c>
      <c r="H147" t="s">
        <v>539</v>
      </c>
      <c r="I147" t="s">
        <v>368</v>
      </c>
      <c r="J147" t="s">
        <v>29</v>
      </c>
      <c r="K147" t="s">
        <v>515</v>
      </c>
      <c r="L147" t="s">
        <v>91</v>
      </c>
      <c r="M147" t="s">
        <v>65</v>
      </c>
      <c r="N147" t="s">
        <v>33</v>
      </c>
      <c r="O147" t="s">
        <v>34</v>
      </c>
      <c r="P147" t="s">
        <v>35</v>
      </c>
      <c r="Q147">
        <v>476</v>
      </c>
      <c r="R147">
        <v>31.1</v>
      </c>
      <c r="S147">
        <v>14803.6</v>
      </c>
      <c r="T147">
        <v>25.97</v>
      </c>
      <c r="U147">
        <v>3</v>
      </c>
      <c r="V147">
        <v>2542</v>
      </c>
      <c r="W147" t="s">
        <v>36</v>
      </c>
      <c r="X147">
        <v>1625.46</v>
      </c>
    </row>
    <row r="148" spans="1:24" x14ac:dyDescent="0.25">
      <c r="A148" s="2">
        <v>100146</v>
      </c>
      <c r="B148" s="1">
        <v>45748</v>
      </c>
      <c r="C148" s="1">
        <v>45750</v>
      </c>
      <c r="D148" s="1">
        <v>45768</v>
      </c>
      <c r="E148" t="s">
        <v>540</v>
      </c>
      <c r="F148" t="s">
        <v>54</v>
      </c>
      <c r="G148" t="s">
        <v>158</v>
      </c>
      <c r="H148" t="s">
        <v>541</v>
      </c>
      <c r="I148" t="s">
        <v>144</v>
      </c>
      <c r="J148" t="s">
        <v>52</v>
      </c>
      <c r="K148" t="s">
        <v>542</v>
      </c>
      <c r="L148" t="s">
        <v>64</v>
      </c>
      <c r="M148" t="s">
        <v>38</v>
      </c>
      <c r="N148" t="s">
        <v>45</v>
      </c>
      <c r="O148" t="s">
        <v>46</v>
      </c>
      <c r="P148" t="s">
        <v>76</v>
      </c>
      <c r="Q148">
        <v>380</v>
      </c>
      <c r="R148">
        <v>22.58</v>
      </c>
      <c r="S148">
        <v>8580.4</v>
      </c>
      <c r="T148">
        <v>14.94</v>
      </c>
      <c r="U148">
        <v>18</v>
      </c>
      <c r="V148">
        <v>599</v>
      </c>
      <c r="W148" t="s">
        <v>36</v>
      </c>
      <c r="X148">
        <v>1697.46</v>
      </c>
    </row>
    <row r="149" spans="1:24" x14ac:dyDescent="0.25">
      <c r="A149" s="2">
        <v>100147</v>
      </c>
      <c r="B149" s="1">
        <v>45650</v>
      </c>
      <c r="C149" s="1">
        <v>45653</v>
      </c>
      <c r="D149" s="1">
        <v>45658</v>
      </c>
      <c r="E149" t="s">
        <v>543</v>
      </c>
      <c r="F149" t="s">
        <v>54</v>
      </c>
      <c r="G149" t="s">
        <v>165</v>
      </c>
      <c r="H149" t="s">
        <v>544</v>
      </c>
      <c r="I149" t="s">
        <v>416</v>
      </c>
      <c r="J149" t="s">
        <v>80</v>
      </c>
      <c r="K149" t="s">
        <v>545</v>
      </c>
      <c r="L149" t="s">
        <v>122</v>
      </c>
      <c r="M149" t="s">
        <v>25</v>
      </c>
      <c r="N149" t="s">
        <v>151</v>
      </c>
      <c r="O149" t="s">
        <v>152</v>
      </c>
      <c r="P149" t="s">
        <v>35</v>
      </c>
      <c r="Q149">
        <v>240</v>
      </c>
      <c r="R149">
        <v>264.54000000000002</v>
      </c>
      <c r="S149">
        <v>63489.599999999999</v>
      </c>
      <c r="T149">
        <v>19.28</v>
      </c>
      <c r="U149">
        <v>5</v>
      </c>
      <c r="V149">
        <v>1558</v>
      </c>
      <c r="W149" t="s">
        <v>36</v>
      </c>
      <c r="X149">
        <v>9576.51</v>
      </c>
    </row>
    <row r="150" spans="1:24" x14ac:dyDescent="0.25">
      <c r="A150" s="2">
        <v>100148</v>
      </c>
      <c r="B150" s="1">
        <v>45383</v>
      </c>
      <c r="C150" s="1">
        <v>45388</v>
      </c>
      <c r="D150" s="1">
        <v>45393</v>
      </c>
      <c r="E150" t="s">
        <v>546</v>
      </c>
      <c r="F150" t="s">
        <v>54</v>
      </c>
      <c r="G150" t="s">
        <v>158</v>
      </c>
      <c r="H150" t="s">
        <v>547</v>
      </c>
      <c r="I150" t="s">
        <v>126</v>
      </c>
      <c r="J150" t="s">
        <v>42</v>
      </c>
      <c r="K150" t="s">
        <v>548</v>
      </c>
      <c r="L150" t="s">
        <v>118</v>
      </c>
      <c r="M150" t="s">
        <v>32</v>
      </c>
      <c r="N150" t="s">
        <v>203</v>
      </c>
      <c r="O150" t="s">
        <v>204</v>
      </c>
      <c r="P150" t="s">
        <v>68</v>
      </c>
      <c r="Q150">
        <v>395</v>
      </c>
      <c r="R150">
        <v>112.18</v>
      </c>
      <c r="S150">
        <v>44311.1</v>
      </c>
      <c r="T150">
        <v>54.11</v>
      </c>
      <c r="U150">
        <v>5</v>
      </c>
      <c r="V150">
        <v>454</v>
      </c>
      <c r="W150" t="s">
        <v>47</v>
      </c>
      <c r="X150">
        <v>-42.91</v>
      </c>
    </row>
    <row r="151" spans="1:24" x14ac:dyDescent="0.25">
      <c r="A151" s="2">
        <v>100149</v>
      </c>
      <c r="B151" s="1">
        <v>45714</v>
      </c>
      <c r="C151" s="1">
        <v>45718</v>
      </c>
      <c r="D151" s="1">
        <v>45722</v>
      </c>
      <c r="E151" t="s">
        <v>549</v>
      </c>
      <c r="F151" t="s">
        <v>65</v>
      </c>
      <c r="G151" t="s">
        <v>142</v>
      </c>
      <c r="H151" t="s">
        <v>550</v>
      </c>
      <c r="I151" t="s">
        <v>51</v>
      </c>
      <c r="J151" t="s">
        <v>52</v>
      </c>
      <c r="K151" t="s">
        <v>434</v>
      </c>
      <c r="L151" t="s">
        <v>212</v>
      </c>
      <c r="M151" t="s">
        <v>32</v>
      </c>
      <c r="N151" t="s">
        <v>203</v>
      </c>
      <c r="O151" t="s">
        <v>204</v>
      </c>
      <c r="P151" t="s">
        <v>123</v>
      </c>
      <c r="Q151">
        <v>347</v>
      </c>
      <c r="R151">
        <v>13.3</v>
      </c>
      <c r="S151">
        <v>4615.1000000000004</v>
      </c>
      <c r="T151">
        <v>19.12</v>
      </c>
      <c r="U151">
        <v>4</v>
      </c>
      <c r="V151">
        <v>871</v>
      </c>
      <c r="W151" t="s">
        <v>36</v>
      </c>
      <c r="X151">
        <v>632.69000000000005</v>
      </c>
    </row>
    <row r="152" spans="1:24" x14ac:dyDescent="0.25">
      <c r="A152" s="2">
        <v>100150</v>
      </c>
      <c r="B152" s="1">
        <v>45599</v>
      </c>
      <c r="C152" s="1">
        <v>45603</v>
      </c>
      <c r="D152" s="1">
        <v>45608</v>
      </c>
      <c r="E152" t="s">
        <v>551</v>
      </c>
      <c r="F152" t="s">
        <v>54</v>
      </c>
      <c r="G152" t="s">
        <v>225</v>
      </c>
      <c r="H152" t="s">
        <v>552</v>
      </c>
      <c r="I152" t="s">
        <v>207</v>
      </c>
      <c r="J152" t="s">
        <v>80</v>
      </c>
      <c r="K152" t="s">
        <v>553</v>
      </c>
      <c r="L152" t="s">
        <v>187</v>
      </c>
      <c r="M152" t="s">
        <v>65</v>
      </c>
      <c r="N152" t="s">
        <v>45</v>
      </c>
      <c r="O152" t="s">
        <v>46</v>
      </c>
      <c r="P152" t="s">
        <v>35</v>
      </c>
      <c r="Q152">
        <v>236</v>
      </c>
      <c r="R152">
        <v>156.53</v>
      </c>
      <c r="S152">
        <v>36941.08</v>
      </c>
      <c r="T152">
        <v>19.16</v>
      </c>
      <c r="U152">
        <v>5</v>
      </c>
      <c r="V152">
        <v>1509</v>
      </c>
      <c r="W152" t="s">
        <v>36</v>
      </c>
      <c r="X152">
        <v>10065.59</v>
      </c>
    </row>
    <row r="153" spans="1:24" x14ac:dyDescent="0.25">
      <c r="A153" s="2">
        <v>100151</v>
      </c>
      <c r="B153" s="1">
        <v>45483</v>
      </c>
      <c r="C153" s="1">
        <v>45483</v>
      </c>
      <c r="D153" s="1">
        <v>45494</v>
      </c>
      <c r="E153" t="s">
        <v>554</v>
      </c>
      <c r="F153" t="s">
        <v>54</v>
      </c>
      <c r="G153" t="s">
        <v>193</v>
      </c>
      <c r="H153" t="s">
        <v>555</v>
      </c>
      <c r="I153" t="s">
        <v>246</v>
      </c>
      <c r="J153" t="s">
        <v>29</v>
      </c>
      <c r="K153" t="s">
        <v>556</v>
      </c>
      <c r="L153" t="s">
        <v>64</v>
      </c>
      <c r="M153" t="s">
        <v>38</v>
      </c>
      <c r="N153" t="s">
        <v>74</v>
      </c>
      <c r="O153" t="s">
        <v>75</v>
      </c>
      <c r="P153" t="s">
        <v>123</v>
      </c>
      <c r="Q153">
        <v>57</v>
      </c>
      <c r="R153">
        <v>38.01</v>
      </c>
      <c r="S153">
        <v>2166.5700000000002</v>
      </c>
      <c r="T153">
        <v>12.08</v>
      </c>
      <c r="U153">
        <v>11</v>
      </c>
      <c r="V153">
        <v>3231</v>
      </c>
      <c r="W153" t="s">
        <v>36</v>
      </c>
      <c r="X153">
        <v>543.07000000000005</v>
      </c>
    </row>
    <row r="154" spans="1:24" x14ac:dyDescent="0.25">
      <c r="A154" s="2">
        <v>100152</v>
      </c>
      <c r="B154" s="1">
        <v>46017</v>
      </c>
      <c r="C154" s="1">
        <v>46017</v>
      </c>
      <c r="D154" s="1">
        <v>46025</v>
      </c>
      <c r="E154" t="s">
        <v>557</v>
      </c>
      <c r="F154" t="s">
        <v>54</v>
      </c>
      <c r="G154" t="s">
        <v>165</v>
      </c>
      <c r="H154" t="s">
        <v>558</v>
      </c>
      <c r="I154" t="s">
        <v>89</v>
      </c>
      <c r="J154" t="s">
        <v>62</v>
      </c>
      <c r="K154" t="s">
        <v>559</v>
      </c>
      <c r="L154" t="s">
        <v>113</v>
      </c>
      <c r="M154" t="s">
        <v>25</v>
      </c>
      <c r="N154" t="s">
        <v>45</v>
      </c>
      <c r="O154" t="s">
        <v>46</v>
      </c>
      <c r="P154" t="s">
        <v>35</v>
      </c>
      <c r="Q154">
        <v>110</v>
      </c>
      <c r="R154">
        <v>7.15</v>
      </c>
      <c r="S154">
        <v>786.5</v>
      </c>
      <c r="T154">
        <v>15.59</v>
      </c>
      <c r="U154">
        <v>8</v>
      </c>
      <c r="V154">
        <v>3571</v>
      </c>
      <c r="W154" t="s">
        <v>36</v>
      </c>
      <c r="X154">
        <v>31.11</v>
      </c>
    </row>
    <row r="155" spans="1:24" x14ac:dyDescent="0.25">
      <c r="A155" s="2">
        <v>100153</v>
      </c>
      <c r="B155" s="1">
        <v>45955</v>
      </c>
      <c r="C155" s="1">
        <v>45955</v>
      </c>
      <c r="D155" s="1">
        <v>45961</v>
      </c>
      <c r="E155" t="s">
        <v>560</v>
      </c>
      <c r="F155" t="s">
        <v>25</v>
      </c>
      <c r="G155" t="s">
        <v>59</v>
      </c>
      <c r="H155" t="s">
        <v>561</v>
      </c>
      <c r="I155" t="s">
        <v>28</v>
      </c>
      <c r="J155" t="s">
        <v>29</v>
      </c>
      <c r="K155" t="s">
        <v>562</v>
      </c>
      <c r="L155" t="s">
        <v>122</v>
      </c>
      <c r="M155" t="s">
        <v>38</v>
      </c>
      <c r="N155" t="s">
        <v>45</v>
      </c>
      <c r="O155" t="s">
        <v>46</v>
      </c>
      <c r="P155" t="s">
        <v>35</v>
      </c>
      <c r="Q155">
        <v>445</v>
      </c>
      <c r="R155">
        <v>95.21</v>
      </c>
      <c r="S155">
        <v>42368.45</v>
      </c>
      <c r="T155">
        <v>25.09</v>
      </c>
      <c r="U155">
        <v>6</v>
      </c>
      <c r="V155">
        <v>1564</v>
      </c>
      <c r="W155" t="s">
        <v>36</v>
      </c>
      <c r="X155">
        <v>7704.02</v>
      </c>
    </row>
    <row r="156" spans="1:24" x14ac:dyDescent="0.25">
      <c r="A156" s="2">
        <v>100154</v>
      </c>
      <c r="B156" s="1">
        <v>45643</v>
      </c>
      <c r="C156" s="1">
        <v>45644</v>
      </c>
      <c r="D156" s="1">
        <v>45656</v>
      </c>
      <c r="E156" t="s">
        <v>563</v>
      </c>
      <c r="F156" t="s">
        <v>38</v>
      </c>
      <c r="G156" t="s">
        <v>49</v>
      </c>
      <c r="H156" t="s">
        <v>564</v>
      </c>
      <c r="I156" t="s">
        <v>85</v>
      </c>
      <c r="J156" t="s">
        <v>52</v>
      </c>
      <c r="K156" t="s">
        <v>565</v>
      </c>
      <c r="L156" t="s">
        <v>31</v>
      </c>
      <c r="M156" t="s">
        <v>65</v>
      </c>
      <c r="N156" t="s">
        <v>66</v>
      </c>
      <c r="O156" t="s">
        <v>67</v>
      </c>
      <c r="P156" t="s">
        <v>35</v>
      </c>
      <c r="Q156">
        <v>265</v>
      </c>
      <c r="R156">
        <v>26.68</v>
      </c>
      <c r="S156">
        <v>7070.2</v>
      </c>
      <c r="T156">
        <v>19.989999999999998</v>
      </c>
      <c r="U156">
        <v>12</v>
      </c>
      <c r="V156">
        <v>2576</v>
      </c>
      <c r="W156" t="s">
        <v>188</v>
      </c>
      <c r="X156">
        <v>663.98</v>
      </c>
    </row>
    <row r="157" spans="1:24" x14ac:dyDescent="0.25">
      <c r="A157" s="2">
        <v>100155</v>
      </c>
      <c r="B157" s="1">
        <v>45673</v>
      </c>
      <c r="C157" s="1">
        <v>45676</v>
      </c>
      <c r="D157" s="1">
        <v>45686</v>
      </c>
      <c r="E157" t="s">
        <v>566</v>
      </c>
      <c r="F157" t="s">
        <v>65</v>
      </c>
      <c r="G157" t="s">
        <v>70</v>
      </c>
      <c r="H157" t="s">
        <v>567</v>
      </c>
      <c r="I157" t="s">
        <v>116</v>
      </c>
      <c r="J157" t="s">
        <v>62</v>
      </c>
      <c r="K157" t="s">
        <v>542</v>
      </c>
      <c r="L157" t="s">
        <v>98</v>
      </c>
      <c r="M157" t="s">
        <v>32</v>
      </c>
      <c r="N157" t="s">
        <v>33</v>
      </c>
      <c r="O157" t="s">
        <v>34</v>
      </c>
      <c r="P157" t="s">
        <v>35</v>
      </c>
      <c r="Q157">
        <v>264</v>
      </c>
      <c r="R157">
        <v>48.58</v>
      </c>
      <c r="S157">
        <v>12825.12</v>
      </c>
      <c r="T157">
        <v>19.96</v>
      </c>
      <c r="U157">
        <v>10</v>
      </c>
      <c r="V157">
        <v>2496</v>
      </c>
      <c r="W157" t="s">
        <v>36</v>
      </c>
      <c r="X157">
        <v>811.29</v>
      </c>
    </row>
    <row r="158" spans="1:24" x14ac:dyDescent="0.25">
      <c r="A158" s="2">
        <v>100156</v>
      </c>
      <c r="B158" s="1">
        <v>45451</v>
      </c>
      <c r="C158" s="1">
        <v>45454</v>
      </c>
      <c r="D158" s="1">
        <v>45457</v>
      </c>
      <c r="E158" t="s">
        <v>568</v>
      </c>
      <c r="F158" t="s">
        <v>32</v>
      </c>
      <c r="G158" t="s">
        <v>364</v>
      </c>
      <c r="H158" t="s">
        <v>569</v>
      </c>
      <c r="I158" t="s">
        <v>28</v>
      </c>
      <c r="J158" t="s">
        <v>29</v>
      </c>
      <c r="K158" t="s">
        <v>570</v>
      </c>
      <c r="L158" t="s">
        <v>212</v>
      </c>
      <c r="M158" t="s">
        <v>65</v>
      </c>
      <c r="N158" t="s">
        <v>151</v>
      </c>
      <c r="O158" t="s">
        <v>152</v>
      </c>
      <c r="P158" t="s">
        <v>35</v>
      </c>
      <c r="Q158">
        <v>497</v>
      </c>
      <c r="R158">
        <v>57.53</v>
      </c>
      <c r="S158">
        <v>28592.41</v>
      </c>
      <c r="T158">
        <v>26.56</v>
      </c>
      <c r="U158">
        <v>3</v>
      </c>
      <c r="V158">
        <v>2321</v>
      </c>
      <c r="W158" t="s">
        <v>36</v>
      </c>
      <c r="X158">
        <v>4398.3500000000004</v>
      </c>
    </row>
    <row r="159" spans="1:24" x14ac:dyDescent="0.25">
      <c r="A159" s="2">
        <v>100157</v>
      </c>
      <c r="B159" s="1">
        <v>45463</v>
      </c>
      <c r="C159" s="1">
        <v>45465</v>
      </c>
      <c r="D159" s="1">
        <v>45490</v>
      </c>
      <c r="E159" t="s">
        <v>571</v>
      </c>
      <c r="F159" t="s">
        <v>65</v>
      </c>
      <c r="G159" t="s">
        <v>70</v>
      </c>
      <c r="H159" t="s">
        <v>572</v>
      </c>
      <c r="I159" t="s">
        <v>61</v>
      </c>
      <c r="J159" t="s">
        <v>62</v>
      </c>
      <c r="K159" t="s">
        <v>573</v>
      </c>
      <c r="L159" t="s">
        <v>118</v>
      </c>
      <c r="M159" t="s">
        <v>25</v>
      </c>
      <c r="N159" t="s">
        <v>33</v>
      </c>
      <c r="O159" t="s">
        <v>34</v>
      </c>
      <c r="P159" t="s">
        <v>76</v>
      </c>
      <c r="Q159">
        <v>277</v>
      </c>
      <c r="R159">
        <v>46.35</v>
      </c>
      <c r="S159">
        <v>12838.95</v>
      </c>
      <c r="T159">
        <v>13.07</v>
      </c>
      <c r="U159">
        <v>25</v>
      </c>
      <c r="V159">
        <v>2496</v>
      </c>
      <c r="W159" t="s">
        <v>188</v>
      </c>
      <c r="X159">
        <v>1397.55</v>
      </c>
    </row>
    <row r="160" spans="1:24" x14ac:dyDescent="0.25">
      <c r="A160" s="2">
        <v>100158</v>
      </c>
      <c r="B160" s="1">
        <v>45651</v>
      </c>
      <c r="C160" s="1">
        <v>45656</v>
      </c>
      <c r="D160" s="1">
        <v>45666</v>
      </c>
      <c r="E160" t="s">
        <v>574</v>
      </c>
      <c r="F160" t="s">
        <v>54</v>
      </c>
      <c r="G160" t="s">
        <v>165</v>
      </c>
      <c r="H160" t="s">
        <v>575</v>
      </c>
      <c r="I160" t="s">
        <v>144</v>
      </c>
      <c r="J160" t="s">
        <v>52</v>
      </c>
      <c r="K160" t="s">
        <v>353</v>
      </c>
      <c r="L160" t="s">
        <v>44</v>
      </c>
      <c r="M160" t="s">
        <v>54</v>
      </c>
      <c r="N160" t="s">
        <v>102</v>
      </c>
      <c r="O160" t="s">
        <v>103</v>
      </c>
      <c r="P160" t="s">
        <v>123</v>
      </c>
      <c r="Q160">
        <v>354</v>
      </c>
      <c r="R160">
        <v>84.87</v>
      </c>
      <c r="S160">
        <v>30043.98</v>
      </c>
      <c r="T160">
        <v>14.29</v>
      </c>
      <c r="U160">
        <v>10</v>
      </c>
      <c r="V160">
        <v>4068</v>
      </c>
      <c r="W160" t="s">
        <v>36</v>
      </c>
      <c r="X160">
        <v>4765.37</v>
      </c>
    </row>
    <row r="161" spans="1:24" x14ac:dyDescent="0.25">
      <c r="A161" s="2">
        <v>100159</v>
      </c>
      <c r="B161" s="1">
        <v>45853</v>
      </c>
      <c r="C161" s="1">
        <v>45855</v>
      </c>
      <c r="D161" s="1">
        <v>45871</v>
      </c>
      <c r="E161" t="s">
        <v>576</v>
      </c>
      <c r="F161" t="s">
        <v>38</v>
      </c>
      <c r="G161" t="s">
        <v>217</v>
      </c>
      <c r="H161" t="s">
        <v>577</v>
      </c>
      <c r="I161" t="s">
        <v>134</v>
      </c>
      <c r="J161" t="s">
        <v>52</v>
      </c>
      <c r="K161" t="s">
        <v>578</v>
      </c>
      <c r="L161" t="s">
        <v>113</v>
      </c>
      <c r="M161" t="s">
        <v>25</v>
      </c>
      <c r="N161" t="s">
        <v>151</v>
      </c>
      <c r="O161" t="s">
        <v>152</v>
      </c>
      <c r="P161" t="s">
        <v>76</v>
      </c>
      <c r="Q161">
        <v>198</v>
      </c>
      <c r="R161">
        <v>68.959999999999994</v>
      </c>
      <c r="S161">
        <v>13654.08</v>
      </c>
      <c r="T161">
        <v>11.63</v>
      </c>
      <c r="U161">
        <v>16</v>
      </c>
      <c r="V161">
        <v>714</v>
      </c>
      <c r="W161" t="s">
        <v>36</v>
      </c>
      <c r="X161">
        <v>2166.9499999999998</v>
      </c>
    </row>
    <row r="162" spans="1:24" x14ac:dyDescent="0.25">
      <c r="A162" s="2">
        <v>100160</v>
      </c>
      <c r="B162" s="1">
        <v>45658</v>
      </c>
      <c r="C162" s="1">
        <v>45658</v>
      </c>
      <c r="D162" s="1">
        <v>45666</v>
      </c>
      <c r="E162" t="s">
        <v>579</v>
      </c>
      <c r="F162" t="s">
        <v>54</v>
      </c>
      <c r="G162" t="s">
        <v>129</v>
      </c>
      <c r="H162" t="s">
        <v>580</v>
      </c>
      <c r="I162" t="s">
        <v>72</v>
      </c>
      <c r="J162" t="s">
        <v>42</v>
      </c>
      <c r="K162" t="s">
        <v>581</v>
      </c>
      <c r="L162" t="s">
        <v>113</v>
      </c>
      <c r="M162" t="s">
        <v>25</v>
      </c>
      <c r="N162" t="s">
        <v>33</v>
      </c>
      <c r="O162" t="s">
        <v>34</v>
      </c>
      <c r="P162" t="s">
        <v>123</v>
      </c>
      <c r="Q162">
        <v>373</v>
      </c>
      <c r="R162">
        <v>343.32</v>
      </c>
      <c r="S162">
        <v>128058.36</v>
      </c>
      <c r="T162">
        <v>19.760000000000002</v>
      </c>
      <c r="U162">
        <v>8</v>
      </c>
      <c r="V162">
        <v>498</v>
      </c>
      <c r="W162" t="s">
        <v>36</v>
      </c>
      <c r="X162">
        <v>25998.41</v>
      </c>
    </row>
    <row r="163" spans="1:24" x14ac:dyDescent="0.25">
      <c r="A163" s="2">
        <v>100161</v>
      </c>
      <c r="B163" s="1">
        <v>45764</v>
      </c>
      <c r="C163" s="1">
        <v>45765</v>
      </c>
      <c r="D163" s="1">
        <v>45770</v>
      </c>
      <c r="E163" t="s">
        <v>582</v>
      </c>
      <c r="F163" t="s">
        <v>38</v>
      </c>
      <c r="G163" t="s">
        <v>49</v>
      </c>
      <c r="H163" t="s">
        <v>583</v>
      </c>
      <c r="I163" t="s">
        <v>126</v>
      </c>
      <c r="J163" t="s">
        <v>42</v>
      </c>
      <c r="K163" t="s">
        <v>584</v>
      </c>
      <c r="L163" t="s">
        <v>98</v>
      </c>
      <c r="M163" t="s">
        <v>38</v>
      </c>
      <c r="N163" t="s">
        <v>55</v>
      </c>
      <c r="O163" t="s">
        <v>56</v>
      </c>
      <c r="P163" t="s">
        <v>68</v>
      </c>
      <c r="Q163">
        <v>429</v>
      </c>
      <c r="R163">
        <v>62.04</v>
      </c>
      <c r="S163">
        <v>26615.16</v>
      </c>
      <c r="T163">
        <v>41.71</v>
      </c>
      <c r="U163">
        <v>5</v>
      </c>
      <c r="V163">
        <v>651</v>
      </c>
      <c r="W163" t="s">
        <v>36</v>
      </c>
      <c r="X163">
        <v>2128.61</v>
      </c>
    </row>
    <row r="164" spans="1:24" x14ac:dyDescent="0.25">
      <c r="A164" s="2">
        <v>100162</v>
      </c>
      <c r="B164" s="1">
        <v>45728</v>
      </c>
      <c r="C164" s="1">
        <v>45728</v>
      </c>
      <c r="D164" s="1">
        <v>45732</v>
      </c>
      <c r="E164" t="s">
        <v>585</v>
      </c>
      <c r="F164" t="s">
        <v>54</v>
      </c>
      <c r="G164" t="s">
        <v>225</v>
      </c>
      <c r="H164" t="s">
        <v>586</v>
      </c>
      <c r="I164" t="s">
        <v>134</v>
      </c>
      <c r="J164" t="s">
        <v>52</v>
      </c>
      <c r="K164" t="s">
        <v>587</v>
      </c>
      <c r="L164" t="s">
        <v>113</v>
      </c>
      <c r="M164" t="s">
        <v>38</v>
      </c>
      <c r="N164" t="s">
        <v>55</v>
      </c>
      <c r="O164" t="s">
        <v>56</v>
      </c>
      <c r="P164" t="s">
        <v>68</v>
      </c>
      <c r="Q164">
        <v>321</v>
      </c>
      <c r="R164">
        <v>49.17</v>
      </c>
      <c r="S164">
        <v>15783.57</v>
      </c>
      <c r="T164">
        <v>49.31</v>
      </c>
      <c r="U164">
        <v>4</v>
      </c>
      <c r="V164">
        <v>897</v>
      </c>
      <c r="W164" t="s">
        <v>36</v>
      </c>
      <c r="X164">
        <v>2537.13</v>
      </c>
    </row>
    <row r="165" spans="1:24" x14ac:dyDescent="0.25">
      <c r="A165" s="2">
        <v>100163</v>
      </c>
      <c r="B165" s="1">
        <v>45518</v>
      </c>
      <c r="C165" s="1">
        <v>45519</v>
      </c>
      <c r="D165" s="1">
        <v>45527</v>
      </c>
      <c r="E165" t="s">
        <v>588</v>
      </c>
      <c r="F165" t="s">
        <v>25</v>
      </c>
      <c r="G165" t="s">
        <v>59</v>
      </c>
      <c r="H165" t="s">
        <v>589</v>
      </c>
      <c r="I165" t="s">
        <v>149</v>
      </c>
      <c r="J165" t="s">
        <v>42</v>
      </c>
      <c r="K165" t="s">
        <v>590</v>
      </c>
      <c r="L165" t="s">
        <v>31</v>
      </c>
      <c r="M165" t="s">
        <v>54</v>
      </c>
      <c r="N165" t="s">
        <v>92</v>
      </c>
      <c r="O165" t="s">
        <v>93</v>
      </c>
      <c r="P165" t="s">
        <v>123</v>
      </c>
      <c r="Q165">
        <v>47</v>
      </c>
      <c r="R165">
        <v>125.09</v>
      </c>
      <c r="S165">
        <v>5879.23</v>
      </c>
      <c r="T165">
        <v>11.83</v>
      </c>
      <c r="U165">
        <v>8</v>
      </c>
      <c r="V165">
        <v>237</v>
      </c>
      <c r="W165" t="s">
        <v>57</v>
      </c>
      <c r="X165">
        <v>942.65</v>
      </c>
    </row>
    <row r="166" spans="1:24" x14ac:dyDescent="0.25">
      <c r="A166" s="2">
        <v>100164</v>
      </c>
      <c r="B166" s="1">
        <v>45817</v>
      </c>
      <c r="C166" s="1">
        <v>45819</v>
      </c>
      <c r="D166" s="1">
        <v>45839</v>
      </c>
      <c r="E166" t="s">
        <v>591</v>
      </c>
      <c r="F166" t="s">
        <v>54</v>
      </c>
      <c r="G166" t="s">
        <v>165</v>
      </c>
      <c r="H166" t="s">
        <v>592</v>
      </c>
      <c r="I166" t="s">
        <v>182</v>
      </c>
      <c r="J166" t="s">
        <v>80</v>
      </c>
      <c r="K166" t="s">
        <v>593</v>
      </c>
      <c r="L166" t="s">
        <v>91</v>
      </c>
      <c r="M166" t="s">
        <v>25</v>
      </c>
      <c r="N166" t="s">
        <v>74</v>
      </c>
      <c r="O166" t="s">
        <v>75</v>
      </c>
      <c r="P166" t="s">
        <v>76</v>
      </c>
      <c r="Q166">
        <v>33</v>
      </c>
      <c r="R166">
        <v>249.71</v>
      </c>
      <c r="S166">
        <v>8240.43</v>
      </c>
      <c r="T166">
        <v>8.6199999999999992</v>
      </c>
      <c r="U166">
        <v>20</v>
      </c>
      <c r="V166">
        <v>643</v>
      </c>
      <c r="W166" t="s">
        <v>188</v>
      </c>
      <c r="X166">
        <v>1010.47</v>
      </c>
    </row>
    <row r="167" spans="1:24" x14ac:dyDescent="0.25">
      <c r="A167" s="2">
        <v>100165</v>
      </c>
      <c r="B167" s="1">
        <v>45610</v>
      </c>
      <c r="C167" s="1">
        <v>45615</v>
      </c>
      <c r="D167" s="1">
        <v>45627</v>
      </c>
      <c r="E167" t="s">
        <v>594</v>
      </c>
      <c r="F167" t="s">
        <v>65</v>
      </c>
      <c r="G167" t="s">
        <v>142</v>
      </c>
      <c r="H167" t="s">
        <v>595</v>
      </c>
      <c r="I167" t="s">
        <v>278</v>
      </c>
      <c r="J167" t="s">
        <v>29</v>
      </c>
      <c r="K167" t="s">
        <v>596</v>
      </c>
      <c r="L167" t="s">
        <v>122</v>
      </c>
      <c r="M167" t="s">
        <v>54</v>
      </c>
      <c r="N167" t="s">
        <v>33</v>
      </c>
      <c r="O167" t="s">
        <v>34</v>
      </c>
      <c r="P167" t="s">
        <v>123</v>
      </c>
      <c r="Q167">
        <v>424</v>
      </c>
      <c r="R167">
        <v>100.76</v>
      </c>
      <c r="S167">
        <v>42722.239999999998</v>
      </c>
      <c r="T167">
        <v>21</v>
      </c>
      <c r="U167">
        <v>12</v>
      </c>
      <c r="V167">
        <v>2216</v>
      </c>
      <c r="W167" t="s">
        <v>188</v>
      </c>
      <c r="X167">
        <v>5511.12</v>
      </c>
    </row>
    <row r="168" spans="1:24" x14ac:dyDescent="0.25">
      <c r="A168" s="2">
        <v>100166</v>
      </c>
      <c r="B168" s="1">
        <v>45474</v>
      </c>
      <c r="C168" s="1">
        <v>45474</v>
      </c>
      <c r="D168" s="1">
        <v>45477</v>
      </c>
      <c r="E168" t="s">
        <v>597</v>
      </c>
      <c r="F168" t="s">
        <v>25</v>
      </c>
      <c r="G168" t="s">
        <v>172</v>
      </c>
      <c r="H168" t="s">
        <v>598</v>
      </c>
      <c r="I168" t="s">
        <v>416</v>
      </c>
      <c r="J168" t="s">
        <v>80</v>
      </c>
      <c r="K168" t="s">
        <v>599</v>
      </c>
      <c r="L168" t="s">
        <v>64</v>
      </c>
      <c r="M168" t="s">
        <v>32</v>
      </c>
      <c r="N168" t="s">
        <v>102</v>
      </c>
      <c r="O168" t="s">
        <v>103</v>
      </c>
      <c r="P168" t="s">
        <v>35</v>
      </c>
      <c r="Q168">
        <v>260</v>
      </c>
      <c r="R168">
        <v>277.64</v>
      </c>
      <c r="S168">
        <v>72186.399999999994</v>
      </c>
      <c r="T168">
        <v>19.84</v>
      </c>
      <c r="U168">
        <v>3</v>
      </c>
      <c r="V168">
        <v>1069</v>
      </c>
      <c r="W168" t="s">
        <v>36</v>
      </c>
      <c r="X168">
        <v>16006.16</v>
      </c>
    </row>
    <row r="169" spans="1:24" x14ac:dyDescent="0.25">
      <c r="A169" s="2">
        <v>100167</v>
      </c>
      <c r="B169" s="1">
        <v>45338</v>
      </c>
      <c r="C169" s="1">
        <v>45340</v>
      </c>
      <c r="D169" s="1">
        <v>45347</v>
      </c>
      <c r="E169" t="s">
        <v>600</v>
      </c>
      <c r="F169" t="s">
        <v>38</v>
      </c>
      <c r="G169" t="s">
        <v>147</v>
      </c>
      <c r="H169" t="s">
        <v>601</v>
      </c>
      <c r="I169" t="s">
        <v>134</v>
      </c>
      <c r="J169" t="s">
        <v>52</v>
      </c>
      <c r="K169" t="s">
        <v>602</v>
      </c>
      <c r="L169" t="s">
        <v>44</v>
      </c>
      <c r="M169" t="s">
        <v>54</v>
      </c>
      <c r="N169" t="s">
        <v>74</v>
      </c>
      <c r="O169" t="s">
        <v>75</v>
      </c>
      <c r="P169" t="s">
        <v>35</v>
      </c>
      <c r="Q169">
        <v>146</v>
      </c>
      <c r="R169">
        <v>85.93</v>
      </c>
      <c r="S169">
        <v>12545.78</v>
      </c>
      <c r="T169">
        <v>16.61</v>
      </c>
      <c r="U169">
        <v>7</v>
      </c>
      <c r="V169">
        <v>1036</v>
      </c>
      <c r="W169" t="s">
        <v>36</v>
      </c>
      <c r="X169">
        <v>40.630000000000003</v>
      </c>
    </row>
    <row r="170" spans="1:24" x14ac:dyDescent="0.25">
      <c r="A170" s="2">
        <v>100168</v>
      </c>
      <c r="B170" s="1">
        <v>45545</v>
      </c>
      <c r="C170" s="1">
        <v>45550</v>
      </c>
      <c r="D170" s="1">
        <v>45559</v>
      </c>
      <c r="E170" t="s">
        <v>603</v>
      </c>
      <c r="F170" t="s">
        <v>25</v>
      </c>
      <c r="G170" t="s">
        <v>169</v>
      </c>
      <c r="H170" t="s">
        <v>604</v>
      </c>
      <c r="I170" t="s">
        <v>134</v>
      </c>
      <c r="J170" t="s">
        <v>52</v>
      </c>
      <c r="K170" t="s">
        <v>470</v>
      </c>
      <c r="L170" t="s">
        <v>64</v>
      </c>
      <c r="M170" t="s">
        <v>25</v>
      </c>
      <c r="N170" t="s">
        <v>55</v>
      </c>
      <c r="O170" t="s">
        <v>56</v>
      </c>
      <c r="P170" t="s">
        <v>123</v>
      </c>
      <c r="Q170">
        <v>412</v>
      </c>
      <c r="R170">
        <v>29.26</v>
      </c>
      <c r="S170">
        <v>12055.12</v>
      </c>
      <c r="T170">
        <v>15.34</v>
      </c>
      <c r="U170">
        <v>9</v>
      </c>
      <c r="V170">
        <v>2203</v>
      </c>
      <c r="W170" t="s">
        <v>36</v>
      </c>
      <c r="X170">
        <v>1585.41</v>
      </c>
    </row>
    <row r="171" spans="1:24" x14ac:dyDescent="0.25">
      <c r="A171" s="2">
        <v>100169</v>
      </c>
      <c r="B171" s="1">
        <v>45551</v>
      </c>
      <c r="C171" s="1">
        <v>45556</v>
      </c>
      <c r="D171" s="1">
        <v>45572</v>
      </c>
      <c r="E171" t="s">
        <v>605</v>
      </c>
      <c r="F171" t="s">
        <v>32</v>
      </c>
      <c r="G171" t="s">
        <v>255</v>
      </c>
      <c r="H171" t="s">
        <v>606</v>
      </c>
      <c r="I171" t="s">
        <v>230</v>
      </c>
      <c r="J171" t="s">
        <v>80</v>
      </c>
      <c r="K171" t="s">
        <v>607</v>
      </c>
      <c r="L171" t="s">
        <v>44</v>
      </c>
      <c r="M171" t="s">
        <v>65</v>
      </c>
      <c r="N171" t="s">
        <v>102</v>
      </c>
      <c r="O171" t="s">
        <v>103</v>
      </c>
      <c r="P171" t="s">
        <v>76</v>
      </c>
      <c r="Q171">
        <v>109</v>
      </c>
      <c r="R171">
        <v>277.31</v>
      </c>
      <c r="S171">
        <v>30226.79</v>
      </c>
      <c r="T171">
        <v>10.01</v>
      </c>
      <c r="U171">
        <v>16</v>
      </c>
      <c r="V171">
        <v>1255</v>
      </c>
      <c r="W171" t="s">
        <v>36</v>
      </c>
      <c r="X171">
        <v>5546.09</v>
      </c>
    </row>
    <row r="172" spans="1:24" x14ac:dyDescent="0.25">
      <c r="A172" s="2">
        <v>100170</v>
      </c>
      <c r="B172" s="1">
        <v>45839</v>
      </c>
      <c r="C172" s="1">
        <v>45843</v>
      </c>
      <c r="D172" s="1">
        <v>45854</v>
      </c>
      <c r="E172" t="s">
        <v>608</v>
      </c>
      <c r="F172" t="s">
        <v>25</v>
      </c>
      <c r="G172" t="s">
        <v>59</v>
      </c>
      <c r="H172" t="s">
        <v>609</v>
      </c>
      <c r="I172" t="s">
        <v>368</v>
      </c>
      <c r="J172" t="s">
        <v>29</v>
      </c>
      <c r="K172" t="s">
        <v>610</v>
      </c>
      <c r="L172" t="s">
        <v>31</v>
      </c>
      <c r="M172" t="s">
        <v>54</v>
      </c>
      <c r="N172" t="s">
        <v>102</v>
      </c>
      <c r="O172" t="s">
        <v>103</v>
      </c>
      <c r="P172" t="s">
        <v>68</v>
      </c>
      <c r="Q172">
        <v>279</v>
      </c>
      <c r="R172">
        <v>37.450000000000003</v>
      </c>
      <c r="S172">
        <v>10448.549999999999</v>
      </c>
      <c r="T172">
        <v>46.59</v>
      </c>
      <c r="U172">
        <v>11</v>
      </c>
      <c r="V172">
        <v>3403</v>
      </c>
      <c r="W172" t="s">
        <v>36</v>
      </c>
      <c r="X172">
        <v>1558.6</v>
      </c>
    </row>
    <row r="173" spans="1:24" x14ac:dyDescent="0.25">
      <c r="A173" s="2">
        <v>100171</v>
      </c>
      <c r="B173" s="1">
        <v>45519</v>
      </c>
      <c r="C173" s="1">
        <v>45521</v>
      </c>
      <c r="D173" s="1">
        <v>45526</v>
      </c>
      <c r="E173" t="s">
        <v>611</v>
      </c>
      <c r="F173" t="s">
        <v>38</v>
      </c>
      <c r="G173" t="s">
        <v>83</v>
      </c>
      <c r="H173" t="s">
        <v>612</v>
      </c>
      <c r="I173" t="s">
        <v>126</v>
      </c>
      <c r="J173" t="s">
        <v>42</v>
      </c>
      <c r="K173" t="s">
        <v>613</v>
      </c>
      <c r="L173" t="s">
        <v>98</v>
      </c>
      <c r="M173" t="s">
        <v>65</v>
      </c>
      <c r="N173" t="s">
        <v>74</v>
      </c>
      <c r="O173" t="s">
        <v>75</v>
      </c>
      <c r="P173" t="s">
        <v>35</v>
      </c>
      <c r="Q173">
        <v>187</v>
      </c>
      <c r="R173">
        <v>220.33</v>
      </c>
      <c r="S173">
        <v>41201.71</v>
      </c>
      <c r="T173">
        <v>17.78</v>
      </c>
      <c r="U173">
        <v>5</v>
      </c>
      <c r="V173">
        <v>1592</v>
      </c>
      <c r="W173" t="s">
        <v>36</v>
      </c>
      <c r="X173">
        <v>7503.3</v>
      </c>
    </row>
    <row r="174" spans="1:24" x14ac:dyDescent="0.25">
      <c r="A174" s="2">
        <v>100172</v>
      </c>
      <c r="B174" s="1">
        <v>45763</v>
      </c>
      <c r="C174" s="1">
        <v>45767</v>
      </c>
      <c r="D174" s="1">
        <v>45769</v>
      </c>
      <c r="E174" t="s">
        <v>614</v>
      </c>
      <c r="F174" t="s">
        <v>25</v>
      </c>
      <c r="G174" t="s">
        <v>244</v>
      </c>
      <c r="H174" t="s">
        <v>615</v>
      </c>
      <c r="I174" t="s">
        <v>116</v>
      </c>
      <c r="J174" t="s">
        <v>62</v>
      </c>
      <c r="K174" t="s">
        <v>607</v>
      </c>
      <c r="L174" t="s">
        <v>91</v>
      </c>
      <c r="M174" t="s">
        <v>25</v>
      </c>
      <c r="N174" t="s">
        <v>66</v>
      </c>
      <c r="O174" t="s">
        <v>67</v>
      </c>
      <c r="P174" t="s">
        <v>68</v>
      </c>
      <c r="Q174">
        <v>174</v>
      </c>
      <c r="R174">
        <v>49.16</v>
      </c>
      <c r="S174">
        <v>8553.84</v>
      </c>
      <c r="T174">
        <v>29.47</v>
      </c>
      <c r="U174">
        <v>2</v>
      </c>
      <c r="V174">
        <v>3952</v>
      </c>
      <c r="W174" t="s">
        <v>36</v>
      </c>
      <c r="X174">
        <v>618.51</v>
      </c>
    </row>
    <row r="175" spans="1:24" x14ac:dyDescent="0.25">
      <c r="A175" s="2">
        <v>100173</v>
      </c>
      <c r="B175" s="1">
        <v>45662</v>
      </c>
      <c r="C175" s="1">
        <v>45662</v>
      </c>
      <c r="D175" s="1">
        <v>45668</v>
      </c>
      <c r="E175" t="s">
        <v>616</v>
      </c>
      <c r="F175" t="s">
        <v>25</v>
      </c>
      <c r="G175" t="s">
        <v>26</v>
      </c>
      <c r="H175" t="s">
        <v>617</v>
      </c>
      <c r="I175" t="s">
        <v>85</v>
      </c>
      <c r="J175" t="s">
        <v>52</v>
      </c>
      <c r="K175" t="s">
        <v>618</v>
      </c>
      <c r="L175" t="s">
        <v>91</v>
      </c>
      <c r="M175" t="s">
        <v>54</v>
      </c>
      <c r="N175" t="s">
        <v>92</v>
      </c>
      <c r="O175" t="s">
        <v>93</v>
      </c>
      <c r="P175" t="s">
        <v>35</v>
      </c>
      <c r="Q175">
        <v>126</v>
      </c>
      <c r="R175">
        <v>26.48</v>
      </c>
      <c r="S175">
        <v>3336.48</v>
      </c>
      <c r="T175">
        <v>16.05</v>
      </c>
      <c r="U175">
        <v>6</v>
      </c>
      <c r="V175">
        <v>797</v>
      </c>
      <c r="W175" t="s">
        <v>36</v>
      </c>
      <c r="X175">
        <v>267.27999999999997</v>
      </c>
    </row>
    <row r="176" spans="1:24" x14ac:dyDescent="0.25">
      <c r="A176" s="2">
        <v>100174</v>
      </c>
      <c r="B176" s="1">
        <v>45334</v>
      </c>
      <c r="C176" s="1">
        <v>45334</v>
      </c>
      <c r="D176" s="1">
        <v>45335</v>
      </c>
      <c r="E176" t="s">
        <v>619</v>
      </c>
      <c r="F176" t="s">
        <v>32</v>
      </c>
      <c r="G176" t="s">
        <v>95</v>
      </c>
      <c r="H176" t="s">
        <v>620</v>
      </c>
      <c r="I176" t="s">
        <v>278</v>
      </c>
      <c r="J176" t="s">
        <v>29</v>
      </c>
      <c r="K176" t="s">
        <v>401</v>
      </c>
      <c r="L176" t="s">
        <v>212</v>
      </c>
      <c r="M176" t="s">
        <v>38</v>
      </c>
      <c r="N176" t="s">
        <v>33</v>
      </c>
      <c r="O176" t="s">
        <v>34</v>
      </c>
      <c r="P176" t="s">
        <v>68</v>
      </c>
      <c r="Q176">
        <v>74</v>
      </c>
      <c r="R176">
        <v>57.15</v>
      </c>
      <c r="S176">
        <v>4229.1000000000004</v>
      </c>
      <c r="T176">
        <v>33.31</v>
      </c>
      <c r="U176">
        <v>1</v>
      </c>
      <c r="V176">
        <v>1687</v>
      </c>
      <c r="W176" t="s">
        <v>36</v>
      </c>
      <c r="X176">
        <v>572.37</v>
      </c>
    </row>
    <row r="177" spans="1:24" x14ac:dyDescent="0.25">
      <c r="A177" s="2">
        <v>100175</v>
      </c>
      <c r="B177" s="1">
        <v>45435</v>
      </c>
      <c r="C177" s="1">
        <v>45437</v>
      </c>
      <c r="D177" s="1">
        <v>45445</v>
      </c>
      <c r="E177" t="s">
        <v>621</v>
      </c>
      <c r="F177" t="s">
        <v>32</v>
      </c>
      <c r="G177" t="s">
        <v>273</v>
      </c>
      <c r="H177" t="s">
        <v>622</v>
      </c>
      <c r="I177" t="s">
        <v>198</v>
      </c>
      <c r="J177" t="s">
        <v>52</v>
      </c>
      <c r="K177" t="s">
        <v>623</v>
      </c>
      <c r="L177" t="s">
        <v>44</v>
      </c>
      <c r="M177" t="s">
        <v>65</v>
      </c>
      <c r="N177" t="s">
        <v>92</v>
      </c>
      <c r="O177" t="s">
        <v>93</v>
      </c>
      <c r="P177" t="s">
        <v>35</v>
      </c>
      <c r="Q177">
        <v>453</v>
      </c>
      <c r="R177">
        <v>37.19</v>
      </c>
      <c r="S177">
        <v>16847.07</v>
      </c>
      <c r="T177">
        <v>25.32</v>
      </c>
      <c r="U177">
        <v>8</v>
      </c>
      <c r="V177">
        <v>810</v>
      </c>
      <c r="W177" t="s">
        <v>36</v>
      </c>
      <c r="X177">
        <v>1594.99</v>
      </c>
    </row>
    <row r="178" spans="1:24" x14ac:dyDescent="0.25">
      <c r="A178" s="2">
        <v>100176</v>
      </c>
      <c r="B178" s="1">
        <v>45823</v>
      </c>
      <c r="C178" s="1">
        <v>45824</v>
      </c>
      <c r="D178" s="1">
        <v>45831</v>
      </c>
      <c r="E178" t="s">
        <v>624</v>
      </c>
      <c r="F178" t="s">
        <v>54</v>
      </c>
      <c r="G178" t="s">
        <v>225</v>
      </c>
      <c r="H178" t="s">
        <v>625</v>
      </c>
      <c r="I178" t="s">
        <v>182</v>
      </c>
      <c r="J178" t="s">
        <v>80</v>
      </c>
      <c r="K178" t="s">
        <v>553</v>
      </c>
      <c r="L178" t="s">
        <v>98</v>
      </c>
      <c r="M178" t="s">
        <v>32</v>
      </c>
      <c r="N178" t="s">
        <v>102</v>
      </c>
      <c r="O178" t="s">
        <v>103</v>
      </c>
      <c r="P178" t="s">
        <v>123</v>
      </c>
      <c r="Q178">
        <v>222</v>
      </c>
      <c r="R178">
        <v>244.49</v>
      </c>
      <c r="S178">
        <v>54276.78</v>
      </c>
      <c r="T178">
        <v>16.09</v>
      </c>
      <c r="U178">
        <v>7</v>
      </c>
      <c r="V178">
        <v>831</v>
      </c>
      <c r="W178" t="s">
        <v>36</v>
      </c>
      <c r="X178">
        <v>15051.05</v>
      </c>
    </row>
    <row r="179" spans="1:24" x14ac:dyDescent="0.25">
      <c r="A179" s="2">
        <v>100177</v>
      </c>
      <c r="B179" s="1">
        <v>45738</v>
      </c>
      <c r="C179" s="1">
        <v>45739</v>
      </c>
      <c r="D179" s="1">
        <v>45753</v>
      </c>
      <c r="E179" t="s">
        <v>626</v>
      </c>
      <c r="F179" t="s">
        <v>65</v>
      </c>
      <c r="G179" t="s">
        <v>154</v>
      </c>
      <c r="H179" t="s">
        <v>627</v>
      </c>
      <c r="I179" t="s">
        <v>139</v>
      </c>
      <c r="J179" t="s">
        <v>42</v>
      </c>
      <c r="K179" t="s">
        <v>628</v>
      </c>
      <c r="L179" t="s">
        <v>212</v>
      </c>
      <c r="M179" t="s">
        <v>54</v>
      </c>
      <c r="N179" t="s">
        <v>102</v>
      </c>
      <c r="O179" t="s">
        <v>103</v>
      </c>
      <c r="P179" t="s">
        <v>35</v>
      </c>
      <c r="Q179">
        <v>271</v>
      </c>
      <c r="R179">
        <v>205.05</v>
      </c>
      <c r="S179">
        <v>55568.55</v>
      </c>
      <c r="T179">
        <v>20.16</v>
      </c>
      <c r="U179">
        <v>14</v>
      </c>
      <c r="V179">
        <v>650</v>
      </c>
      <c r="W179" t="s">
        <v>188</v>
      </c>
      <c r="X179">
        <v>5152</v>
      </c>
    </row>
    <row r="180" spans="1:24" x14ac:dyDescent="0.25">
      <c r="A180" s="2">
        <v>100178</v>
      </c>
      <c r="B180" s="1">
        <v>45795</v>
      </c>
      <c r="C180" s="1">
        <v>45798</v>
      </c>
      <c r="D180" s="1">
        <v>45805</v>
      </c>
      <c r="E180" t="s">
        <v>629</v>
      </c>
      <c r="F180" t="s">
        <v>25</v>
      </c>
      <c r="G180" t="s">
        <v>244</v>
      </c>
      <c r="H180" t="s">
        <v>630</v>
      </c>
      <c r="I180" t="s">
        <v>79</v>
      </c>
      <c r="J180" t="s">
        <v>80</v>
      </c>
      <c r="K180" t="s">
        <v>631</v>
      </c>
      <c r="L180" t="s">
        <v>187</v>
      </c>
      <c r="M180" t="s">
        <v>25</v>
      </c>
      <c r="N180" t="s">
        <v>45</v>
      </c>
      <c r="O180" t="s">
        <v>46</v>
      </c>
      <c r="P180" t="s">
        <v>68</v>
      </c>
      <c r="Q180">
        <v>494</v>
      </c>
      <c r="R180">
        <v>236.72</v>
      </c>
      <c r="S180">
        <v>116939.68</v>
      </c>
      <c r="T180">
        <v>44.83</v>
      </c>
      <c r="U180">
        <v>7</v>
      </c>
      <c r="V180">
        <v>954</v>
      </c>
      <c r="W180" t="s">
        <v>36</v>
      </c>
      <c r="X180">
        <v>23961.09</v>
      </c>
    </row>
    <row r="181" spans="1:24" x14ac:dyDescent="0.25">
      <c r="A181" s="2">
        <v>100179</v>
      </c>
      <c r="B181" s="1">
        <v>45759</v>
      </c>
      <c r="C181" s="1">
        <v>45764</v>
      </c>
      <c r="D181" s="1">
        <v>45768</v>
      </c>
      <c r="E181" t="s">
        <v>632</v>
      </c>
      <c r="F181" t="s">
        <v>32</v>
      </c>
      <c r="G181" t="s">
        <v>180</v>
      </c>
      <c r="H181" t="s">
        <v>633</v>
      </c>
      <c r="I181" t="s">
        <v>238</v>
      </c>
      <c r="J181" t="s">
        <v>62</v>
      </c>
      <c r="K181" t="s">
        <v>634</v>
      </c>
      <c r="L181" t="s">
        <v>98</v>
      </c>
      <c r="M181" t="s">
        <v>65</v>
      </c>
      <c r="N181" t="s">
        <v>33</v>
      </c>
      <c r="O181" t="s">
        <v>34</v>
      </c>
      <c r="P181" t="s">
        <v>68</v>
      </c>
      <c r="Q181">
        <v>268</v>
      </c>
      <c r="R181">
        <v>45.37</v>
      </c>
      <c r="S181">
        <v>12159.16</v>
      </c>
      <c r="T181">
        <v>45.88</v>
      </c>
      <c r="U181">
        <v>4</v>
      </c>
      <c r="V181">
        <v>2198</v>
      </c>
      <c r="W181" t="s">
        <v>36</v>
      </c>
      <c r="X181">
        <v>881.4</v>
      </c>
    </row>
    <row r="182" spans="1:24" x14ac:dyDescent="0.25">
      <c r="A182" s="2">
        <v>100180</v>
      </c>
      <c r="B182" s="1">
        <v>45904</v>
      </c>
      <c r="C182" s="1">
        <v>45907</v>
      </c>
      <c r="D182" s="1">
        <v>45913</v>
      </c>
      <c r="E182" t="s">
        <v>635</v>
      </c>
      <c r="F182" t="s">
        <v>54</v>
      </c>
      <c r="G182" t="s">
        <v>129</v>
      </c>
      <c r="H182" t="s">
        <v>636</v>
      </c>
      <c r="I182" t="s">
        <v>191</v>
      </c>
      <c r="J182" t="s">
        <v>62</v>
      </c>
      <c r="K182" t="s">
        <v>637</v>
      </c>
      <c r="L182" t="s">
        <v>91</v>
      </c>
      <c r="M182" t="s">
        <v>38</v>
      </c>
      <c r="N182" t="s">
        <v>45</v>
      </c>
      <c r="O182" t="s">
        <v>46</v>
      </c>
      <c r="P182" t="s">
        <v>35</v>
      </c>
      <c r="Q182">
        <v>146</v>
      </c>
      <c r="R182">
        <v>41.16</v>
      </c>
      <c r="S182">
        <v>6009.36</v>
      </c>
      <c r="T182">
        <v>16.61</v>
      </c>
      <c r="U182">
        <v>6</v>
      </c>
      <c r="V182">
        <v>4258</v>
      </c>
      <c r="W182" t="s">
        <v>36</v>
      </c>
      <c r="X182">
        <v>1052.6600000000001</v>
      </c>
    </row>
    <row r="183" spans="1:24" x14ac:dyDescent="0.25">
      <c r="A183" s="2">
        <v>100181</v>
      </c>
      <c r="B183" s="1">
        <v>45560</v>
      </c>
      <c r="C183" s="1">
        <v>45561</v>
      </c>
      <c r="D183" s="1">
        <v>45565</v>
      </c>
      <c r="E183" t="s">
        <v>638</v>
      </c>
      <c r="F183" t="s">
        <v>25</v>
      </c>
      <c r="G183" t="s">
        <v>233</v>
      </c>
      <c r="H183" t="s">
        <v>639</v>
      </c>
      <c r="I183" t="s">
        <v>72</v>
      </c>
      <c r="J183" t="s">
        <v>42</v>
      </c>
      <c r="K183" t="s">
        <v>640</v>
      </c>
      <c r="L183" t="s">
        <v>187</v>
      </c>
      <c r="M183" t="s">
        <v>54</v>
      </c>
      <c r="N183" t="s">
        <v>33</v>
      </c>
      <c r="O183" t="s">
        <v>34</v>
      </c>
      <c r="P183" t="s">
        <v>68</v>
      </c>
      <c r="Q183">
        <v>137</v>
      </c>
      <c r="R183">
        <v>64.92</v>
      </c>
      <c r="S183">
        <v>8894.0400000000009</v>
      </c>
      <c r="T183">
        <v>37.39</v>
      </c>
      <c r="U183">
        <v>4</v>
      </c>
      <c r="V183">
        <v>1610</v>
      </c>
      <c r="W183" t="s">
        <v>57</v>
      </c>
      <c r="X183">
        <v>1698.85</v>
      </c>
    </row>
    <row r="184" spans="1:24" x14ac:dyDescent="0.25">
      <c r="A184" s="2">
        <v>100182</v>
      </c>
      <c r="B184" s="1">
        <v>45936</v>
      </c>
      <c r="C184" s="1">
        <v>45938</v>
      </c>
      <c r="D184" s="1">
        <v>45943</v>
      </c>
      <c r="E184" t="s">
        <v>641</v>
      </c>
      <c r="F184" t="s">
        <v>38</v>
      </c>
      <c r="G184" t="s">
        <v>39</v>
      </c>
      <c r="H184" t="s">
        <v>642</v>
      </c>
      <c r="I184" t="s">
        <v>51</v>
      </c>
      <c r="J184" t="s">
        <v>52</v>
      </c>
      <c r="K184" t="s">
        <v>643</v>
      </c>
      <c r="L184" t="s">
        <v>91</v>
      </c>
      <c r="M184" t="s">
        <v>65</v>
      </c>
      <c r="N184" t="s">
        <v>33</v>
      </c>
      <c r="O184" t="s">
        <v>34</v>
      </c>
      <c r="P184" t="s">
        <v>68</v>
      </c>
      <c r="Q184">
        <v>443</v>
      </c>
      <c r="R184">
        <v>17.079999999999998</v>
      </c>
      <c r="S184">
        <v>7566.44</v>
      </c>
      <c r="T184">
        <v>57.22</v>
      </c>
      <c r="U184">
        <v>5</v>
      </c>
      <c r="V184">
        <v>3190</v>
      </c>
      <c r="W184" t="s">
        <v>36</v>
      </c>
      <c r="X184">
        <v>722.59</v>
      </c>
    </row>
    <row r="185" spans="1:24" x14ac:dyDescent="0.25">
      <c r="A185" s="2">
        <v>100183</v>
      </c>
      <c r="B185" s="1">
        <v>45879</v>
      </c>
      <c r="C185" s="1">
        <v>45882</v>
      </c>
      <c r="D185" s="1">
        <v>45895</v>
      </c>
      <c r="E185" t="s">
        <v>644</v>
      </c>
      <c r="F185" t="s">
        <v>25</v>
      </c>
      <c r="G185" t="s">
        <v>169</v>
      </c>
      <c r="H185" t="s">
        <v>645</v>
      </c>
      <c r="I185" t="s">
        <v>116</v>
      </c>
      <c r="J185" t="s">
        <v>62</v>
      </c>
      <c r="K185" t="s">
        <v>646</v>
      </c>
      <c r="L185" t="s">
        <v>113</v>
      </c>
      <c r="M185" t="s">
        <v>65</v>
      </c>
      <c r="N185" t="s">
        <v>33</v>
      </c>
      <c r="O185" t="s">
        <v>34</v>
      </c>
      <c r="P185" t="s">
        <v>123</v>
      </c>
      <c r="Q185">
        <v>199</v>
      </c>
      <c r="R185">
        <v>37.36</v>
      </c>
      <c r="S185">
        <v>7434.64</v>
      </c>
      <c r="T185">
        <v>15.53</v>
      </c>
      <c r="U185">
        <v>13</v>
      </c>
      <c r="V185">
        <v>1998</v>
      </c>
      <c r="W185" t="s">
        <v>36</v>
      </c>
      <c r="X185">
        <v>791.47</v>
      </c>
    </row>
    <row r="186" spans="1:24" x14ac:dyDescent="0.25">
      <c r="A186" s="2">
        <v>100184</v>
      </c>
      <c r="B186" s="1">
        <v>45570</v>
      </c>
      <c r="C186" s="1">
        <v>45575</v>
      </c>
      <c r="D186" s="1">
        <v>45579</v>
      </c>
      <c r="E186" t="s">
        <v>647</v>
      </c>
      <c r="F186" t="s">
        <v>25</v>
      </c>
      <c r="G186" t="s">
        <v>244</v>
      </c>
      <c r="H186" t="s">
        <v>648</v>
      </c>
      <c r="I186" t="s">
        <v>79</v>
      </c>
      <c r="J186" t="s">
        <v>80</v>
      </c>
      <c r="K186" t="s">
        <v>649</v>
      </c>
      <c r="L186" t="s">
        <v>91</v>
      </c>
      <c r="M186" t="s">
        <v>38</v>
      </c>
      <c r="N186" t="s">
        <v>33</v>
      </c>
      <c r="O186" t="s">
        <v>34</v>
      </c>
      <c r="P186" t="s">
        <v>123</v>
      </c>
      <c r="Q186">
        <v>356</v>
      </c>
      <c r="R186">
        <v>236.58</v>
      </c>
      <c r="S186">
        <v>84222.48</v>
      </c>
      <c r="T186">
        <v>19.34</v>
      </c>
      <c r="U186">
        <v>4</v>
      </c>
      <c r="V186">
        <v>773</v>
      </c>
      <c r="W186" t="s">
        <v>36</v>
      </c>
      <c r="X186">
        <v>10521.27</v>
      </c>
    </row>
    <row r="187" spans="1:24" x14ac:dyDescent="0.25">
      <c r="A187" s="2">
        <v>100185</v>
      </c>
      <c r="B187" s="1">
        <v>45745</v>
      </c>
      <c r="C187" s="1">
        <v>45745</v>
      </c>
      <c r="D187" s="1">
        <v>45752</v>
      </c>
      <c r="E187" t="s">
        <v>650</v>
      </c>
      <c r="F187" t="s">
        <v>65</v>
      </c>
      <c r="G187" t="s">
        <v>142</v>
      </c>
      <c r="H187" t="s">
        <v>651</v>
      </c>
      <c r="I187" t="s">
        <v>28</v>
      </c>
      <c r="J187" t="s">
        <v>29</v>
      </c>
      <c r="K187" t="s">
        <v>652</v>
      </c>
      <c r="L187" t="s">
        <v>64</v>
      </c>
      <c r="M187" t="s">
        <v>32</v>
      </c>
      <c r="N187" t="s">
        <v>33</v>
      </c>
      <c r="O187" t="s">
        <v>34</v>
      </c>
      <c r="P187" t="s">
        <v>123</v>
      </c>
      <c r="Q187">
        <v>137</v>
      </c>
      <c r="R187">
        <v>80.72</v>
      </c>
      <c r="S187">
        <v>11058.64</v>
      </c>
      <c r="T187">
        <v>14.02</v>
      </c>
      <c r="U187">
        <v>7</v>
      </c>
      <c r="V187">
        <v>2713</v>
      </c>
      <c r="W187" t="s">
        <v>36</v>
      </c>
      <c r="X187">
        <v>1483</v>
      </c>
    </row>
    <row r="188" spans="1:24" x14ac:dyDescent="0.25">
      <c r="A188" s="2">
        <v>100186</v>
      </c>
      <c r="B188" s="1">
        <v>45593</v>
      </c>
      <c r="C188" s="1">
        <v>45596</v>
      </c>
      <c r="D188" s="1">
        <v>45601</v>
      </c>
      <c r="E188" t="s">
        <v>653</v>
      </c>
      <c r="F188" t="s">
        <v>38</v>
      </c>
      <c r="G188" t="s">
        <v>147</v>
      </c>
      <c r="H188" t="s">
        <v>654</v>
      </c>
      <c r="I188" t="s">
        <v>238</v>
      </c>
      <c r="J188" t="s">
        <v>62</v>
      </c>
      <c r="K188" t="s">
        <v>655</v>
      </c>
      <c r="L188" t="s">
        <v>64</v>
      </c>
      <c r="M188" t="s">
        <v>32</v>
      </c>
      <c r="N188" t="s">
        <v>45</v>
      </c>
      <c r="O188" t="s">
        <v>46</v>
      </c>
      <c r="P188" t="s">
        <v>35</v>
      </c>
      <c r="Q188">
        <v>216</v>
      </c>
      <c r="R188">
        <v>16.71</v>
      </c>
      <c r="S188">
        <v>3609.36</v>
      </c>
      <c r="T188">
        <v>18.600000000000001</v>
      </c>
      <c r="U188">
        <v>5</v>
      </c>
      <c r="V188">
        <v>4108</v>
      </c>
      <c r="W188" t="s">
        <v>57</v>
      </c>
      <c r="X188">
        <v>241.2</v>
      </c>
    </row>
    <row r="189" spans="1:24" x14ac:dyDescent="0.25">
      <c r="A189" s="2">
        <v>100187</v>
      </c>
      <c r="B189" s="1">
        <v>45849</v>
      </c>
      <c r="C189" s="1">
        <v>45854</v>
      </c>
      <c r="D189" s="1">
        <v>45859</v>
      </c>
      <c r="E189" t="s">
        <v>656</v>
      </c>
      <c r="F189" t="s">
        <v>32</v>
      </c>
      <c r="G189" t="s">
        <v>95</v>
      </c>
      <c r="H189" t="s">
        <v>657</v>
      </c>
      <c r="I189" t="s">
        <v>191</v>
      </c>
      <c r="J189" t="s">
        <v>62</v>
      </c>
      <c r="K189" t="s">
        <v>658</v>
      </c>
      <c r="L189" t="s">
        <v>212</v>
      </c>
      <c r="M189" t="s">
        <v>32</v>
      </c>
      <c r="N189" t="s">
        <v>33</v>
      </c>
      <c r="O189" t="s">
        <v>34</v>
      </c>
      <c r="P189" t="s">
        <v>35</v>
      </c>
      <c r="Q189">
        <v>93</v>
      </c>
      <c r="R189">
        <v>5.81</v>
      </c>
      <c r="S189">
        <v>540.33000000000004</v>
      </c>
      <c r="T189">
        <v>11.19</v>
      </c>
      <c r="U189">
        <v>5</v>
      </c>
      <c r="V189">
        <v>723</v>
      </c>
      <c r="W189" t="s">
        <v>36</v>
      </c>
      <c r="X189">
        <v>35.5</v>
      </c>
    </row>
    <row r="190" spans="1:24" x14ac:dyDescent="0.25">
      <c r="A190" s="2">
        <v>100188</v>
      </c>
      <c r="B190" s="1">
        <v>45374</v>
      </c>
      <c r="C190" s="1">
        <v>45379</v>
      </c>
      <c r="D190" s="1">
        <v>45391</v>
      </c>
      <c r="E190" t="s">
        <v>659</v>
      </c>
      <c r="F190" t="s">
        <v>54</v>
      </c>
      <c r="G190" t="s">
        <v>129</v>
      </c>
      <c r="H190" t="s">
        <v>660</v>
      </c>
      <c r="I190" t="s">
        <v>144</v>
      </c>
      <c r="J190" t="s">
        <v>52</v>
      </c>
      <c r="K190" t="s">
        <v>661</v>
      </c>
      <c r="L190" t="s">
        <v>113</v>
      </c>
      <c r="M190" t="s">
        <v>38</v>
      </c>
      <c r="N190" t="s">
        <v>55</v>
      </c>
      <c r="O190" t="s">
        <v>56</v>
      </c>
      <c r="P190" t="s">
        <v>76</v>
      </c>
      <c r="Q190">
        <v>477</v>
      </c>
      <c r="R190">
        <v>88.51</v>
      </c>
      <c r="S190">
        <v>42219.27</v>
      </c>
      <c r="T190">
        <v>16.71</v>
      </c>
      <c r="U190">
        <v>12</v>
      </c>
      <c r="V190">
        <v>3989</v>
      </c>
      <c r="W190" t="s">
        <v>36</v>
      </c>
      <c r="X190">
        <v>7490.78</v>
      </c>
    </row>
    <row r="191" spans="1:24" x14ac:dyDescent="0.25">
      <c r="A191" s="2">
        <v>100189</v>
      </c>
      <c r="B191" s="1">
        <v>45689</v>
      </c>
      <c r="C191" s="1">
        <v>45694</v>
      </c>
      <c r="D191" s="1">
        <v>45699</v>
      </c>
      <c r="E191" t="s">
        <v>662</v>
      </c>
      <c r="F191" t="s">
        <v>65</v>
      </c>
      <c r="G191" t="s">
        <v>70</v>
      </c>
      <c r="H191" t="s">
        <v>663</v>
      </c>
      <c r="I191" t="s">
        <v>416</v>
      </c>
      <c r="J191" t="s">
        <v>80</v>
      </c>
      <c r="K191" t="s">
        <v>664</v>
      </c>
      <c r="L191" t="s">
        <v>113</v>
      </c>
      <c r="M191" t="s">
        <v>54</v>
      </c>
      <c r="N191" t="s">
        <v>107</v>
      </c>
      <c r="O191" t="s">
        <v>108</v>
      </c>
      <c r="P191" t="s">
        <v>68</v>
      </c>
      <c r="Q191">
        <v>170</v>
      </c>
      <c r="R191">
        <v>185.32</v>
      </c>
      <c r="S191">
        <v>31504.400000000001</v>
      </c>
      <c r="T191">
        <v>39.53</v>
      </c>
      <c r="U191">
        <v>5</v>
      </c>
      <c r="V191">
        <v>2186</v>
      </c>
      <c r="W191" t="s">
        <v>57</v>
      </c>
      <c r="X191">
        <v>4881.97</v>
      </c>
    </row>
    <row r="192" spans="1:24" x14ac:dyDescent="0.25">
      <c r="A192" s="2">
        <v>100190</v>
      </c>
      <c r="B192" s="1">
        <v>45332</v>
      </c>
      <c r="C192" s="1">
        <v>45335</v>
      </c>
      <c r="D192" s="1">
        <v>45338</v>
      </c>
      <c r="E192" t="s">
        <v>665</v>
      </c>
      <c r="F192" t="s">
        <v>38</v>
      </c>
      <c r="G192" t="s">
        <v>217</v>
      </c>
      <c r="H192" t="s">
        <v>666</v>
      </c>
      <c r="I192" t="s">
        <v>368</v>
      </c>
      <c r="J192" t="s">
        <v>29</v>
      </c>
      <c r="K192" t="s">
        <v>667</v>
      </c>
      <c r="L192" t="s">
        <v>44</v>
      </c>
      <c r="M192" t="s">
        <v>65</v>
      </c>
      <c r="N192" t="s">
        <v>92</v>
      </c>
      <c r="O192" t="s">
        <v>93</v>
      </c>
      <c r="P192" t="s">
        <v>68</v>
      </c>
      <c r="Q192">
        <v>434</v>
      </c>
      <c r="R192">
        <v>118.79</v>
      </c>
      <c r="S192">
        <v>51554.86</v>
      </c>
      <c r="T192">
        <v>56.64</v>
      </c>
      <c r="U192">
        <v>3</v>
      </c>
      <c r="V192">
        <v>1428</v>
      </c>
      <c r="W192" t="s">
        <v>36</v>
      </c>
      <c r="X192">
        <v>10205.74</v>
      </c>
    </row>
    <row r="193" spans="1:24" x14ac:dyDescent="0.25">
      <c r="A193" s="2">
        <v>100191</v>
      </c>
      <c r="B193" s="1">
        <v>45867</v>
      </c>
      <c r="C193" s="1">
        <v>45872</v>
      </c>
      <c r="D193" s="1">
        <v>45877</v>
      </c>
      <c r="E193" t="s">
        <v>668</v>
      </c>
      <c r="F193" t="s">
        <v>25</v>
      </c>
      <c r="G193" t="s">
        <v>172</v>
      </c>
      <c r="H193" t="s">
        <v>669</v>
      </c>
      <c r="I193" t="s">
        <v>278</v>
      </c>
      <c r="J193" t="s">
        <v>29</v>
      </c>
      <c r="K193" t="s">
        <v>670</v>
      </c>
      <c r="L193" t="s">
        <v>44</v>
      </c>
      <c r="M193" t="s">
        <v>25</v>
      </c>
      <c r="N193" t="s">
        <v>55</v>
      </c>
      <c r="O193" t="s">
        <v>56</v>
      </c>
      <c r="P193" t="s">
        <v>123</v>
      </c>
      <c r="Q193">
        <v>285</v>
      </c>
      <c r="R193">
        <v>34.22</v>
      </c>
      <c r="S193">
        <v>9752.7000000000007</v>
      </c>
      <c r="T193">
        <v>13.05</v>
      </c>
      <c r="U193">
        <v>5</v>
      </c>
      <c r="V193">
        <v>3210</v>
      </c>
      <c r="W193" t="s">
        <v>36</v>
      </c>
      <c r="X193">
        <v>2267.52</v>
      </c>
    </row>
    <row r="194" spans="1:24" x14ac:dyDescent="0.25">
      <c r="A194" s="2">
        <v>100192</v>
      </c>
      <c r="B194" s="1">
        <v>46019</v>
      </c>
      <c r="C194" s="1">
        <v>46019</v>
      </c>
      <c r="D194" s="1">
        <v>46030</v>
      </c>
      <c r="E194" t="s">
        <v>671</v>
      </c>
      <c r="F194" t="s">
        <v>54</v>
      </c>
      <c r="G194" t="s">
        <v>225</v>
      </c>
      <c r="H194" t="s">
        <v>672</v>
      </c>
      <c r="I194" t="s">
        <v>198</v>
      </c>
      <c r="J194" t="s">
        <v>52</v>
      </c>
      <c r="K194" t="s">
        <v>673</v>
      </c>
      <c r="L194" t="s">
        <v>113</v>
      </c>
      <c r="M194" t="s">
        <v>38</v>
      </c>
      <c r="N194" t="s">
        <v>45</v>
      </c>
      <c r="O194" t="s">
        <v>46</v>
      </c>
      <c r="P194" t="s">
        <v>123</v>
      </c>
      <c r="Q194">
        <v>183</v>
      </c>
      <c r="R194">
        <v>71.459999999999994</v>
      </c>
      <c r="S194">
        <v>13077.18</v>
      </c>
      <c r="T194">
        <v>15.14</v>
      </c>
      <c r="U194">
        <v>11</v>
      </c>
      <c r="V194">
        <v>2096</v>
      </c>
      <c r="W194" t="s">
        <v>36</v>
      </c>
      <c r="X194">
        <v>1190.26</v>
      </c>
    </row>
    <row r="195" spans="1:24" x14ac:dyDescent="0.25">
      <c r="A195" s="2">
        <v>100193</v>
      </c>
      <c r="B195" s="1">
        <v>45841</v>
      </c>
      <c r="C195" s="1">
        <v>45844</v>
      </c>
      <c r="D195" s="1">
        <v>45845</v>
      </c>
      <c r="E195" t="s">
        <v>674</v>
      </c>
      <c r="F195" t="s">
        <v>38</v>
      </c>
      <c r="G195" t="s">
        <v>39</v>
      </c>
      <c r="H195" t="s">
        <v>675</v>
      </c>
      <c r="I195" t="s">
        <v>85</v>
      </c>
      <c r="J195" t="s">
        <v>52</v>
      </c>
      <c r="K195" t="s">
        <v>231</v>
      </c>
      <c r="L195" t="s">
        <v>187</v>
      </c>
      <c r="M195" t="s">
        <v>54</v>
      </c>
      <c r="N195" t="s">
        <v>33</v>
      </c>
      <c r="O195" t="s">
        <v>34</v>
      </c>
      <c r="P195" t="s">
        <v>68</v>
      </c>
      <c r="Q195">
        <v>37</v>
      </c>
      <c r="R195">
        <v>27.2</v>
      </c>
      <c r="S195">
        <v>1006.4</v>
      </c>
      <c r="T195">
        <v>30.91</v>
      </c>
      <c r="U195">
        <v>1</v>
      </c>
      <c r="V195">
        <v>778</v>
      </c>
      <c r="W195" t="s">
        <v>36</v>
      </c>
      <c r="X195">
        <v>163.9</v>
      </c>
    </row>
    <row r="196" spans="1:24" x14ac:dyDescent="0.25">
      <c r="A196" s="2">
        <v>100194</v>
      </c>
      <c r="B196" s="1">
        <v>45652</v>
      </c>
      <c r="C196" s="1">
        <v>45652</v>
      </c>
      <c r="D196" s="1">
        <v>45659</v>
      </c>
      <c r="E196" t="s">
        <v>676</v>
      </c>
      <c r="F196" t="s">
        <v>25</v>
      </c>
      <c r="G196" t="s">
        <v>221</v>
      </c>
      <c r="H196" t="s">
        <v>677</v>
      </c>
      <c r="I196" t="s">
        <v>89</v>
      </c>
      <c r="J196" t="s">
        <v>62</v>
      </c>
      <c r="K196" t="s">
        <v>678</v>
      </c>
      <c r="L196" t="s">
        <v>31</v>
      </c>
      <c r="M196" t="s">
        <v>54</v>
      </c>
      <c r="N196" t="s">
        <v>92</v>
      </c>
      <c r="O196" t="s">
        <v>93</v>
      </c>
      <c r="P196" t="s">
        <v>68</v>
      </c>
      <c r="Q196">
        <v>292</v>
      </c>
      <c r="R196">
        <v>11.3</v>
      </c>
      <c r="S196">
        <v>3299.6</v>
      </c>
      <c r="T196">
        <v>47.43</v>
      </c>
      <c r="U196">
        <v>7</v>
      </c>
      <c r="V196">
        <v>3751</v>
      </c>
      <c r="W196" t="s">
        <v>36</v>
      </c>
      <c r="X196">
        <v>320.43</v>
      </c>
    </row>
    <row r="197" spans="1:24" x14ac:dyDescent="0.25">
      <c r="A197" s="2">
        <v>100195</v>
      </c>
      <c r="B197" s="1">
        <v>45433</v>
      </c>
      <c r="C197" s="1">
        <v>45435</v>
      </c>
      <c r="D197" s="1">
        <v>45460</v>
      </c>
      <c r="E197" t="s">
        <v>679</v>
      </c>
      <c r="F197" t="s">
        <v>65</v>
      </c>
      <c r="G197" t="s">
        <v>154</v>
      </c>
      <c r="H197" t="s">
        <v>680</v>
      </c>
      <c r="I197" t="s">
        <v>177</v>
      </c>
      <c r="J197" t="s">
        <v>29</v>
      </c>
      <c r="K197" t="s">
        <v>334</v>
      </c>
      <c r="L197" t="s">
        <v>91</v>
      </c>
      <c r="M197" t="s">
        <v>65</v>
      </c>
      <c r="N197" t="s">
        <v>55</v>
      </c>
      <c r="O197" t="s">
        <v>56</v>
      </c>
      <c r="P197" t="s">
        <v>76</v>
      </c>
      <c r="Q197">
        <v>495</v>
      </c>
      <c r="R197">
        <v>103.95</v>
      </c>
      <c r="S197">
        <v>51455.25</v>
      </c>
      <c r="T197">
        <v>12.62</v>
      </c>
      <c r="U197">
        <v>25</v>
      </c>
      <c r="V197">
        <v>1030</v>
      </c>
      <c r="W197" t="s">
        <v>57</v>
      </c>
      <c r="X197">
        <v>6244.6</v>
      </c>
    </row>
    <row r="198" spans="1:24" x14ac:dyDescent="0.25">
      <c r="A198" s="2">
        <v>100196</v>
      </c>
      <c r="B198" s="1">
        <v>45632</v>
      </c>
      <c r="C198" s="1">
        <v>45636</v>
      </c>
      <c r="D198" s="1">
        <v>45638</v>
      </c>
      <c r="E198" t="s">
        <v>681</v>
      </c>
      <c r="F198" t="s">
        <v>65</v>
      </c>
      <c r="G198" t="s">
        <v>70</v>
      </c>
      <c r="H198" t="s">
        <v>682</v>
      </c>
      <c r="I198" t="s">
        <v>246</v>
      </c>
      <c r="J198" t="s">
        <v>29</v>
      </c>
      <c r="K198" t="s">
        <v>683</v>
      </c>
      <c r="L198" t="s">
        <v>118</v>
      </c>
      <c r="M198" t="s">
        <v>54</v>
      </c>
      <c r="N198" t="s">
        <v>107</v>
      </c>
      <c r="O198" t="s">
        <v>108</v>
      </c>
      <c r="P198" t="s">
        <v>35</v>
      </c>
      <c r="Q198">
        <v>242</v>
      </c>
      <c r="R198">
        <v>53.67</v>
      </c>
      <c r="S198">
        <v>12988.14</v>
      </c>
      <c r="T198">
        <v>19.329999999999998</v>
      </c>
      <c r="U198">
        <v>2</v>
      </c>
      <c r="V198">
        <v>1722</v>
      </c>
      <c r="W198" t="s">
        <v>36</v>
      </c>
      <c r="X198">
        <v>2660.38</v>
      </c>
    </row>
    <row r="199" spans="1:24" x14ac:dyDescent="0.25">
      <c r="A199" s="2">
        <v>100197</v>
      </c>
      <c r="B199" s="1">
        <v>45474</v>
      </c>
      <c r="C199" s="1">
        <v>45474</v>
      </c>
      <c r="D199" s="1">
        <v>45479</v>
      </c>
      <c r="E199" t="s">
        <v>619</v>
      </c>
      <c r="F199" t="s">
        <v>38</v>
      </c>
      <c r="G199" t="s">
        <v>49</v>
      </c>
      <c r="H199" t="s">
        <v>684</v>
      </c>
      <c r="I199" t="s">
        <v>246</v>
      </c>
      <c r="J199" t="s">
        <v>29</v>
      </c>
      <c r="K199" t="s">
        <v>685</v>
      </c>
      <c r="L199" t="s">
        <v>212</v>
      </c>
      <c r="M199" t="s">
        <v>32</v>
      </c>
      <c r="N199" t="s">
        <v>74</v>
      </c>
      <c r="O199" t="s">
        <v>75</v>
      </c>
      <c r="P199" t="s">
        <v>68</v>
      </c>
      <c r="Q199">
        <v>136</v>
      </c>
      <c r="R199">
        <v>40.22</v>
      </c>
      <c r="S199">
        <v>5469.92</v>
      </c>
      <c r="T199">
        <v>37.32</v>
      </c>
      <c r="U199">
        <v>5</v>
      </c>
      <c r="V199">
        <v>150</v>
      </c>
      <c r="W199" t="s">
        <v>36</v>
      </c>
      <c r="X199">
        <v>1474.85</v>
      </c>
    </row>
    <row r="200" spans="1:24" x14ac:dyDescent="0.25">
      <c r="A200" s="2">
        <v>100198</v>
      </c>
      <c r="B200" s="1">
        <v>45400</v>
      </c>
      <c r="C200" s="1">
        <v>45403</v>
      </c>
      <c r="D200" s="1">
        <v>45408</v>
      </c>
      <c r="E200" t="s">
        <v>686</v>
      </c>
      <c r="F200" t="s">
        <v>54</v>
      </c>
      <c r="G200" t="s">
        <v>193</v>
      </c>
      <c r="H200" t="s">
        <v>687</v>
      </c>
      <c r="I200" t="s">
        <v>198</v>
      </c>
      <c r="J200" t="s">
        <v>52</v>
      </c>
      <c r="K200" t="s">
        <v>688</v>
      </c>
      <c r="L200" t="s">
        <v>98</v>
      </c>
      <c r="M200" t="s">
        <v>38</v>
      </c>
      <c r="N200" t="s">
        <v>203</v>
      </c>
      <c r="O200" t="s">
        <v>204</v>
      </c>
      <c r="P200" t="s">
        <v>68</v>
      </c>
      <c r="Q200">
        <v>17</v>
      </c>
      <c r="R200">
        <v>78.760000000000005</v>
      </c>
      <c r="S200">
        <v>1338.92</v>
      </c>
      <c r="T200">
        <v>29.61</v>
      </c>
      <c r="U200">
        <v>5</v>
      </c>
      <c r="V200">
        <v>373</v>
      </c>
      <c r="W200" t="s">
        <v>36</v>
      </c>
      <c r="X200">
        <v>74.48</v>
      </c>
    </row>
    <row r="201" spans="1:24" x14ac:dyDescent="0.25">
      <c r="A201" s="2">
        <v>100199</v>
      </c>
      <c r="B201" s="1">
        <v>45949</v>
      </c>
      <c r="C201" s="1">
        <v>45950</v>
      </c>
      <c r="D201" s="1">
        <v>45954</v>
      </c>
      <c r="E201" t="s">
        <v>689</v>
      </c>
      <c r="F201" t="s">
        <v>32</v>
      </c>
      <c r="G201" t="s">
        <v>255</v>
      </c>
      <c r="H201" t="s">
        <v>690</v>
      </c>
      <c r="I201" t="s">
        <v>198</v>
      </c>
      <c r="J201" t="s">
        <v>52</v>
      </c>
      <c r="K201" t="s">
        <v>691</v>
      </c>
      <c r="L201" t="s">
        <v>91</v>
      </c>
      <c r="M201" t="s">
        <v>38</v>
      </c>
      <c r="N201" t="s">
        <v>74</v>
      </c>
      <c r="O201" t="s">
        <v>75</v>
      </c>
      <c r="P201" t="s">
        <v>68</v>
      </c>
      <c r="Q201">
        <v>156</v>
      </c>
      <c r="R201">
        <v>56.9</v>
      </c>
      <c r="S201">
        <v>8876.4</v>
      </c>
      <c r="T201">
        <v>38.619999999999997</v>
      </c>
      <c r="U201">
        <v>4</v>
      </c>
      <c r="V201">
        <v>1135</v>
      </c>
      <c r="W201" t="s">
        <v>57</v>
      </c>
      <c r="X201">
        <v>675.25</v>
      </c>
    </row>
    <row r="202" spans="1:24" x14ac:dyDescent="0.25">
      <c r="A202" s="2">
        <v>100200</v>
      </c>
      <c r="B202" s="1">
        <v>45396</v>
      </c>
      <c r="C202" s="1">
        <v>45397</v>
      </c>
      <c r="D202" s="1">
        <v>45400</v>
      </c>
      <c r="E202" t="s">
        <v>692</v>
      </c>
      <c r="F202" t="s">
        <v>65</v>
      </c>
      <c r="G202" t="s">
        <v>154</v>
      </c>
      <c r="H202" t="s">
        <v>693</v>
      </c>
      <c r="I202" t="s">
        <v>191</v>
      </c>
      <c r="J202" t="s">
        <v>62</v>
      </c>
      <c r="K202" t="s">
        <v>694</v>
      </c>
      <c r="L202" t="s">
        <v>64</v>
      </c>
      <c r="M202" t="s">
        <v>54</v>
      </c>
      <c r="N202" t="s">
        <v>45</v>
      </c>
      <c r="O202" t="s">
        <v>46</v>
      </c>
      <c r="P202" t="s">
        <v>35</v>
      </c>
      <c r="Q202">
        <v>386</v>
      </c>
      <c r="R202">
        <v>11.94</v>
      </c>
      <c r="S202">
        <v>4608.84</v>
      </c>
      <c r="T202">
        <v>23.42</v>
      </c>
      <c r="U202">
        <v>3</v>
      </c>
      <c r="V202">
        <v>1070</v>
      </c>
      <c r="W202" t="s">
        <v>36</v>
      </c>
      <c r="X202">
        <v>468.27</v>
      </c>
    </row>
    <row r="203" spans="1:24" x14ac:dyDescent="0.25">
      <c r="A203" s="2">
        <v>100201</v>
      </c>
      <c r="B203" s="1">
        <v>45587</v>
      </c>
      <c r="C203" s="1">
        <v>45588</v>
      </c>
      <c r="D203" s="1">
        <v>45598</v>
      </c>
      <c r="E203" t="s">
        <v>695</v>
      </c>
      <c r="F203" t="s">
        <v>32</v>
      </c>
      <c r="G203" t="s">
        <v>273</v>
      </c>
      <c r="H203" t="s">
        <v>696</v>
      </c>
      <c r="I203" t="s">
        <v>139</v>
      </c>
      <c r="J203" t="s">
        <v>42</v>
      </c>
      <c r="K203" t="s">
        <v>697</v>
      </c>
      <c r="L203" t="s">
        <v>44</v>
      </c>
      <c r="M203" t="s">
        <v>38</v>
      </c>
      <c r="N203" t="s">
        <v>102</v>
      </c>
      <c r="O203" t="s">
        <v>103</v>
      </c>
      <c r="P203" t="s">
        <v>76</v>
      </c>
      <c r="Q203">
        <v>320</v>
      </c>
      <c r="R203">
        <v>285.11</v>
      </c>
      <c r="S203">
        <v>91235.199999999997</v>
      </c>
      <c r="T203">
        <v>13.85</v>
      </c>
      <c r="U203">
        <v>10</v>
      </c>
      <c r="V203">
        <v>1035</v>
      </c>
      <c r="W203" t="s">
        <v>36</v>
      </c>
      <c r="X203">
        <v>10044.57</v>
      </c>
    </row>
    <row r="204" spans="1:24" x14ac:dyDescent="0.25">
      <c r="A204" s="2">
        <v>100202</v>
      </c>
      <c r="B204" s="1">
        <v>45699</v>
      </c>
      <c r="C204" s="1">
        <v>45699</v>
      </c>
      <c r="D204" s="1">
        <v>45706</v>
      </c>
      <c r="E204" t="s">
        <v>698</v>
      </c>
      <c r="F204" t="s">
        <v>65</v>
      </c>
      <c r="G204" t="s">
        <v>142</v>
      </c>
      <c r="H204" t="s">
        <v>699</v>
      </c>
      <c r="I204" t="s">
        <v>116</v>
      </c>
      <c r="J204" t="s">
        <v>62</v>
      </c>
      <c r="K204" t="s">
        <v>700</v>
      </c>
      <c r="L204" t="s">
        <v>91</v>
      </c>
      <c r="M204" t="s">
        <v>32</v>
      </c>
      <c r="N204" t="s">
        <v>66</v>
      </c>
      <c r="O204" t="s">
        <v>67</v>
      </c>
      <c r="P204" t="s">
        <v>35</v>
      </c>
      <c r="Q204">
        <v>82</v>
      </c>
      <c r="R204">
        <v>18.78</v>
      </c>
      <c r="S204">
        <v>1539.96</v>
      </c>
      <c r="T204">
        <v>14.8</v>
      </c>
      <c r="U204">
        <v>7</v>
      </c>
      <c r="V204">
        <v>4005</v>
      </c>
      <c r="W204" t="s">
        <v>36</v>
      </c>
      <c r="X204">
        <v>139.12</v>
      </c>
    </row>
    <row r="205" spans="1:24" x14ac:dyDescent="0.25">
      <c r="A205" s="2">
        <v>100203</v>
      </c>
      <c r="B205" s="1">
        <v>45463</v>
      </c>
      <c r="C205" s="1">
        <v>45463</v>
      </c>
      <c r="D205" s="1">
        <v>45488</v>
      </c>
      <c r="E205" t="s">
        <v>701</v>
      </c>
      <c r="F205" t="s">
        <v>38</v>
      </c>
      <c r="G205" t="s">
        <v>49</v>
      </c>
      <c r="H205" t="s">
        <v>702</v>
      </c>
      <c r="I205" t="s">
        <v>416</v>
      </c>
      <c r="J205" t="s">
        <v>80</v>
      </c>
      <c r="K205" t="s">
        <v>392</v>
      </c>
      <c r="L205" t="s">
        <v>91</v>
      </c>
      <c r="M205" t="s">
        <v>65</v>
      </c>
      <c r="N205" t="s">
        <v>45</v>
      </c>
      <c r="O205" t="s">
        <v>46</v>
      </c>
      <c r="P205" t="s">
        <v>76</v>
      </c>
      <c r="Q205">
        <v>426</v>
      </c>
      <c r="R205">
        <v>203</v>
      </c>
      <c r="S205">
        <v>86478</v>
      </c>
      <c r="T205">
        <v>15.78</v>
      </c>
      <c r="U205">
        <v>25</v>
      </c>
      <c r="V205">
        <v>56</v>
      </c>
      <c r="W205" t="s">
        <v>188</v>
      </c>
      <c r="X205">
        <v>22677.39</v>
      </c>
    </row>
    <row r="206" spans="1:24" x14ac:dyDescent="0.25">
      <c r="A206" s="2">
        <v>100204</v>
      </c>
      <c r="B206" s="1">
        <v>45439</v>
      </c>
      <c r="C206" s="1">
        <v>45441</v>
      </c>
      <c r="D206" s="1">
        <v>45454</v>
      </c>
      <c r="E206" t="s">
        <v>703</v>
      </c>
      <c r="F206" t="s">
        <v>38</v>
      </c>
      <c r="G206" t="s">
        <v>83</v>
      </c>
      <c r="H206" t="s">
        <v>704</v>
      </c>
      <c r="I206" t="s">
        <v>230</v>
      </c>
      <c r="J206" t="s">
        <v>80</v>
      </c>
      <c r="K206" t="s">
        <v>705</v>
      </c>
      <c r="L206" t="s">
        <v>118</v>
      </c>
      <c r="M206" t="s">
        <v>32</v>
      </c>
      <c r="N206" t="s">
        <v>107</v>
      </c>
      <c r="O206" t="s">
        <v>108</v>
      </c>
      <c r="P206" t="s">
        <v>123</v>
      </c>
      <c r="Q206">
        <v>484</v>
      </c>
      <c r="R206">
        <v>166.98</v>
      </c>
      <c r="S206">
        <v>80818.320000000007</v>
      </c>
      <c r="T206">
        <v>22.45</v>
      </c>
      <c r="U206">
        <v>13</v>
      </c>
      <c r="V206">
        <v>866</v>
      </c>
      <c r="W206" t="s">
        <v>36</v>
      </c>
      <c r="X206">
        <v>16543.18</v>
      </c>
    </row>
    <row r="207" spans="1:24" x14ac:dyDescent="0.25">
      <c r="A207" s="2">
        <v>100205</v>
      </c>
      <c r="B207" s="1">
        <v>45731</v>
      </c>
      <c r="C207" s="1">
        <v>45734</v>
      </c>
      <c r="D207" s="1">
        <v>45743</v>
      </c>
      <c r="E207" t="s">
        <v>706</v>
      </c>
      <c r="F207" t="s">
        <v>32</v>
      </c>
      <c r="G207" t="s">
        <v>95</v>
      </c>
      <c r="H207" t="s">
        <v>707</v>
      </c>
      <c r="I207" t="s">
        <v>51</v>
      </c>
      <c r="J207" t="s">
        <v>52</v>
      </c>
      <c r="K207" t="s">
        <v>708</v>
      </c>
      <c r="L207" t="s">
        <v>113</v>
      </c>
      <c r="M207" t="s">
        <v>65</v>
      </c>
      <c r="N207" t="s">
        <v>203</v>
      </c>
      <c r="O207" t="s">
        <v>204</v>
      </c>
      <c r="P207" t="s">
        <v>123</v>
      </c>
      <c r="Q207">
        <v>334</v>
      </c>
      <c r="R207">
        <v>26.74</v>
      </c>
      <c r="S207">
        <v>8931.16</v>
      </c>
      <c r="T207">
        <v>18.809999999999999</v>
      </c>
      <c r="U207">
        <v>9</v>
      </c>
      <c r="V207">
        <v>3615</v>
      </c>
      <c r="W207" t="s">
        <v>36</v>
      </c>
      <c r="X207">
        <v>80.08</v>
      </c>
    </row>
    <row r="208" spans="1:24" x14ac:dyDescent="0.25">
      <c r="A208" s="2">
        <v>100206</v>
      </c>
      <c r="B208" s="1">
        <v>45739</v>
      </c>
      <c r="C208" s="1">
        <v>45741</v>
      </c>
      <c r="D208" s="1">
        <v>45754</v>
      </c>
      <c r="E208" t="s">
        <v>709</v>
      </c>
      <c r="F208" t="s">
        <v>32</v>
      </c>
      <c r="G208" t="s">
        <v>180</v>
      </c>
      <c r="H208" t="s">
        <v>710</v>
      </c>
      <c r="I208" t="s">
        <v>116</v>
      </c>
      <c r="J208" t="s">
        <v>62</v>
      </c>
      <c r="K208" t="s">
        <v>711</v>
      </c>
      <c r="L208" t="s">
        <v>122</v>
      </c>
      <c r="M208" t="s">
        <v>65</v>
      </c>
      <c r="N208" t="s">
        <v>151</v>
      </c>
      <c r="O208" t="s">
        <v>152</v>
      </c>
      <c r="P208" t="s">
        <v>123</v>
      </c>
      <c r="Q208">
        <v>408</v>
      </c>
      <c r="R208">
        <v>26.95</v>
      </c>
      <c r="S208">
        <v>10995.6</v>
      </c>
      <c r="T208">
        <v>20.61</v>
      </c>
      <c r="U208">
        <v>13</v>
      </c>
      <c r="V208">
        <v>4309</v>
      </c>
      <c r="W208" t="s">
        <v>36</v>
      </c>
      <c r="X208">
        <v>1895.59</v>
      </c>
    </row>
    <row r="209" spans="1:24" x14ac:dyDescent="0.25">
      <c r="A209" s="2">
        <v>100207</v>
      </c>
      <c r="B209" s="1">
        <v>45378</v>
      </c>
      <c r="C209" s="1">
        <v>45383</v>
      </c>
      <c r="D209" s="1">
        <v>45390</v>
      </c>
      <c r="E209" t="s">
        <v>712</v>
      </c>
      <c r="F209" t="s">
        <v>65</v>
      </c>
      <c r="G209" t="s">
        <v>142</v>
      </c>
      <c r="H209" t="s">
        <v>713</v>
      </c>
      <c r="I209" t="s">
        <v>149</v>
      </c>
      <c r="J209" t="s">
        <v>42</v>
      </c>
      <c r="K209" t="s">
        <v>714</v>
      </c>
      <c r="L209" t="s">
        <v>44</v>
      </c>
      <c r="M209" t="s">
        <v>65</v>
      </c>
      <c r="N209" t="s">
        <v>33</v>
      </c>
      <c r="O209" t="s">
        <v>34</v>
      </c>
      <c r="P209" t="s">
        <v>123</v>
      </c>
      <c r="Q209">
        <v>86</v>
      </c>
      <c r="R209">
        <v>296.68</v>
      </c>
      <c r="S209">
        <v>25514.48</v>
      </c>
      <c r="T209">
        <v>9.4700000000000006</v>
      </c>
      <c r="U209">
        <v>7</v>
      </c>
      <c r="V209">
        <v>687</v>
      </c>
      <c r="W209" t="s">
        <v>36</v>
      </c>
      <c r="X209">
        <v>3247.56</v>
      </c>
    </row>
    <row r="210" spans="1:24" x14ac:dyDescent="0.25">
      <c r="A210" s="2">
        <v>100208</v>
      </c>
      <c r="B210" s="1">
        <v>45456</v>
      </c>
      <c r="C210" s="1">
        <v>45456</v>
      </c>
      <c r="D210" s="1">
        <v>45466</v>
      </c>
      <c r="E210" t="s">
        <v>715</v>
      </c>
      <c r="F210" t="s">
        <v>65</v>
      </c>
      <c r="G210" t="s">
        <v>154</v>
      </c>
      <c r="H210" t="s">
        <v>716</v>
      </c>
      <c r="I210" t="s">
        <v>85</v>
      </c>
      <c r="J210" t="s">
        <v>52</v>
      </c>
      <c r="K210" t="s">
        <v>717</v>
      </c>
      <c r="L210" t="s">
        <v>91</v>
      </c>
      <c r="M210" t="s">
        <v>25</v>
      </c>
      <c r="N210" t="s">
        <v>45</v>
      </c>
      <c r="O210" t="s">
        <v>46</v>
      </c>
      <c r="P210" t="s">
        <v>76</v>
      </c>
      <c r="Q210">
        <v>352</v>
      </c>
      <c r="R210">
        <v>44.12</v>
      </c>
      <c r="S210">
        <v>15530.24</v>
      </c>
      <c r="T210">
        <v>14.43</v>
      </c>
      <c r="U210">
        <v>10</v>
      </c>
      <c r="V210">
        <v>1577</v>
      </c>
      <c r="W210" t="s">
        <v>36</v>
      </c>
      <c r="X210">
        <v>1189.07</v>
      </c>
    </row>
    <row r="211" spans="1:24" x14ac:dyDescent="0.25">
      <c r="A211" s="2">
        <v>100209</v>
      </c>
      <c r="B211" s="1">
        <v>45824</v>
      </c>
      <c r="C211" s="1">
        <v>45827</v>
      </c>
      <c r="D211" s="1">
        <v>45841</v>
      </c>
      <c r="E211" t="s">
        <v>718</v>
      </c>
      <c r="F211" t="s">
        <v>65</v>
      </c>
      <c r="G211" t="s">
        <v>70</v>
      </c>
      <c r="H211" t="s">
        <v>719</v>
      </c>
      <c r="I211" t="s">
        <v>416</v>
      </c>
      <c r="J211" t="s">
        <v>80</v>
      </c>
      <c r="K211" t="s">
        <v>720</v>
      </c>
      <c r="L211" t="s">
        <v>91</v>
      </c>
      <c r="M211" t="s">
        <v>38</v>
      </c>
      <c r="N211" t="s">
        <v>74</v>
      </c>
      <c r="O211" t="s">
        <v>75</v>
      </c>
      <c r="P211" t="s">
        <v>123</v>
      </c>
      <c r="Q211">
        <v>134</v>
      </c>
      <c r="R211">
        <v>177.65</v>
      </c>
      <c r="S211">
        <v>23805.1</v>
      </c>
      <c r="T211">
        <v>13.95</v>
      </c>
      <c r="U211">
        <v>14</v>
      </c>
      <c r="V211">
        <v>1184</v>
      </c>
      <c r="W211" t="s">
        <v>36</v>
      </c>
      <c r="X211">
        <v>5822.64</v>
      </c>
    </row>
    <row r="212" spans="1:24" x14ac:dyDescent="0.25">
      <c r="A212" s="2">
        <v>100210</v>
      </c>
      <c r="B212" s="1">
        <v>45395</v>
      </c>
      <c r="C212" s="1">
        <v>45400</v>
      </c>
      <c r="D212" s="1">
        <v>45418</v>
      </c>
      <c r="E212" t="s">
        <v>721</v>
      </c>
      <c r="F212" t="s">
        <v>54</v>
      </c>
      <c r="G212" t="s">
        <v>158</v>
      </c>
      <c r="H212" t="s">
        <v>722</v>
      </c>
      <c r="I212" t="s">
        <v>28</v>
      </c>
      <c r="J212" t="s">
        <v>29</v>
      </c>
      <c r="K212" t="s">
        <v>723</v>
      </c>
      <c r="L212" t="s">
        <v>187</v>
      </c>
      <c r="M212" t="s">
        <v>65</v>
      </c>
      <c r="N212" t="s">
        <v>33</v>
      </c>
      <c r="O212" t="s">
        <v>34</v>
      </c>
      <c r="P212" t="s">
        <v>76</v>
      </c>
      <c r="Q212">
        <v>17</v>
      </c>
      <c r="R212">
        <v>14.34</v>
      </c>
      <c r="S212">
        <v>243.78</v>
      </c>
      <c r="T212">
        <v>8.33</v>
      </c>
      <c r="U212">
        <v>18</v>
      </c>
      <c r="V212">
        <v>806</v>
      </c>
      <c r="W212" t="s">
        <v>36</v>
      </c>
      <c r="X212">
        <v>22.5</v>
      </c>
    </row>
    <row r="213" spans="1:24" x14ac:dyDescent="0.25">
      <c r="A213" s="2">
        <v>100211</v>
      </c>
      <c r="B213" s="1">
        <v>45558</v>
      </c>
      <c r="C213" s="1">
        <v>45563</v>
      </c>
      <c r="D213" s="1">
        <v>45568</v>
      </c>
      <c r="E213" t="s">
        <v>724</v>
      </c>
      <c r="F213" t="s">
        <v>32</v>
      </c>
      <c r="G213" t="s">
        <v>273</v>
      </c>
      <c r="H213" t="s">
        <v>725</v>
      </c>
      <c r="I213" t="s">
        <v>139</v>
      </c>
      <c r="J213" t="s">
        <v>42</v>
      </c>
      <c r="K213" t="s">
        <v>599</v>
      </c>
      <c r="L213" t="s">
        <v>113</v>
      </c>
      <c r="M213" t="s">
        <v>32</v>
      </c>
      <c r="N213" t="s">
        <v>92</v>
      </c>
      <c r="O213" t="s">
        <v>93</v>
      </c>
      <c r="P213" t="s">
        <v>68</v>
      </c>
      <c r="Q213">
        <v>14</v>
      </c>
      <c r="R213">
        <v>369.74</v>
      </c>
      <c r="S213">
        <v>5176.3599999999997</v>
      </c>
      <c r="T213">
        <v>21.79</v>
      </c>
      <c r="U213">
        <v>5</v>
      </c>
      <c r="V213">
        <v>1093</v>
      </c>
      <c r="W213" t="s">
        <v>57</v>
      </c>
      <c r="X213">
        <v>1094.98</v>
      </c>
    </row>
    <row r="214" spans="1:24" x14ac:dyDescent="0.25">
      <c r="A214" s="2">
        <v>100212</v>
      </c>
      <c r="B214" s="1">
        <v>45957</v>
      </c>
      <c r="C214" s="1">
        <v>45960</v>
      </c>
      <c r="D214" s="1">
        <v>45967</v>
      </c>
      <c r="E214" t="s">
        <v>726</v>
      </c>
      <c r="F214" t="s">
        <v>38</v>
      </c>
      <c r="G214" t="s">
        <v>217</v>
      </c>
      <c r="H214" t="s">
        <v>727</v>
      </c>
      <c r="I214" t="s">
        <v>41</v>
      </c>
      <c r="J214" t="s">
        <v>42</v>
      </c>
      <c r="K214" t="s">
        <v>728</v>
      </c>
      <c r="L214" t="s">
        <v>98</v>
      </c>
      <c r="M214" t="s">
        <v>32</v>
      </c>
      <c r="N214" t="s">
        <v>66</v>
      </c>
      <c r="O214" t="s">
        <v>67</v>
      </c>
      <c r="P214" t="s">
        <v>123</v>
      </c>
      <c r="Q214">
        <v>237</v>
      </c>
      <c r="R214">
        <v>171.46</v>
      </c>
      <c r="S214">
        <v>40636.019999999997</v>
      </c>
      <c r="T214">
        <v>16.45</v>
      </c>
      <c r="U214">
        <v>7</v>
      </c>
      <c r="V214">
        <v>1490</v>
      </c>
      <c r="W214" t="s">
        <v>36</v>
      </c>
      <c r="X214">
        <v>6680.6</v>
      </c>
    </row>
    <row r="215" spans="1:24" x14ac:dyDescent="0.25">
      <c r="A215" s="2">
        <v>100213</v>
      </c>
      <c r="B215" s="1">
        <v>45790</v>
      </c>
      <c r="C215" s="1">
        <v>45791</v>
      </c>
      <c r="D215" s="1">
        <v>45795</v>
      </c>
      <c r="E215" t="s">
        <v>729</v>
      </c>
      <c r="F215" t="s">
        <v>25</v>
      </c>
      <c r="G215" t="s">
        <v>59</v>
      </c>
      <c r="H215" t="s">
        <v>730</v>
      </c>
      <c r="I215" t="s">
        <v>28</v>
      </c>
      <c r="J215" t="s">
        <v>29</v>
      </c>
      <c r="K215" t="s">
        <v>731</v>
      </c>
      <c r="L215" t="s">
        <v>98</v>
      </c>
      <c r="M215" t="s">
        <v>25</v>
      </c>
      <c r="N215" t="s">
        <v>151</v>
      </c>
      <c r="O215" t="s">
        <v>152</v>
      </c>
      <c r="P215" t="s">
        <v>123</v>
      </c>
      <c r="Q215">
        <v>248</v>
      </c>
      <c r="R215">
        <v>73.09</v>
      </c>
      <c r="S215">
        <v>18126.32</v>
      </c>
      <c r="T215">
        <v>12.38</v>
      </c>
      <c r="U215">
        <v>4</v>
      </c>
      <c r="V215">
        <v>514</v>
      </c>
      <c r="W215" t="s">
        <v>36</v>
      </c>
      <c r="X215">
        <v>1161.6600000000001</v>
      </c>
    </row>
    <row r="216" spans="1:24" x14ac:dyDescent="0.25">
      <c r="A216" s="2">
        <v>100214</v>
      </c>
      <c r="B216" s="1">
        <v>45438</v>
      </c>
      <c r="C216" s="1">
        <v>45443</v>
      </c>
      <c r="D216" s="1">
        <v>45455</v>
      </c>
      <c r="E216" t="s">
        <v>732</v>
      </c>
      <c r="F216" t="s">
        <v>54</v>
      </c>
      <c r="G216" t="s">
        <v>225</v>
      </c>
      <c r="H216" t="s">
        <v>733</v>
      </c>
      <c r="I216" t="s">
        <v>416</v>
      </c>
      <c r="J216" t="s">
        <v>80</v>
      </c>
      <c r="K216" t="s">
        <v>734</v>
      </c>
      <c r="L216" t="s">
        <v>44</v>
      </c>
      <c r="M216" t="s">
        <v>54</v>
      </c>
      <c r="N216" t="s">
        <v>55</v>
      </c>
      <c r="O216" t="s">
        <v>56</v>
      </c>
      <c r="P216" t="s">
        <v>76</v>
      </c>
      <c r="Q216">
        <v>217</v>
      </c>
      <c r="R216">
        <v>276.39999999999998</v>
      </c>
      <c r="S216">
        <v>59978.8</v>
      </c>
      <c r="T216">
        <v>8.8699999999999992</v>
      </c>
      <c r="U216">
        <v>12</v>
      </c>
      <c r="V216">
        <v>71</v>
      </c>
      <c r="W216" t="s">
        <v>36</v>
      </c>
      <c r="X216">
        <v>13834.55</v>
      </c>
    </row>
    <row r="217" spans="1:24" x14ac:dyDescent="0.25">
      <c r="A217" s="2">
        <v>100215</v>
      </c>
      <c r="B217" s="1">
        <v>45417</v>
      </c>
      <c r="C217" s="1">
        <v>45421</v>
      </c>
      <c r="D217" s="1">
        <v>45424</v>
      </c>
      <c r="E217" t="s">
        <v>735</v>
      </c>
      <c r="F217" t="s">
        <v>38</v>
      </c>
      <c r="G217" t="s">
        <v>147</v>
      </c>
      <c r="H217" t="s">
        <v>736</v>
      </c>
      <c r="I217" t="s">
        <v>191</v>
      </c>
      <c r="J217" t="s">
        <v>62</v>
      </c>
      <c r="K217" t="s">
        <v>737</v>
      </c>
      <c r="L217" t="s">
        <v>98</v>
      </c>
      <c r="M217" t="s">
        <v>54</v>
      </c>
      <c r="N217" t="s">
        <v>151</v>
      </c>
      <c r="O217" t="s">
        <v>152</v>
      </c>
      <c r="P217" t="s">
        <v>35</v>
      </c>
      <c r="Q217">
        <v>231</v>
      </c>
      <c r="R217">
        <v>5.4</v>
      </c>
      <c r="S217">
        <v>1247.4000000000001</v>
      </c>
      <c r="T217">
        <v>19.02</v>
      </c>
      <c r="U217">
        <v>3</v>
      </c>
      <c r="V217">
        <v>4414</v>
      </c>
      <c r="W217" t="s">
        <v>36</v>
      </c>
      <c r="X217">
        <v>-69.260000000000005</v>
      </c>
    </row>
    <row r="218" spans="1:24" x14ac:dyDescent="0.25">
      <c r="A218" s="2">
        <v>100216</v>
      </c>
      <c r="B218" s="1">
        <v>45583</v>
      </c>
      <c r="C218" s="1">
        <v>45583</v>
      </c>
      <c r="D218" s="1">
        <v>45588</v>
      </c>
      <c r="E218" t="s">
        <v>738</v>
      </c>
      <c r="F218" t="s">
        <v>32</v>
      </c>
      <c r="G218" t="s">
        <v>110</v>
      </c>
      <c r="H218" t="s">
        <v>739</v>
      </c>
      <c r="I218" t="s">
        <v>230</v>
      </c>
      <c r="J218" t="s">
        <v>80</v>
      </c>
      <c r="K218" t="s">
        <v>553</v>
      </c>
      <c r="L218" t="s">
        <v>44</v>
      </c>
      <c r="M218" t="s">
        <v>38</v>
      </c>
      <c r="N218" t="s">
        <v>74</v>
      </c>
      <c r="O218" t="s">
        <v>75</v>
      </c>
      <c r="P218" t="s">
        <v>68</v>
      </c>
      <c r="Q218">
        <v>145</v>
      </c>
      <c r="R218">
        <v>278.37</v>
      </c>
      <c r="S218">
        <v>40363.65</v>
      </c>
      <c r="T218">
        <v>37.909999999999997</v>
      </c>
      <c r="U218">
        <v>5</v>
      </c>
      <c r="V218">
        <v>250</v>
      </c>
      <c r="W218" t="s">
        <v>36</v>
      </c>
      <c r="X218">
        <v>8768.5</v>
      </c>
    </row>
    <row r="219" spans="1:24" x14ac:dyDescent="0.25">
      <c r="A219" s="2">
        <v>100217</v>
      </c>
      <c r="B219" s="1">
        <v>45556</v>
      </c>
      <c r="C219" s="1">
        <v>45557</v>
      </c>
      <c r="D219" s="1">
        <v>45562</v>
      </c>
      <c r="E219" t="s">
        <v>740</v>
      </c>
      <c r="F219" t="s">
        <v>38</v>
      </c>
      <c r="G219" t="s">
        <v>147</v>
      </c>
      <c r="H219" t="s">
        <v>741</v>
      </c>
      <c r="I219" t="s">
        <v>144</v>
      </c>
      <c r="J219" t="s">
        <v>52</v>
      </c>
      <c r="K219" t="s">
        <v>742</v>
      </c>
      <c r="L219" t="s">
        <v>118</v>
      </c>
      <c r="M219" t="s">
        <v>25</v>
      </c>
      <c r="N219" t="s">
        <v>203</v>
      </c>
      <c r="O219" t="s">
        <v>204</v>
      </c>
      <c r="P219" t="s">
        <v>35</v>
      </c>
      <c r="Q219">
        <v>81</v>
      </c>
      <c r="R219">
        <v>17.100000000000001</v>
      </c>
      <c r="S219">
        <v>1385.1</v>
      </c>
      <c r="T219">
        <v>14.77</v>
      </c>
      <c r="U219">
        <v>5</v>
      </c>
      <c r="V219">
        <v>387</v>
      </c>
      <c r="W219" t="s">
        <v>36</v>
      </c>
      <c r="X219">
        <v>83.28</v>
      </c>
    </row>
    <row r="220" spans="1:24" x14ac:dyDescent="0.25">
      <c r="A220" s="2">
        <v>100218</v>
      </c>
      <c r="B220" s="1">
        <v>45649</v>
      </c>
      <c r="C220" s="1">
        <v>45650</v>
      </c>
      <c r="D220" s="1">
        <v>45664</v>
      </c>
      <c r="E220" t="s">
        <v>743</v>
      </c>
      <c r="F220" t="s">
        <v>25</v>
      </c>
      <c r="G220" t="s">
        <v>26</v>
      </c>
      <c r="H220" t="s">
        <v>744</v>
      </c>
      <c r="I220" t="s">
        <v>207</v>
      </c>
      <c r="J220" t="s">
        <v>80</v>
      </c>
      <c r="K220" t="s">
        <v>745</v>
      </c>
      <c r="L220" t="s">
        <v>98</v>
      </c>
      <c r="M220" t="s">
        <v>25</v>
      </c>
      <c r="N220" t="s">
        <v>74</v>
      </c>
      <c r="O220" t="s">
        <v>75</v>
      </c>
      <c r="P220" t="s">
        <v>123</v>
      </c>
      <c r="Q220">
        <v>367</v>
      </c>
      <c r="R220">
        <v>55.57</v>
      </c>
      <c r="S220">
        <v>20394.189999999999</v>
      </c>
      <c r="T220">
        <v>14.53</v>
      </c>
      <c r="U220">
        <v>14</v>
      </c>
      <c r="V220">
        <v>499</v>
      </c>
      <c r="W220" t="s">
        <v>188</v>
      </c>
      <c r="X220">
        <v>4608.7700000000004</v>
      </c>
    </row>
    <row r="221" spans="1:24" x14ac:dyDescent="0.25">
      <c r="A221" s="2">
        <v>100219</v>
      </c>
      <c r="B221" s="1">
        <v>45581</v>
      </c>
      <c r="C221" s="1">
        <v>45583</v>
      </c>
      <c r="D221" s="1">
        <v>45592</v>
      </c>
      <c r="E221" t="s">
        <v>746</v>
      </c>
      <c r="F221" t="s">
        <v>65</v>
      </c>
      <c r="G221" t="s">
        <v>70</v>
      </c>
      <c r="H221" t="s">
        <v>747</v>
      </c>
      <c r="I221" t="s">
        <v>149</v>
      </c>
      <c r="J221" t="s">
        <v>42</v>
      </c>
      <c r="K221" t="s">
        <v>748</v>
      </c>
      <c r="L221" t="s">
        <v>64</v>
      </c>
      <c r="M221" t="s">
        <v>32</v>
      </c>
      <c r="N221" t="s">
        <v>151</v>
      </c>
      <c r="O221" t="s">
        <v>152</v>
      </c>
      <c r="P221" t="s">
        <v>35</v>
      </c>
      <c r="Q221">
        <v>36</v>
      </c>
      <c r="R221">
        <v>68.59</v>
      </c>
      <c r="S221">
        <v>2469.2399999999998</v>
      </c>
      <c r="T221">
        <v>13.49</v>
      </c>
      <c r="U221">
        <v>9</v>
      </c>
      <c r="V221">
        <v>1304</v>
      </c>
      <c r="W221" t="s">
        <v>36</v>
      </c>
      <c r="X221">
        <v>405.46</v>
      </c>
    </row>
    <row r="222" spans="1:24" x14ac:dyDescent="0.25">
      <c r="A222" s="2">
        <v>100220</v>
      </c>
      <c r="B222" s="1">
        <v>45824</v>
      </c>
      <c r="C222" s="1">
        <v>45826</v>
      </c>
      <c r="D222" s="1">
        <v>45831</v>
      </c>
      <c r="E222" t="s">
        <v>749</v>
      </c>
      <c r="F222" t="s">
        <v>38</v>
      </c>
      <c r="G222" t="s">
        <v>83</v>
      </c>
      <c r="H222" t="s">
        <v>750</v>
      </c>
      <c r="I222" t="s">
        <v>61</v>
      </c>
      <c r="J222" t="s">
        <v>62</v>
      </c>
      <c r="K222" t="s">
        <v>637</v>
      </c>
      <c r="L222" t="s">
        <v>113</v>
      </c>
      <c r="M222" t="s">
        <v>32</v>
      </c>
      <c r="N222" t="s">
        <v>66</v>
      </c>
      <c r="O222" t="s">
        <v>67</v>
      </c>
      <c r="P222" t="s">
        <v>68</v>
      </c>
      <c r="Q222">
        <v>455</v>
      </c>
      <c r="R222">
        <v>25.43</v>
      </c>
      <c r="S222">
        <v>11570.65</v>
      </c>
      <c r="T222">
        <v>58</v>
      </c>
      <c r="U222">
        <v>5</v>
      </c>
      <c r="V222">
        <v>1889</v>
      </c>
      <c r="W222" t="s">
        <v>36</v>
      </c>
      <c r="X222">
        <v>884.44</v>
      </c>
    </row>
    <row r="223" spans="1:24" x14ac:dyDescent="0.25">
      <c r="A223" s="2">
        <v>100221</v>
      </c>
      <c r="B223" s="1">
        <v>45344</v>
      </c>
      <c r="C223" s="1">
        <v>45349</v>
      </c>
      <c r="D223" s="1">
        <v>45354</v>
      </c>
      <c r="E223" t="s">
        <v>751</v>
      </c>
      <c r="F223" t="s">
        <v>54</v>
      </c>
      <c r="G223" t="s">
        <v>158</v>
      </c>
      <c r="H223" t="s">
        <v>752</v>
      </c>
      <c r="I223" t="s">
        <v>28</v>
      </c>
      <c r="J223" t="s">
        <v>29</v>
      </c>
      <c r="K223" t="s">
        <v>753</v>
      </c>
      <c r="L223" t="s">
        <v>187</v>
      </c>
      <c r="M223" t="s">
        <v>32</v>
      </c>
      <c r="N223" t="s">
        <v>151</v>
      </c>
      <c r="O223" t="s">
        <v>152</v>
      </c>
      <c r="P223" t="s">
        <v>35</v>
      </c>
      <c r="Q223">
        <v>21</v>
      </c>
      <c r="R223">
        <v>64.64</v>
      </c>
      <c r="S223">
        <v>1357.44</v>
      </c>
      <c r="T223">
        <v>13.07</v>
      </c>
      <c r="U223">
        <v>5</v>
      </c>
      <c r="V223">
        <v>999</v>
      </c>
      <c r="W223" t="s">
        <v>36</v>
      </c>
      <c r="X223">
        <v>196.4</v>
      </c>
    </row>
    <row r="224" spans="1:24" x14ac:dyDescent="0.25">
      <c r="A224" s="2">
        <v>100222</v>
      </c>
      <c r="B224" s="1">
        <v>45732</v>
      </c>
      <c r="C224" s="1">
        <v>45732</v>
      </c>
      <c r="D224" s="1">
        <v>45734</v>
      </c>
      <c r="E224" t="s">
        <v>754</v>
      </c>
      <c r="F224" t="s">
        <v>65</v>
      </c>
      <c r="G224" t="s">
        <v>142</v>
      </c>
      <c r="H224" t="s">
        <v>755</v>
      </c>
      <c r="I224" t="s">
        <v>79</v>
      </c>
      <c r="J224" t="s">
        <v>80</v>
      </c>
      <c r="K224" t="s">
        <v>756</v>
      </c>
      <c r="L224" t="s">
        <v>113</v>
      </c>
      <c r="M224" t="s">
        <v>65</v>
      </c>
      <c r="N224" t="s">
        <v>151</v>
      </c>
      <c r="O224" t="s">
        <v>152</v>
      </c>
      <c r="P224" t="s">
        <v>68</v>
      </c>
      <c r="Q224">
        <v>303</v>
      </c>
      <c r="R224">
        <v>317.68</v>
      </c>
      <c r="S224">
        <v>96257.04</v>
      </c>
      <c r="T224">
        <v>35.659999999999997</v>
      </c>
      <c r="U224">
        <v>2</v>
      </c>
      <c r="V224">
        <v>1161</v>
      </c>
      <c r="W224" t="s">
        <v>36</v>
      </c>
      <c r="X224">
        <v>11574.02</v>
      </c>
    </row>
    <row r="225" spans="1:24" x14ac:dyDescent="0.25">
      <c r="A225" s="2">
        <v>100223</v>
      </c>
      <c r="B225" s="1">
        <v>45448</v>
      </c>
      <c r="C225" s="1">
        <v>45451</v>
      </c>
      <c r="D225" s="1">
        <v>45471</v>
      </c>
      <c r="E225" t="s">
        <v>757</v>
      </c>
      <c r="F225" t="s">
        <v>65</v>
      </c>
      <c r="G225" t="s">
        <v>154</v>
      </c>
      <c r="H225" t="s">
        <v>758</v>
      </c>
      <c r="I225" t="s">
        <v>139</v>
      </c>
      <c r="J225" t="s">
        <v>42</v>
      </c>
      <c r="K225" t="s">
        <v>759</v>
      </c>
      <c r="L225" t="s">
        <v>98</v>
      </c>
      <c r="M225" t="s">
        <v>25</v>
      </c>
      <c r="N225" t="s">
        <v>74</v>
      </c>
      <c r="O225" t="s">
        <v>75</v>
      </c>
      <c r="P225" t="s">
        <v>76</v>
      </c>
      <c r="Q225">
        <v>420</v>
      </c>
      <c r="R225">
        <v>397.95</v>
      </c>
      <c r="S225">
        <v>167139</v>
      </c>
      <c r="T225">
        <v>15.67</v>
      </c>
      <c r="U225">
        <v>20</v>
      </c>
      <c r="V225">
        <v>1525</v>
      </c>
      <c r="W225" t="s">
        <v>36</v>
      </c>
      <c r="X225">
        <v>23506.54</v>
      </c>
    </row>
    <row r="226" spans="1:24" x14ac:dyDescent="0.25">
      <c r="A226" s="2">
        <v>100224</v>
      </c>
      <c r="B226" s="1">
        <v>45915</v>
      </c>
      <c r="C226" s="1">
        <v>45918</v>
      </c>
      <c r="D226" s="1">
        <v>45927</v>
      </c>
      <c r="E226" t="s">
        <v>760</v>
      </c>
      <c r="F226" t="s">
        <v>54</v>
      </c>
      <c r="G226" t="s">
        <v>129</v>
      </c>
      <c r="H226" t="s">
        <v>761</v>
      </c>
      <c r="I226" t="s">
        <v>207</v>
      </c>
      <c r="J226" t="s">
        <v>80</v>
      </c>
      <c r="K226" t="s">
        <v>486</v>
      </c>
      <c r="L226" t="s">
        <v>122</v>
      </c>
      <c r="M226" t="s">
        <v>54</v>
      </c>
      <c r="N226" t="s">
        <v>92</v>
      </c>
      <c r="O226" t="s">
        <v>93</v>
      </c>
      <c r="P226" t="s">
        <v>123</v>
      </c>
      <c r="Q226">
        <v>484</v>
      </c>
      <c r="R226">
        <v>301.72000000000003</v>
      </c>
      <c r="S226">
        <v>146032.48000000001</v>
      </c>
      <c r="T226">
        <v>16.63</v>
      </c>
      <c r="U226">
        <v>9</v>
      </c>
      <c r="V226">
        <v>955</v>
      </c>
      <c r="W226" t="s">
        <v>36</v>
      </c>
      <c r="X226">
        <v>37963.760000000002</v>
      </c>
    </row>
    <row r="227" spans="1:24" x14ac:dyDescent="0.25">
      <c r="A227" s="2">
        <v>100225</v>
      </c>
      <c r="B227" s="1">
        <v>45827</v>
      </c>
      <c r="C227" s="1">
        <v>45830</v>
      </c>
      <c r="D227" s="1">
        <v>45833</v>
      </c>
      <c r="E227" t="s">
        <v>762</v>
      </c>
      <c r="F227" t="s">
        <v>38</v>
      </c>
      <c r="G227" t="s">
        <v>83</v>
      </c>
      <c r="H227" t="s">
        <v>763</v>
      </c>
      <c r="I227" t="s">
        <v>72</v>
      </c>
      <c r="J227" t="s">
        <v>42</v>
      </c>
      <c r="K227" t="s">
        <v>694</v>
      </c>
      <c r="L227" t="s">
        <v>44</v>
      </c>
      <c r="M227" t="s">
        <v>54</v>
      </c>
      <c r="N227" t="s">
        <v>55</v>
      </c>
      <c r="O227" t="s">
        <v>56</v>
      </c>
      <c r="P227" t="s">
        <v>68</v>
      </c>
      <c r="Q227">
        <v>30</v>
      </c>
      <c r="R227">
        <v>245.41</v>
      </c>
      <c r="S227">
        <v>7362.3</v>
      </c>
      <c r="T227">
        <v>30.46</v>
      </c>
      <c r="U227">
        <v>3</v>
      </c>
      <c r="V227">
        <v>1796</v>
      </c>
      <c r="W227" t="s">
        <v>57</v>
      </c>
      <c r="X227">
        <v>929.64</v>
      </c>
    </row>
    <row r="228" spans="1:24" x14ac:dyDescent="0.25">
      <c r="A228" s="2">
        <v>100226</v>
      </c>
      <c r="B228" s="1">
        <v>45831</v>
      </c>
      <c r="C228" s="1">
        <v>45831</v>
      </c>
      <c r="D228" s="1">
        <v>45843</v>
      </c>
      <c r="E228" t="s">
        <v>764</v>
      </c>
      <c r="F228" t="s">
        <v>38</v>
      </c>
      <c r="G228" t="s">
        <v>83</v>
      </c>
      <c r="H228" t="s">
        <v>765</v>
      </c>
      <c r="I228" t="s">
        <v>246</v>
      </c>
      <c r="J228" t="s">
        <v>29</v>
      </c>
      <c r="K228" t="s">
        <v>766</v>
      </c>
      <c r="L228" t="s">
        <v>44</v>
      </c>
      <c r="M228" t="s">
        <v>65</v>
      </c>
      <c r="N228" t="s">
        <v>107</v>
      </c>
      <c r="O228" t="s">
        <v>108</v>
      </c>
      <c r="P228" t="s">
        <v>76</v>
      </c>
      <c r="Q228">
        <v>389</v>
      </c>
      <c r="R228">
        <v>104.49</v>
      </c>
      <c r="S228">
        <v>40646.61</v>
      </c>
      <c r="T228">
        <v>15.11</v>
      </c>
      <c r="U228">
        <v>12</v>
      </c>
      <c r="V228">
        <v>1186</v>
      </c>
      <c r="W228" t="s">
        <v>36</v>
      </c>
      <c r="X228">
        <v>10962.3</v>
      </c>
    </row>
    <row r="229" spans="1:24" x14ac:dyDescent="0.25">
      <c r="A229" s="2">
        <v>100227</v>
      </c>
      <c r="B229" s="1">
        <v>45620</v>
      </c>
      <c r="C229" s="1">
        <v>45625</v>
      </c>
      <c r="D229" s="1">
        <v>45628</v>
      </c>
      <c r="E229" t="s">
        <v>767</v>
      </c>
      <c r="F229" t="s">
        <v>54</v>
      </c>
      <c r="G229" t="s">
        <v>225</v>
      </c>
      <c r="H229" t="s">
        <v>768</v>
      </c>
      <c r="I229" t="s">
        <v>230</v>
      </c>
      <c r="J229" t="s">
        <v>80</v>
      </c>
      <c r="K229" t="s">
        <v>769</v>
      </c>
      <c r="L229" t="s">
        <v>113</v>
      </c>
      <c r="M229" t="s">
        <v>65</v>
      </c>
      <c r="N229" t="s">
        <v>92</v>
      </c>
      <c r="O229" t="s">
        <v>93</v>
      </c>
      <c r="P229" t="s">
        <v>68</v>
      </c>
      <c r="Q229">
        <v>118</v>
      </c>
      <c r="R229">
        <v>273.75</v>
      </c>
      <c r="S229">
        <v>32302.5</v>
      </c>
      <c r="T229">
        <v>36.159999999999997</v>
      </c>
      <c r="U229">
        <v>3</v>
      </c>
      <c r="V229">
        <v>1822</v>
      </c>
      <c r="W229" t="s">
        <v>36</v>
      </c>
      <c r="X229">
        <v>7208.07</v>
      </c>
    </row>
    <row r="230" spans="1:24" x14ac:dyDescent="0.25">
      <c r="A230" s="2">
        <v>100228</v>
      </c>
      <c r="B230" s="1">
        <v>45319</v>
      </c>
      <c r="C230" s="1">
        <v>45324</v>
      </c>
      <c r="D230" s="1">
        <v>45330</v>
      </c>
      <c r="E230" t="s">
        <v>770</v>
      </c>
      <c r="F230" t="s">
        <v>65</v>
      </c>
      <c r="G230" t="s">
        <v>142</v>
      </c>
      <c r="H230" t="s">
        <v>771</v>
      </c>
      <c r="I230" t="s">
        <v>207</v>
      </c>
      <c r="J230" t="s">
        <v>80</v>
      </c>
      <c r="K230" t="s">
        <v>772</v>
      </c>
      <c r="L230" t="s">
        <v>187</v>
      </c>
      <c r="M230" t="s">
        <v>25</v>
      </c>
      <c r="N230" t="s">
        <v>203</v>
      </c>
      <c r="O230" t="s">
        <v>204</v>
      </c>
      <c r="P230" t="s">
        <v>35</v>
      </c>
      <c r="Q230">
        <v>30</v>
      </c>
      <c r="R230">
        <v>129.1</v>
      </c>
      <c r="S230">
        <v>3873</v>
      </c>
      <c r="T230">
        <v>13.32</v>
      </c>
      <c r="U230">
        <v>6</v>
      </c>
      <c r="V230">
        <v>1598</v>
      </c>
      <c r="W230" t="s">
        <v>36</v>
      </c>
      <c r="X230">
        <v>771.11</v>
      </c>
    </row>
    <row r="231" spans="1:24" x14ac:dyDescent="0.25">
      <c r="A231" s="2">
        <v>100229</v>
      </c>
      <c r="B231" s="1">
        <v>45344</v>
      </c>
      <c r="C231" s="1">
        <v>45345</v>
      </c>
      <c r="D231" s="1">
        <v>45350</v>
      </c>
      <c r="E231" t="s">
        <v>773</v>
      </c>
      <c r="F231" t="s">
        <v>38</v>
      </c>
      <c r="G231" t="s">
        <v>49</v>
      </c>
      <c r="H231" t="s">
        <v>774</v>
      </c>
      <c r="I231" t="s">
        <v>126</v>
      </c>
      <c r="J231" t="s">
        <v>42</v>
      </c>
      <c r="K231" t="s">
        <v>775</v>
      </c>
      <c r="L231" t="s">
        <v>212</v>
      </c>
      <c r="M231" t="s">
        <v>54</v>
      </c>
      <c r="N231" t="s">
        <v>151</v>
      </c>
      <c r="O231" t="s">
        <v>152</v>
      </c>
      <c r="P231" t="s">
        <v>68</v>
      </c>
      <c r="Q231">
        <v>365</v>
      </c>
      <c r="R231">
        <v>430.05</v>
      </c>
      <c r="S231">
        <v>156968.25</v>
      </c>
      <c r="T231">
        <v>52.16</v>
      </c>
      <c r="U231">
        <v>5</v>
      </c>
      <c r="V231">
        <v>724</v>
      </c>
      <c r="W231" t="s">
        <v>36</v>
      </c>
      <c r="X231">
        <v>24172.95</v>
      </c>
    </row>
    <row r="232" spans="1:24" x14ac:dyDescent="0.25">
      <c r="A232" s="2">
        <v>100230</v>
      </c>
      <c r="B232" s="1">
        <v>45827</v>
      </c>
      <c r="C232" s="1">
        <v>45831</v>
      </c>
      <c r="D232" s="1">
        <v>45851</v>
      </c>
      <c r="E232" t="s">
        <v>776</v>
      </c>
      <c r="F232" t="s">
        <v>25</v>
      </c>
      <c r="G232" t="s">
        <v>244</v>
      </c>
      <c r="H232" t="s">
        <v>777</v>
      </c>
      <c r="I232" t="s">
        <v>278</v>
      </c>
      <c r="J232" t="s">
        <v>29</v>
      </c>
      <c r="K232" t="s">
        <v>778</v>
      </c>
      <c r="L232" t="s">
        <v>91</v>
      </c>
      <c r="M232" t="s">
        <v>38</v>
      </c>
      <c r="N232" t="s">
        <v>151</v>
      </c>
      <c r="O232" t="s">
        <v>152</v>
      </c>
      <c r="P232" t="s">
        <v>76</v>
      </c>
      <c r="Q232">
        <v>239</v>
      </c>
      <c r="R232">
        <v>93.85</v>
      </c>
      <c r="S232">
        <v>22430.15</v>
      </c>
      <c r="T232">
        <v>12.37</v>
      </c>
      <c r="U232">
        <v>20</v>
      </c>
      <c r="V232">
        <v>268</v>
      </c>
      <c r="W232" t="s">
        <v>36</v>
      </c>
      <c r="X232">
        <v>4569.1899999999996</v>
      </c>
    </row>
    <row r="233" spans="1:24" x14ac:dyDescent="0.25">
      <c r="A233" s="2">
        <v>100231</v>
      </c>
      <c r="B233" s="1">
        <v>45793</v>
      </c>
      <c r="C233" s="1">
        <v>45797</v>
      </c>
      <c r="D233" s="1">
        <v>45816</v>
      </c>
      <c r="E233" t="s">
        <v>779</v>
      </c>
      <c r="F233" t="s">
        <v>54</v>
      </c>
      <c r="G233" t="s">
        <v>165</v>
      </c>
      <c r="H233" t="s">
        <v>780</v>
      </c>
      <c r="I233" t="s">
        <v>177</v>
      </c>
      <c r="J233" t="s">
        <v>29</v>
      </c>
      <c r="K233" t="s">
        <v>781</v>
      </c>
      <c r="L233" t="s">
        <v>44</v>
      </c>
      <c r="M233" t="s">
        <v>38</v>
      </c>
      <c r="N233" t="s">
        <v>66</v>
      </c>
      <c r="O233" t="s">
        <v>67</v>
      </c>
      <c r="P233" t="s">
        <v>76</v>
      </c>
      <c r="Q233">
        <v>400</v>
      </c>
      <c r="R233">
        <v>11.93</v>
      </c>
      <c r="S233">
        <v>4772</v>
      </c>
      <c r="T233">
        <v>15.31</v>
      </c>
      <c r="U233">
        <v>19</v>
      </c>
      <c r="V233">
        <v>1674</v>
      </c>
      <c r="W233" t="s">
        <v>36</v>
      </c>
      <c r="X233">
        <v>674.97</v>
      </c>
    </row>
    <row r="234" spans="1:24" x14ac:dyDescent="0.25">
      <c r="A234" s="2">
        <v>100232</v>
      </c>
      <c r="B234" s="1">
        <v>45303</v>
      </c>
      <c r="C234" s="1">
        <v>45305</v>
      </c>
      <c r="D234" s="1">
        <v>45310</v>
      </c>
      <c r="E234" t="s">
        <v>782</v>
      </c>
      <c r="F234" t="s">
        <v>54</v>
      </c>
      <c r="G234" t="s">
        <v>165</v>
      </c>
      <c r="H234" t="s">
        <v>783</v>
      </c>
      <c r="I234" t="s">
        <v>28</v>
      </c>
      <c r="J234" t="s">
        <v>29</v>
      </c>
      <c r="K234" t="s">
        <v>784</v>
      </c>
      <c r="L234" t="s">
        <v>44</v>
      </c>
      <c r="M234" t="s">
        <v>25</v>
      </c>
      <c r="N234" t="s">
        <v>66</v>
      </c>
      <c r="O234" t="s">
        <v>67</v>
      </c>
      <c r="P234" t="s">
        <v>68</v>
      </c>
      <c r="Q234">
        <v>316</v>
      </c>
      <c r="R234">
        <v>12.6</v>
      </c>
      <c r="S234">
        <v>3981.6</v>
      </c>
      <c r="T234">
        <v>48.99</v>
      </c>
      <c r="U234">
        <v>5</v>
      </c>
      <c r="V234">
        <v>480</v>
      </c>
      <c r="W234" t="s">
        <v>36</v>
      </c>
      <c r="X234">
        <v>581.01</v>
      </c>
    </row>
    <row r="235" spans="1:24" x14ac:dyDescent="0.25">
      <c r="A235" s="2">
        <v>100233</v>
      </c>
      <c r="B235" s="1">
        <v>45350</v>
      </c>
      <c r="C235" s="1">
        <v>45353</v>
      </c>
      <c r="D235" s="1">
        <v>45366</v>
      </c>
      <c r="E235" t="s">
        <v>785</v>
      </c>
      <c r="F235" t="s">
        <v>38</v>
      </c>
      <c r="G235" t="s">
        <v>39</v>
      </c>
      <c r="H235" t="s">
        <v>786</v>
      </c>
      <c r="I235" t="s">
        <v>198</v>
      </c>
      <c r="J235" t="s">
        <v>52</v>
      </c>
      <c r="K235" t="s">
        <v>787</v>
      </c>
      <c r="L235" t="s">
        <v>98</v>
      </c>
      <c r="M235" t="s">
        <v>65</v>
      </c>
      <c r="N235" t="s">
        <v>92</v>
      </c>
      <c r="O235" t="s">
        <v>93</v>
      </c>
      <c r="P235" t="s">
        <v>123</v>
      </c>
      <c r="Q235">
        <v>214</v>
      </c>
      <c r="R235">
        <v>69.290000000000006</v>
      </c>
      <c r="S235">
        <v>14828.06</v>
      </c>
      <c r="T235">
        <v>15.89</v>
      </c>
      <c r="U235">
        <v>13</v>
      </c>
      <c r="V235">
        <v>1441</v>
      </c>
      <c r="W235" t="s">
        <v>188</v>
      </c>
      <c r="X235">
        <v>2930.85</v>
      </c>
    </row>
    <row r="236" spans="1:24" x14ac:dyDescent="0.25">
      <c r="A236" s="2">
        <v>100234</v>
      </c>
      <c r="B236" s="1">
        <v>45899</v>
      </c>
      <c r="C236" s="1">
        <v>45902</v>
      </c>
      <c r="D236" s="1">
        <v>45913</v>
      </c>
      <c r="E236" t="s">
        <v>788</v>
      </c>
      <c r="F236" t="s">
        <v>38</v>
      </c>
      <c r="G236" t="s">
        <v>83</v>
      </c>
      <c r="H236" t="s">
        <v>789</v>
      </c>
      <c r="I236" t="s">
        <v>230</v>
      </c>
      <c r="J236" t="s">
        <v>80</v>
      </c>
      <c r="K236" t="s">
        <v>790</v>
      </c>
      <c r="L236" t="s">
        <v>44</v>
      </c>
      <c r="M236" t="s">
        <v>32</v>
      </c>
      <c r="N236" t="s">
        <v>33</v>
      </c>
      <c r="O236" t="s">
        <v>34</v>
      </c>
      <c r="P236" t="s">
        <v>76</v>
      </c>
      <c r="Q236">
        <v>26</v>
      </c>
      <c r="R236">
        <v>109.87</v>
      </c>
      <c r="S236">
        <v>2856.62</v>
      </c>
      <c r="T236">
        <v>8.49</v>
      </c>
      <c r="U236">
        <v>11</v>
      </c>
      <c r="V236">
        <v>75</v>
      </c>
      <c r="W236" t="s">
        <v>36</v>
      </c>
      <c r="X236">
        <v>460.56</v>
      </c>
    </row>
    <row r="237" spans="1:24" x14ac:dyDescent="0.25">
      <c r="A237" s="2">
        <v>100235</v>
      </c>
      <c r="B237" s="1">
        <v>45747</v>
      </c>
      <c r="C237" s="1">
        <v>45750</v>
      </c>
      <c r="D237" s="1">
        <v>45764</v>
      </c>
      <c r="E237" t="s">
        <v>502</v>
      </c>
      <c r="F237" t="s">
        <v>32</v>
      </c>
      <c r="G237" t="s">
        <v>255</v>
      </c>
      <c r="H237" t="s">
        <v>791</v>
      </c>
      <c r="I237" t="s">
        <v>416</v>
      </c>
      <c r="J237" t="s">
        <v>80</v>
      </c>
      <c r="K237" t="s">
        <v>792</v>
      </c>
      <c r="L237" t="s">
        <v>64</v>
      </c>
      <c r="M237" t="s">
        <v>65</v>
      </c>
      <c r="N237" t="s">
        <v>33</v>
      </c>
      <c r="O237" t="s">
        <v>34</v>
      </c>
      <c r="P237" t="s">
        <v>123</v>
      </c>
      <c r="Q237">
        <v>111</v>
      </c>
      <c r="R237">
        <v>130.06</v>
      </c>
      <c r="S237">
        <v>14436.66</v>
      </c>
      <c r="T237">
        <v>13.39</v>
      </c>
      <c r="U237">
        <v>14</v>
      </c>
      <c r="V237">
        <v>1773</v>
      </c>
      <c r="W237" t="s">
        <v>57</v>
      </c>
      <c r="X237">
        <v>3312.82</v>
      </c>
    </row>
    <row r="238" spans="1:24" x14ac:dyDescent="0.25">
      <c r="A238" s="2">
        <v>100236</v>
      </c>
      <c r="B238" s="1">
        <v>45296</v>
      </c>
      <c r="C238" s="1">
        <v>45299</v>
      </c>
      <c r="D238" s="1">
        <v>45303</v>
      </c>
      <c r="E238" t="s">
        <v>793</v>
      </c>
      <c r="F238" t="s">
        <v>65</v>
      </c>
      <c r="G238" t="s">
        <v>70</v>
      </c>
      <c r="H238" t="s">
        <v>794</v>
      </c>
      <c r="I238" t="s">
        <v>238</v>
      </c>
      <c r="J238" t="s">
        <v>62</v>
      </c>
      <c r="K238" t="s">
        <v>545</v>
      </c>
      <c r="L238" t="s">
        <v>118</v>
      </c>
      <c r="M238" t="s">
        <v>32</v>
      </c>
      <c r="N238" t="s">
        <v>33</v>
      </c>
      <c r="O238" t="s">
        <v>34</v>
      </c>
      <c r="P238" t="s">
        <v>68</v>
      </c>
      <c r="Q238">
        <v>420</v>
      </c>
      <c r="R238">
        <v>39.25</v>
      </c>
      <c r="S238">
        <v>16485</v>
      </c>
      <c r="T238">
        <v>55.73</v>
      </c>
      <c r="U238">
        <v>4</v>
      </c>
      <c r="V238">
        <v>3083</v>
      </c>
      <c r="W238" t="s">
        <v>36</v>
      </c>
      <c r="X238">
        <v>931.9</v>
      </c>
    </row>
    <row r="239" spans="1:24" x14ac:dyDescent="0.25">
      <c r="A239" s="2">
        <v>100237</v>
      </c>
      <c r="B239" s="1">
        <v>45889</v>
      </c>
      <c r="C239" s="1">
        <v>45894</v>
      </c>
      <c r="D239" s="1">
        <v>45905</v>
      </c>
      <c r="E239" t="s">
        <v>795</v>
      </c>
      <c r="F239" t="s">
        <v>32</v>
      </c>
      <c r="G239" t="s">
        <v>273</v>
      </c>
      <c r="H239" t="s">
        <v>796</v>
      </c>
      <c r="I239" t="s">
        <v>416</v>
      </c>
      <c r="J239" t="s">
        <v>80</v>
      </c>
      <c r="K239" t="s">
        <v>797</v>
      </c>
      <c r="L239" t="s">
        <v>64</v>
      </c>
      <c r="M239" t="s">
        <v>38</v>
      </c>
      <c r="N239" t="s">
        <v>55</v>
      </c>
      <c r="O239" t="s">
        <v>56</v>
      </c>
      <c r="P239" t="s">
        <v>76</v>
      </c>
      <c r="Q239">
        <v>12</v>
      </c>
      <c r="R239">
        <v>91.38</v>
      </c>
      <c r="S239">
        <v>1096.56</v>
      </c>
      <c r="T239">
        <v>8.24</v>
      </c>
      <c r="U239">
        <v>11</v>
      </c>
      <c r="V239">
        <v>1166</v>
      </c>
      <c r="W239" t="s">
        <v>36</v>
      </c>
      <c r="X239">
        <v>241.66</v>
      </c>
    </row>
    <row r="240" spans="1:24" x14ac:dyDescent="0.25">
      <c r="A240" s="2">
        <v>100238</v>
      </c>
      <c r="B240" s="1">
        <v>45622</v>
      </c>
      <c r="C240" s="1">
        <v>45626</v>
      </c>
      <c r="D240" s="1">
        <v>45628</v>
      </c>
      <c r="E240" t="s">
        <v>798</v>
      </c>
      <c r="F240" t="s">
        <v>54</v>
      </c>
      <c r="G240" t="s">
        <v>225</v>
      </c>
      <c r="H240" t="s">
        <v>799</v>
      </c>
      <c r="I240" t="s">
        <v>116</v>
      </c>
      <c r="J240" t="s">
        <v>62</v>
      </c>
      <c r="K240" t="s">
        <v>800</v>
      </c>
      <c r="L240" t="s">
        <v>44</v>
      </c>
      <c r="M240" t="s">
        <v>25</v>
      </c>
      <c r="N240" t="s">
        <v>107</v>
      </c>
      <c r="O240" t="s">
        <v>108</v>
      </c>
      <c r="P240" t="s">
        <v>68</v>
      </c>
      <c r="Q240">
        <v>455</v>
      </c>
      <c r="R240">
        <v>30.63</v>
      </c>
      <c r="S240">
        <v>13936.65</v>
      </c>
      <c r="T240">
        <v>58</v>
      </c>
      <c r="U240">
        <v>2</v>
      </c>
      <c r="V240">
        <v>656</v>
      </c>
      <c r="W240" t="s">
        <v>36</v>
      </c>
      <c r="X240">
        <v>1714.23</v>
      </c>
    </row>
    <row r="241" spans="1:24" x14ac:dyDescent="0.25">
      <c r="A241" s="2">
        <v>100239</v>
      </c>
      <c r="B241" s="1">
        <v>45445</v>
      </c>
      <c r="C241" s="1">
        <v>45450</v>
      </c>
      <c r="D241" s="1">
        <v>45457</v>
      </c>
      <c r="E241" t="s">
        <v>801</v>
      </c>
      <c r="F241" t="s">
        <v>54</v>
      </c>
      <c r="G241" t="s">
        <v>225</v>
      </c>
      <c r="H241" t="s">
        <v>802</v>
      </c>
      <c r="I241" t="s">
        <v>182</v>
      </c>
      <c r="J241" t="s">
        <v>80</v>
      </c>
      <c r="K241" t="s">
        <v>711</v>
      </c>
      <c r="L241" t="s">
        <v>212</v>
      </c>
      <c r="M241" t="s">
        <v>25</v>
      </c>
      <c r="N241" t="s">
        <v>66</v>
      </c>
      <c r="O241" t="s">
        <v>67</v>
      </c>
      <c r="P241" t="s">
        <v>123</v>
      </c>
      <c r="Q241">
        <v>363</v>
      </c>
      <c r="R241">
        <v>256.48</v>
      </c>
      <c r="S241">
        <v>93102.24</v>
      </c>
      <c r="T241">
        <v>19.510000000000002</v>
      </c>
      <c r="U241">
        <v>7</v>
      </c>
      <c r="V241">
        <v>1884</v>
      </c>
      <c r="W241" t="s">
        <v>36</v>
      </c>
      <c r="X241">
        <v>22433.919999999998</v>
      </c>
    </row>
    <row r="242" spans="1:24" x14ac:dyDescent="0.25">
      <c r="A242" s="2">
        <v>100240</v>
      </c>
      <c r="B242" s="1">
        <v>45299</v>
      </c>
      <c r="C242" s="1">
        <v>45304</v>
      </c>
      <c r="D242" s="1">
        <v>45308</v>
      </c>
      <c r="E242" t="s">
        <v>803</v>
      </c>
      <c r="F242" t="s">
        <v>25</v>
      </c>
      <c r="G242" t="s">
        <v>233</v>
      </c>
      <c r="H242" t="s">
        <v>804</v>
      </c>
      <c r="I242" t="s">
        <v>79</v>
      </c>
      <c r="J242" t="s">
        <v>80</v>
      </c>
      <c r="K242" t="s">
        <v>573</v>
      </c>
      <c r="L242" t="s">
        <v>64</v>
      </c>
      <c r="M242" t="s">
        <v>32</v>
      </c>
      <c r="N242" t="s">
        <v>102</v>
      </c>
      <c r="O242" t="s">
        <v>103</v>
      </c>
      <c r="P242" t="s">
        <v>68</v>
      </c>
      <c r="Q242">
        <v>90</v>
      </c>
      <c r="R242">
        <v>90.44</v>
      </c>
      <c r="S242">
        <v>8139.6</v>
      </c>
      <c r="T242">
        <v>34.340000000000003</v>
      </c>
      <c r="U242">
        <v>4</v>
      </c>
      <c r="V242">
        <v>1927</v>
      </c>
      <c r="W242" t="s">
        <v>36</v>
      </c>
      <c r="X242">
        <v>2030.39</v>
      </c>
    </row>
    <row r="243" spans="1:24" x14ac:dyDescent="0.25">
      <c r="A243" s="2">
        <v>100241</v>
      </c>
      <c r="B243" s="1">
        <v>45803</v>
      </c>
      <c r="C243" s="1">
        <v>45806</v>
      </c>
      <c r="D243" s="1">
        <v>45825</v>
      </c>
      <c r="E243" t="s">
        <v>805</v>
      </c>
      <c r="F243" t="s">
        <v>32</v>
      </c>
      <c r="G243" t="s">
        <v>137</v>
      </c>
      <c r="H243" t="s">
        <v>806</v>
      </c>
      <c r="I243" t="s">
        <v>198</v>
      </c>
      <c r="J243" t="s">
        <v>52</v>
      </c>
      <c r="K243" t="s">
        <v>807</v>
      </c>
      <c r="L243" t="s">
        <v>44</v>
      </c>
      <c r="M243" t="s">
        <v>38</v>
      </c>
      <c r="N243" t="s">
        <v>66</v>
      </c>
      <c r="O243" t="s">
        <v>67</v>
      </c>
      <c r="P243" t="s">
        <v>76</v>
      </c>
      <c r="Q243">
        <v>369</v>
      </c>
      <c r="R243">
        <v>77.540000000000006</v>
      </c>
      <c r="S243">
        <v>28612.26</v>
      </c>
      <c r="T243">
        <v>14.74</v>
      </c>
      <c r="U243">
        <v>19</v>
      </c>
      <c r="V243">
        <v>2703</v>
      </c>
      <c r="W243" t="s">
        <v>36</v>
      </c>
      <c r="X243">
        <v>2902.42</v>
      </c>
    </row>
    <row r="244" spans="1:24" x14ac:dyDescent="0.25">
      <c r="A244" s="2">
        <v>100242</v>
      </c>
      <c r="B244" s="1">
        <v>45944</v>
      </c>
      <c r="C244" s="1">
        <v>45948</v>
      </c>
      <c r="D244" s="1">
        <v>45950</v>
      </c>
      <c r="E244" t="s">
        <v>808</v>
      </c>
      <c r="F244" t="s">
        <v>32</v>
      </c>
      <c r="G244" t="s">
        <v>273</v>
      </c>
      <c r="H244" t="s">
        <v>809</v>
      </c>
      <c r="I244" t="s">
        <v>28</v>
      </c>
      <c r="J244" t="s">
        <v>29</v>
      </c>
      <c r="K244" t="s">
        <v>810</v>
      </c>
      <c r="L244" t="s">
        <v>64</v>
      </c>
      <c r="M244" t="s">
        <v>38</v>
      </c>
      <c r="N244" t="s">
        <v>107</v>
      </c>
      <c r="O244" t="s">
        <v>108</v>
      </c>
      <c r="P244" t="s">
        <v>68</v>
      </c>
      <c r="Q244">
        <v>43</v>
      </c>
      <c r="R244">
        <v>119.26</v>
      </c>
      <c r="S244">
        <v>5128.18</v>
      </c>
      <c r="T244">
        <v>31.3</v>
      </c>
      <c r="U244">
        <v>2</v>
      </c>
      <c r="V244">
        <v>750</v>
      </c>
      <c r="W244" t="s">
        <v>36</v>
      </c>
      <c r="X244">
        <v>862.77</v>
      </c>
    </row>
    <row r="245" spans="1:24" x14ac:dyDescent="0.25">
      <c r="A245" s="2">
        <v>100243</v>
      </c>
      <c r="B245" s="1">
        <v>45920</v>
      </c>
      <c r="C245" s="1">
        <v>45925</v>
      </c>
      <c r="D245" s="1">
        <v>45933</v>
      </c>
      <c r="E245" t="s">
        <v>811</v>
      </c>
      <c r="F245" t="s">
        <v>65</v>
      </c>
      <c r="G245" t="s">
        <v>70</v>
      </c>
      <c r="H245" t="s">
        <v>812</v>
      </c>
      <c r="I245" t="s">
        <v>134</v>
      </c>
      <c r="J245" t="s">
        <v>52</v>
      </c>
      <c r="K245" t="s">
        <v>371</v>
      </c>
      <c r="L245" t="s">
        <v>122</v>
      </c>
      <c r="M245" t="s">
        <v>65</v>
      </c>
      <c r="N245" t="s">
        <v>55</v>
      </c>
      <c r="O245" t="s">
        <v>56</v>
      </c>
      <c r="P245" t="s">
        <v>35</v>
      </c>
      <c r="Q245">
        <v>283</v>
      </c>
      <c r="R245">
        <v>89.38</v>
      </c>
      <c r="S245">
        <v>25294.54</v>
      </c>
      <c r="T245">
        <v>15.18</v>
      </c>
      <c r="U245">
        <v>8</v>
      </c>
      <c r="V245">
        <v>2203</v>
      </c>
      <c r="W245" t="s">
        <v>36</v>
      </c>
      <c r="X245">
        <v>4541.51</v>
      </c>
    </row>
    <row r="246" spans="1:24" x14ac:dyDescent="0.25">
      <c r="A246" s="2">
        <v>100244</v>
      </c>
      <c r="B246" s="1">
        <v>45445</v>
      </c>
      <c r="C246" s="1">
        <v>45449</v>
      </c>
      <c r="D246" s="1">
        <v>45457</v>
      </c>
      <c r="E246" t="s">
        <v>813</v>
      </c>
      <c r="F246" t="s">
        <v>38</v>
      </c>
      <c r="G246" t="s">
        <v>49</v>
      </c>
      <c r="H246" t="s">
        <v>814</v>
      </c>
      <c r="I246" t="s">
        <v>144</v>
      </c>
      <c r="J246" t="s">
        <v>52</v>
      </c>
      <c r="K246" t="s">
        <v>815</v>
      </c>
      <c r="L246" t="s">
        <v>122</v>
      </c>
      <c r="M246" t="s">
        <v>32</v>
      </c>
      <c r="N246" t="s">
        <v>55</v>
      </c>
      <c r="O246" t="s">
        <v>56</v>
      </c>
      <c r="P246" t="s">
        <v>35</v>
      </c>
      <c r="Q246">
        <v>398</v>
      </c>
      <c r="R246">
        <v>10.95</v>
      </c>
      <c r="S246">
        <v>4358.1000000000004</v>
      </c>
      <c r="T246">
        <v>23.76</v>
      </c>
      <c r="U246">
        <v>8</v>
      </c>
      <c r="V246">
        <v>2601</v>
      </c>
      <c r="W246" t="s">
        <v>36</v>
      </c>
      <c r="X246">
        <v>525.71</v>
      </c>
    </row>
    <row r="247" spans="1:24" x14ac:dyDescent="0.25">
      <c r="A247" s="2">
        <v>100245</v>
      </c>
      <c r="B247" s="1">
        <v>45952</v>
      </c>
      <c r="C247" s="1">
        <v>45954</v>
      </c>
      <c r="D247" s="1">
        <v>45958</v>
      </c>
      <c r="E247" t="s">
        <v>816</v>
      </c>
      <c r="F247" t="s">
        <v>38</v>
      </c>
      <c r="G247" t="s">
        <v>217</v>
      </c>
      <c r="H247" t="s">
        <v>817</v>
      </c>
      <c r="I247" t="s">
        <v>41</v>
      </c>
      <c r="J247" t="s">
        <v>42</v>
      </c>
      <c r="K247" t="s">
        <v>428</v>
      </c>
      <c r="L247" t="s">
        <v>187</v>
      </c>
      <c r="M247" t="s">
        <v>38</v>
      </c>
      <c r="N247" t="s">
        <v>107</v>
      </c>
      <c r="O247" t="s">
        <v>108</v>
      </c>
      <c r="P247" t="s">
        <v>68</v>
      </c>
      <c r="Q247">
        <v>336</v>
      </c>
      <c r="R247">
        <v>389.88</v>
      </c>
      <c r="S247">
        <v>130999.67999999999</v>
      </c>
      <c r="T247">
        <v>37.25</v>
      </c>
      <c r="U247">
        <v>4</v>
      </c>
      <c r="V247">
        <v>1718</v>
      </c>
      <c r="W247" t="s">
        <v>36</v>
      </c>
      <c r="X247">
        <v>19178.7</v>
      </c>
    </row>
    <row r="248" spans="1:24" x14ac:dyDescent="0.25">
      <c r="A248" s="2">
        <v>100246</v>
      </c>
      <c r="B248" s="1">
        <v>45919</v>
      </c>
      <c r="C248" s="1">
        <v>45923</v>
      </c>
      <c r="D248" s="1">
        <v>45945</v>
      </c>
      <c r="E248" t="s">
        <v>378</v>
      </c>
      <c r="F248" t="s">
        <v>38</v>
      </c>
      <c r="G248" t="s">
        <v>39</v>
      </c>
      <c r="H248" t="s">
        <v>818</v>
      </c>
      <c r="I248" t="s">
        <v>198</v>
      </c>
      <c r="J248" t="s">
        <v>52</v>
      </c>
      <c r="K248" t="s">
        <v>819</v>
      </c>
      <c r="L248" t="s">
        <v>113</v>
      </c>
      <c r="M248" t="s">
        <v>38</v>
      </c>
      <c r="N248" t="s">
        <v>107</v>
      </c>
      <c r="O248" t="s">
        <v>108</v>
      </c>
      <c r="P248" t="s">
        <v>76</v>
      </c>
      <c r="Q248">
        <v>484</v>
      </c>
      <c r="R248">
        <v>13.66</v>
      </c>
      <c r="S248">
        <v>6611.44</v>
      </c>
      <c r="T248">
        <v>12.47</v>
      </c>
      <c r="U248">
        <v>22</v>
      </c>
      <c r="V248">
        <v>470</v>
      </c>
      <c r="W248" t="s">
        <v>36</v>
      </c>
      <c r="X248">
        <v>532.03</v>
      </c>
    </row>
    <row r="249" spans="1:24" x14ac:dyDescent="0.25">
      <c r="A249" s="2">
        <v>100247</v>
      </c>
      <c r="B249" s="1">
        <v>45480</v>
      </c>
      <c r="C249" s="1">
        <v>45483</v>
      </c>
      <c r="D249" s="1">
        <v>45485</v>
      </c>
      <c r="E249" t="s">
        <v>820</v>
      </c>
      <c r="F249" t="s">
        <v>54</v>
      </c>
      <c r="G249" t="s">
        <v>193</v>
      </c>
      <c r="H249" t="s">
        <v>821</v>
      </c>
      <c r="I249" t="s">
        <v>207</v>
      </c>
      <c r="J249" t="s">
        <v>80</v>
      </c>
      <c r="K249" t="s">
        <v>822</v>
      </c>
      <c r="L249" t="s">
        <v>113</v>
      </c>
      <c r="M249" t="s">
        <v>25</v>
      </c>
      <c r="N249" t="s">
        <v>151</v>
      </c>
      <c r="O249" t="s">
        <v>152</v>
      </c>
      <c r="P249" t="s">
        <v>68</v>
      </c>
      <c r="Q249">
        <v>450</v>
      </c>
      <c r="R249">
        <v>183.62</v>
      </c>
      <c r="S249">
        <v>82629</v>
      </c>
      <c r="T249">
        <v>57.67</v>
      </c>
      <c r="U249">
        <v>2</v>
      </c>
      <c r="V249">
        <v>328</v>
      </c>
      <c r="W249" t="s">
        <v>36</v>
      </c>
      <c r="X249">
        <v>15037.97</v>
      </c>
    </row>
    <row r="250" spans="1:24" x14ac:dyDescent="0.25">
      <c r="A250" s="2">
        <v>100248</v>
      </c>
      <c r="B250" s="1">
        <v>45972</v>
      </c>
      <c r="C250" s="1">
        <v>45972</v>
      </c>
      <c r="D250" s="1">
        <v>45994</v>
      </c>
      <c r="E250" t="s">
        <v>490</v>
      </c>
      <c r="F250" t="s">
        <v>54</v>
      </c>
      <c r="G250" t="s">
        <v>129</v>
      </c>
      <c r="H250" t="s">
        <v>823</v>
      </c>
      <c r="I250" t="s">
        <v>182</v>
      </c>
      <c r="J250" t="s">
        <v>80</v>
      </c>
      <c r="K250" t="s">
        <v>824</v>
      </c>
      <c r="L250" t="s">
        <v>31</v>
      </c>
      <c r="M250" t="s">
        <v>65</v>
      </c>
      <c r="N250" t="s">
        <v>55</v>
      </c>
      <c r="O250" t="s">
        <v>56</v>
      </c>
      <c r="P250" t="s">
        <v>76</v>
      </c>
      <c r="Q250">
        <v>147</v>
      </c>
      <c r="R250">
        <v>102.17</v>
      </c>
      <c r="S250">
        <v>15018.99</v>
      </c>
      <c r="T250">
        <v>10.7</v>
      </c>
      <c r="U250">
        <v>22</v>
      </c>
      <c r="V250">
        <v>1688</v>
      </c>
      <c r="W250" t="s">
        <v>36</v>
      </c>
      <c r="X250">
        <v>1748.29</v>
      </c>
    </row>
    <row r="251" spans="1:24" x14ac:dyDescent="0.25">
      <c r="A251" s="2">
        <v>100249</v>
      </c>
      <c r="B251" s="1">
        <v>45329</v>
      </c>
      <c r="C251" s="1">
        <v>45331</v>
      </c>
      <c r="D251" s="1">
        <v>45355</v>
      </c>
      <c r="E251" t="s">
        <v>825</v>
      </c>
      <c r="F251" t="s">
        <v>65</v>
      </c>
      <c r="G251" t="s">
        <v>142</v>
      </c>
      <c r="H251" t="s">
        <v>826</v>
      </c>
      <c r="I251" t="s">
        <v>278</v>
      </c>
      <c r="J251" t="s">
        <v>29</v>
      </c>
      <c r="K251" t="s">
        <v>827</v>
      </c>
      <c r="L251" t="s">
        <v>91</v>
      </c>
      <c r="M251" t="s">
        <v>32</v>
      </c>
      <c r="N251" t="s">
        <v>74</v>
      </c>
      <c r="O251" t="s">
        <v>75</v>
      </c>
      <c r="P251" t="s">
        <v>76</v>
      </c>
      <c r="Q251">
        <v>323</v>
      </c>
      <c r="R251">
        <v>43.32</v>
      </c>
      <c r="S251">
        <v>13992.36</v>
      </c>
      <c r="T251">
        <v>13.91</v>
      </c>
      <c r="U251">
        <v>24</v>
      </c>
      <c r="V251">
        <v>2899</v>
      </c>
      <c r="W251" t="s">
        <v>36</v>
      </c>
      <c r="X251">
        <v>2144.94</v>
      </c>
    </row>
    <row r="252" spans="1:24" x14ac:dyDescent="0.25">
      <c r="A252" s="2">
        <v>100250</v>
      </c>
      <c r="B252" s="1">
        <v>45787</v>
      </c>
      <c r="C252" s="1">
        <v>45789</v>
      </c>
      <c r="D252" s="1">
        <v>45796</v>
      </c>
      <c r="E252" t="s">
        <v>828</v>
      </c>
      <c r="F252" t="s">
        <v>65</v>
      </c>
      <c r="G252" t="s">
        <v>70</v>
      </c>
      <c r="H252" t="s">
        <v>829</v>
      </c>
      <c r="I252" t="s">
        <v>416</v>
      </c>
      <c r="J252" t="s">
        <v>80</v>
      </c>
      <c r="K252" t="s">
        <v>830</v>
      </c>
      <c r="L252" t="s">
        <v>98</v>
      </c>
      <c r="M252" t="s">
        <v>54</v>
      </c>
      <c r="N252" t="s">
        <v>45</v>
      </c>
      <c r="O252" t="s">
        <v>46</v>
      </c>
      <c r="P252" t="s">
        <v>35</v>
      </c>
      <c r="Q252">
        <v>158</v>
      </c>
      <c r="R252">
        <v>86.38</v>
      </c>
      <c r="S252">
        <v>13648.04</v>
      </c>
      <c r="T252">
        <v>16.95</v>
      </c>
      <c r="U252">
        <v>7</v>
      </c>
      <c r="V252">
        <v>321</v>
      </c>
      <c r="W252" t="s">
        <v>36</v>
      </c>
      <c r="X252">
        <v>3169.75</v>
      </c>
    </row>
    <row r="253" spans="1:24" x14ac:dyDescent="0.25">
      <c r="A253" s="2">
        <v>100251</v>
      </c>
      <c r="B253" s="1">
        <v>45545</v>
      </c>
      <c r="C253" s="1">
        <v>45545</v>
      </c>
      <c r="D253" s="1">
        <v>45555</v>
      </c>
      <c r="E253" t="s">
        <v>831</v>
      </c>
      <c r="F253" t="s">
        <v>25</v>
      </c>
      <c r="G253" t="s">
        <v>172</v>
      </c>
      <c r="H253" t="s">
        <v>832</v>
      </c>
      <c r="I253" t="s">
        <v>177</v>
      </c>
      <c r="J253" t="s">
        <v>29</v>
      </c>
      <c r="K253" t="s">
        <v>833</v>
      </c>
      <c r="L253" t="s">
        <v>212</v>
      </c>
      <c r="M253" t="s">
        <v>54</v>
      </c>
      <c r="N253" t="s">
        <v>45</v>
      </c>
      <c r="O253" t="s">
        <v>46</v>
      </c>
      <c r="P253" t="s">
        <v>76</v>
      </c>
      <c r="Q253">
        <v>120</v>
      </c>
      <c r="R253">
        <v>88.59</v>
      </c>
      <c r="S253">
        <v>10630.8</v>
      </c>
      <c r="T253">
        <v>10.210000000000001</v>
      </c>
      <c r="U253">
        <v>10</v>
      </c>
      <c r="V253">
        <v>3114</v>
      </c>
      <c r="W253" t="s">
        <v>36</v>
      </c>
      <c r="X253">
        <v>2559.23</v>
      </c>
    </row>
    <row r="254" spans="1:24" x14ac:dyDescent="0.25">
      <c r="A254" s="2">
        <v>100252</v>
      </c>
      <c r="B254" s="1">
        <v>45372</v>
      </c>
      <c r="C254" s="1">
        <v>45372</v>
      </c>
      <c r="D254" s="1">
        <v>45396</v>
      </c>
      <c r="E254" t="s">
        <v>136</v>
      </c>
      <c r="F254" t="s">
        <v>65</v>
      </c>
      <c r="G254" t="s">
        <v>142</v>
      </c>
      <c r="H254" t="s">
        <v>834</v>
      </c>
      <c r="I254" t="s">
        <v>28</v>
      </c>
      <c r="J254" t="s">
        <v>29</v>
      </c>
      <c r="K254" t="s">
        <v>835</v>
      </c>
      <c r="L254" t="s">
        <v>122</v>
      </c>
      <c r="M254" t="s">
        <v>54</v>
      </c>
      <c r="N254" t="s">
        <v>102</v>
      </c>
      <c r="O254" t="s">
        <v>103</v>
      </c>
      <c r="P254" t="s">
        <v>76</v>
      </c>
      <c r="Q254">
        <v>432</v>
      </c>
      <c r="R254">
        <v>60.79</v>
      </c>
      <c r="S254">
        <v>26261.279999999999</v>
      </c>
      <c r="T254">
        <v>15.89</v>
      </c>
      <c r="U254">
        <v>24</v>
      </c>
      <c r="V254">
        <v>3222</v>
      </c>
      <c r="W254" t="s">
        <v>36</v>
      </c>
      <c r="X254">
        <v>7077.13</v>
      </c>
    </row>
    <row r="255" spans="1:24" x14ac:dyDescent="0.25">
      <c r="A255" s="2">
        <v>100253</v>
      </c>
      <c r="B255" s="1">
        <v>45709</v>
      </c>
      <c r="C255" s="1">
        <v>45711</v>
      </c>
      <c r="D255" s="1">
        <v>45723</v>
      </c>
      <c r="E255" t="s">
        <v>836</v>
      </c>
      <c r="F255" t="s">
        <v>54</v>
      </c>
      <c r="G255" t="s">
        <v>165</v>
      </c>
      <c r="H255" t="s">
        <v>837</v>
      </c>
      <c r="I255" t="s">
        <v>416</v>
      </c>
      <c r="J255" t="s">
        <v>80</v>
      </c>
      <c r="K255" t="s">
        <v>838</v>
      </c>
      <c r="L255" t="s">
        <v>44</v>
      </c>
      <c r="M255" t="s">
        <v>54</v>
      </c>
      <c r="N255" t="s">
        <v>102</v>
      </c>
      <c r="O255" t="s">
        <v>103</v>
      </c>
      <c r="P255" t="s">
        <v>123</v>
      </c>
      <c r="Q255">
        <v>349</v>
      </c>
      <c r="R255">
        <v>343.34</v>
      </c>
      <c r="S255">
        <v>119825.66</v>
      </c>
      <c r="T255">
        <v>14.2</v>
      </c>
      <c r="U255">
        <v>12</v>
      </c>
      <c r="V255">
        <v>1588</v>
      </c>
      <c r="W255" t="s">
        <v>36</v>
      </c>
      <c r="X255">
        <v>27230.42</v>
      </c>
    </row>
    <row r="256" spans="1:24" x14ac:dyDescent="0.25">
      <c r="A256" s="2">
        <v>100254</v>
      </c>
      <c r="B256" s="1">
        <v>45483</v>
      </c>
      <c r="C256" s="1">
        <v>45483</v>
      </c>
      <c r="D256" s="1">
        <v>45487</v>
      </c>
      <c r="E256" t="s">
        <v>839</v>
      </c>
      <c r="F256" t="s">
        <v>32</v>
      </c>
      <c r="G256" t="s">
        <v>273</v>
      </c>
      <c r="H256" t="s">
        <v>840</v>
      </c>
      <c r="I256" t="s">
        <v>134</v>
      </c>
      <c r="J256" t="s">
        <v>52</v>
      </c>
      <c r="K256" t="s">
        <v>841</v>
      </c>
      <c r="L256" t="s">
        <v>187</v>
      </c>
      <c r="M256" t="s">
        <v>25</v>
      </c>
      <c r="N256" t="s">
        <v>107</v>
      </c>
      <c r="O256" t="s">
        <v>108</v>
      </c>
      <c r="P256" t="s">
        <v>123</v>
      </c>
      <c r="Q256">
        <v>137</v>
      </c>
      <c r="R256">
        <v>82.34</v>
      </c>
      <c r="S256">
        <v>11280.58</v>
      </c>
      <c r="T256">
        <v>14.02</v>
      </c>
      <c r="U256">
        <v>4</v>
      </c>
      <c r="V256">
        <v>568</v>
      </c>
      <c r="W256" t="s">
        <v>47</v>
      </c>
      <c r="X256">
        <v>-242.86</v>
      </c>
    </row>
    <row r="257" spans="1:24" x14ac:dyDescent="0.25">
      <c r="A257" s="2">
        <v>100255</v>
      </c>
      <c r="B257" s="1">
        <v>45992</v>
      </c>
      <c r="C257" s="1">
        <v>45995</v>
      </c>
      <c r="D257" s="1">
        <v>46006</v>
      </c>
      <c r="E257" t="s">
        <v>842</v>
      </c>
      <c r="F257" t="s">
        <v>38</v>
      </c>
      <c r="G257" t="s">
        <v>39</v>
      </c>
      <c r="H257" t="s">
        <v>843</v>
      </c>
      <c r="I257" t="s">
        <v>368</v>
      </c>
      <c r="J257" t="s">
        <v>29</v>
      </c>
      <c r="K257" t="s">
        <v>844</v>
      </c>
      <c r="L257" t="s">
        <v>187</v>
      </c>
      <c r="M257" t="s">
        <v>25</v>
      </c>
      <c r="N257" t="s">
        <v>203</v>
      </c>
      <c r="O257" t="s">
        <v>204</v>
      </c>
      <c r="P257" t="s">
        <v>123</v>
      </c>
      <c r="Q257">
        <v>490</v>
      </c>
      <c r="R257">
        <v>116.37</v>
      </c>
      <c r="S257">
        <v>57021.3</v>
      </c>
      <c r="T257">
        <v>22.6</v>
      </c>
      <c r="U257">
        <v>11</v>
      </c>
      <c r="V257">
        <v>2536</v>
      </c>
      <c r="W257" t="s">
        <v>36</v>
      </c>
      <c r="X257">
        <v>11179.4</v>
      </c>
    </row>
    <row r="258" spans="1:24" x14ac:dyDescent="0.25">
      <c r="A258" s="2">
        <v>100256</v>
      </c>
      <c r="B258" s="1">
        <v>45531</v>
      </c>
      <c r="C258" s="1">
        <v>45536</v>
      </c>
      <c r="D258" s="1">
        <v>45548</v>
      </c>
      <c r="E258" t="s">
        <v>845</v>
      </c>
      <c r="F258" t="s">
        <v>65</v>
      </c>
      <c r="G258" t="s">
        <v>142</v>
      </c>
      <c r="H258" t="s">
        <v>846</v>
      </c>
      <c r="I258" t="s">
        <v>177</v>
      </c>
      <c r="J258" t="s">
        <v>29</v>
      </c>
      <c r="K258" t="s">
        <v>847</v>
      </c>
      <c r="L258" t="s">
        <v>64</v>
      </c>
      <c r="M258" t="s">
        <v>25</v>
      </c>
      <c r="N258" t="s">
        <v>203</v>
      </c>
      <c r="O258" t="s">
        <v>204</v>
      </c>
      <c r="P258" t="s">
        <v>76</v>
      </c>
      <c r="Q258">
        <v>467</v>
      </c>
      <c r="R258">
        <v>98.97</v>
      </c>
      <c r="S258">
        <v>46218.99</v>
      </c>
      <c r="T258">
        <v>16.53</v>
      </c>
      <c r="U258">
        <v>12</v>
      </c>
      <c r="V258">
        <v>3316</v>
      </c>
      <c r="W258" t="s">
        <v>36</v>
      </c>
      <c r="X258">
        <v>12660.54</v>
      </c>
    </row>
    <row r="259" spans="1:24" x14ac:dyDescent="0.25">
      <c r="A259" s="2">
        <v>100257</v>
      </c>
      <c r="B259" s="1">
        <v>45810</v>
      </c>
      <c r="C259" s="1">
        <v>45815</v>
      </c>
      <c r="D259" s="1">
        <v>45824</v>
      </c>
      <c r="E259" t="s">
        <v>848</v>
      </c>
      <c r="F259" t="s">
        <v>38</v>
      </c>
      <c r="G259" t="s">
        <v>147</v>
      </c>
      <c r="H259" t="s">
        <v>849</v>
      </c>
      <c r="I259" t="s">
        <v>238</v>
      </c>
      <c r="J259" t="s">
        <v>62</v>
      </c>
      <c r="K259" t="s">
        <v>850</v>
      </c>
      <c r="L259" t="s">
        <v>118</v>
      </c>
      <c r="M259" t="s">
        <v>65</v>
      </c>
      <c r="N259" t="s">
        <v>33</v>
      </c>
      <c r="O259" t="s">
        <v>34</v>
      </c>
      <c r="P259" t="s">
        <v>35</v>
      </c>
      <c r="Q259">
        <v>188</v>
      </c>
      <c r="R259">
        <v>5.55</v>
      </c>
      <c r="S259">
        <v>1043.4000000000001</v>
      </c>
      <c r="T259">
        <v>17.8</v>
      </c>
      <c r="U259">
        <v>9</v>
      </c>
      <c r="V259">
        <v>4859</v>
      </c>
      <c r="W259" t="s">
        <v>36</v>
      </c>
      <c r="X259">
        <v>37.06</v>
      </c>
    </row>
    <row r="260" spans="1:24" x14ac:dyDescent="0.25">
      <c r="A260" s="2">
        <v>100258</v>
      </c>
      <c r="B260" s="1">
        <v>45574</v>
      </c>
      <c r="C260" s="1">
        <v>45577</v>
      </c>
      <c r="D260" s="1">
        <v>45581</v>
      </c>
      <c r="E260" t="s">
        <v>851</v>
      </c>
      <c r="F260" t="s">
        <v>38</v>
      </c>
      <c r="G260" t="s">
        <v>39</v>
      </c>
      <c r="H260" t="s">
        <v>852</v>
      </c>
      <c r="I260" t="s">
        <v>134</v>
      </c>
      <c r="J260" t="s">
        <v>52</v>
      </c>
      <c r="K260" t="s">
        <v>658</v>
      </c>
      <c r="L260" t="s">
        <v>212</v>
      </c>
      <c r="M260" t="s">
        <v>38</v>
      </c>
      <c r="N260" t="s">
        <v>33</v>
      </c>
      <c r="O260" t="s">
        <v>34</v>
      </c>
      <c r="P260" t="s">
        <v>123</v>
      </c>
      <c r="Q260">
        <v>78</v>
      </c>
      <c r="R260">
        <v>13.6</v>
      </c>
      <c r="S260">
        <v>1060.8</v>
      </c>
      <c r="T260">
        <v>9.32</v>
      </c>
      <c r="U260">
        <v>4</v>
      </c>
      <c r="V260">
        <v>3304</v>
      </c>
      <c r="W260" t="s">
        <v>36</v>
      </c>
      <c r="X260">
        <v>159.46</v>
      </c>
    </row>
    <row r="261" spans="1:24" x14ac:dyDescent="0.25">
      <c r="A261" s="2">
        <v>100259</v>
      </c>
      <c r="B261" s="1">
        <v>45741</v>
      </c>
      <c r="C261" s="1">
        <v>45746</v>
      </c>
      <c r="D261" s="1">
        <v>45770</v>
      </c>
      <c r="E261" t="s">
        <v>853</v>
      </c>
      <c r="F261" t="s">
        <v>25</v>
      </c>
      <c r="G261" t="s">
        <v>233</v>
      </c>
      <c r="H261" t="s">
        <v>854</v>
      </c>
      <c r="I261" t="s">
        <v>278</v>
      </c>
      <c r="J261" t="s">
        <v>29</v>
      </c>
      <c r="K261" t="s">
        <v>855</v>
      </c>
      <c r="L261" t="s">
        <v>118</v>
      </c>
      <c r="M261" t="s">
        <v>65</v>
      </c>
      <c r="N261" t="s">
        <v>66</v>
      </c>
      <c r="O261" t="s">
        <v>67</v>
      </c>
      <c r="P261" t="s">
        <v>76</v>
      </c>
      <c r="Q261">
        <v>191</v>
      </c>
      <c r="R261">
        <v>90.68</v>
      </c>
      <c r="S261">
        <v>17319.88</v>
      </c>
      <c r="T261">
        <v>11.5</v>
      </c>
      <c r="U261">
        <v>24</v>
      </c>
      <c r="V261">
        <v>364</v>
      </c>
      <c r="W261" t="s">
        <v>36</v>
      </c>
      <c r="X261">
        <v>4321.7299999999996</v>
      </c>
    </row>
    <row r="262" spans="1:24" x14ac:dyDescent="0.25">
      <c r="A262" s="2">
        <v>100260</v>
      </c>
      <c r="B262" s="1">
        <v>45320</v>
      </c>
      <c r="C262" s="1">
        <v>45321</v>
      </c>
      <c r="D262" s="1">
        <v>45345</v>
      </c>
      <c r="E262" t="s">
        <v>856</v>
      </c>
      <c r="F262" t="s">
        <v>38</v>
      </c>
      <c r="G262" t="s">
        <v>147</v>
      </c>
      <c r="H262" t="s">
        <v>857</v>
      </c>
      <c r="I262" t="s">
        <v>79</v>
      </c>
      <c r="J262" t="s">
        <v>80</v>
      </c>
      <c r="K262" t="s">
        <v>858</v>
      </c>
      <c r="L262" t="s">
        <v>187</v>
      </c>
      <c r="M262" t="s">
        <v>25</v>
      </c>
      <c r="N262" t="s">
        <v>151</v>
      </c>
      <c r="O262" t="s">
        <v>152</v>
      </c>
      <c r="P262" t="s">
        <v>76</v>
      </c>
      <c r="Q262">
        <v>211</v>
      </c>
      <c r="R262">
        <v>95.6</v>
      </c>
      <c r="S262">
        <v>20171.599999999999</v>
      </c>
      <c r="T262">
        <v>11.86</v>
      </c>
      <c r="U262">
        <v>24</v>
      </c>
      <c r="V262">
        <v>567</v>
      </c>
      <c r="W262" t="s">
        <v>36</v>
      </c>
      <c r="X262">
        <v>4201.57</v>
      </c>
    </row>
    <row r="263" spans="1:24" x14ac:dyDescent="0.25">
      <c r="A263" s="2">
        <v>100261</v>
      </c>
      <c r="B263" s="1">
        <v>45759</v>
      </c>
      <c r="C263" s="1">
        <v>45759</v>
      </c>
      <c r="D263" s="1">
        <v>45769</v>
      </c>
      <c r="E263" t="s">
        <v>859</v>
      </c>
      <c r="F263" t="s">
        <v>65</v>
      </c>
      <c r="G263" t="s">
        <v>154</v>
      </c>
      <c r="H263" t="s">
        <v>860</v>
      </c>
      <c r="I263" t="s">
        <v>51</v>
      </c>
      <c r="J263" t="s">
        <v>52</v>
      </c>
      <c r="K263" t="s">
        <v>861</v>
      </c>
      <c r="L263" t="s">
        <v>122</v>
      </c>
      <c r="M263" t="s">
        <v>38</v>
      </c>
      <c r="N263" t="s">
        <v>102</v>
      </c>
      <c r="O263" t="s">
        <v>103</v>
      </c>
      <c r="P263" t="s">
        <v>76</v>
      </c>
      <c r="Q263">
        <v>107</v>
      </c>
      <c r="R263">
        <v>47.61</v>
      </c>
      <c r="S263">
        <v>5094.2700000000004</v>
      </c>
      <c r="T263">
        <v>9.9700000000000006</v>
      </c>
      <c r="U263">
        <v>10</v>
      </c>
      <c r="V263">
        <v>407</v>
      </c>
      <c r="W263" t="s">
        <v>36</v>
      </c>
      <c r="X263">
        <v>803.44</v>
      </c>
    </row>
    <row r="264" spans="1:24" x14ac:dyDescent="0.25">
      <c r="A264" s="2">
        <v>100262</v>
      </c>
      <c r="B264" s="1">
        <v>45730</v>
      </c>
      <c r="C264" s="1">
        <v>45732</v>
      </c>
      <c r="D264" s="1">
        <v>45754</v>
      </c>
      <c r="E264" t="s">
        <v>862</v>
      </c>
      <c r="F264" t="s">
        <v>65</v>
      </c>
      <c r="G264" t="s">
        <v>142</v>
      </c>
      <c r="H264" t="s">
        <v>863</v>
      </c>
      <c r="I264" t="s">
        <v>28</v>
      </c>
      <c r="J264" t="s">
        <v>29</v>
      </c>
      <c r="K264" t="s">
        <v>864</v>
      </c>
      <c r="L264" t="s">
        <v>91</v>
      </c>
      <c r="M264" t="s">
        <v>38</v>
      </c>
      <c r="N264" t="s">
        <v>107</v>
      </c>
      <c r="O264" t="s">
        <v>108</v>
      </c>
      <c r="P264" t="s">
        <v>76</v>
      </c>
      <c r="Q264">
        <v>447</v>
      </c>
      <c r="R264">
        <v>86.54</v>
      </c>
      <c r="S264">
        <v>38683.379999999997</v>
      </c>
      <c r="T264">
        <v>16.170000000000002</v>
      </c>
      <c r="U264">
        <v>22</v>
      </c>
      <c r="V264">
        <v>552</v>
      </c>
      <c r="W264" t="s">
        <v>36</v>
      </c>
      <c r="X264">
        <v>5334.27</v>
      </c>
    </row>
    <row r="265" spans="1:24" x14ac:dyDescent="0.25">
      <c r="A265" s="2">
        <v>100263</v>
      </c>
      <c r="B265" s="1">
        <v>46010</v>
      </c>
      <c r="C265" s="1">
        <v>46012</v>
      </c>
      <c r="D265" s="1">
        <v>46014</v>
      </c>
      <c r="E265" t="s">
        <v>865</v>
      </c>
      <c r="F265" t="s">
        <v>38</v>
      </c>
      <c r="G265" t="s">
        <v>147</v>
      </c>
      <c r="H265" t="s">
        <v>866</v>
      </c>
      <c r="I265" t="s">
        <v>51</v>
      </c>
      <c r="J265" t="s">
        <v>52</v>
      </c>
      <c r="K265" t="s">
        <v>867</v>
      </c>
      <c r="L265" t="s">
        <v>212</v>
      </c>
      <c r="M265" t="s">
        <v>65</v>
      </c>
      <c r="N265" t="s">
        <v>92</v>
      </c>
      <c r="O265" t="s">
        <v>93</v>
      </c>
      <c r="P265" t="s">
        <v>68</v>
      </c>
      <c r="Q265">
        <v>109</v>
      </c>
      <c r="R265">
        <v>28.46</v>
      </c>
      <c r="S265">
        <v>3102.14</v>
      </c>
      <c r="T265">
        <v>35.58</v>
      </c>
      <c r="U265">
        <v>2</v>
      </c>
      <c r="V265">
        <v>2505</v>
      </c>
      <c r="W265" t="s">
        <v>36</v>
      </c>
      <c r="X265">
        <v>563.37</v>
      </c>
    </row>
    <row r="266" spans="1:24" x14ac:dyDescent="0.25">
      <c r="A266" s="2">
        <v>100264</v>
      </c>
      <c r="B266" s="1">
        <v>45557</v>
      </c>
      <c r="C266" s="1">
        <v>45561</v>
      </c>
      <c r="D266" s="1">
        <v>45568</v>
      </c>
      <c r="E266" t="s">
        <v>868</v>
      </c>
      <c r="F266" t="s">
        <v>65</v>
      </c>
      <c r="G266" t="s">
        <v>154</v>
      </c>
      <c r="H266" t="s">
        <v>869</v>
      </c>
      <c r="I266" t="s">
        <v>72</v>
      </c>
      <c r="J266" t="s">
        <v>42</v>
      </c>
      <c r="K266" t="s">
        <v>870</v>
      </c>
      <c r="L266" t="s">
        <v>212</v>
      </c>
      <c r="M266" t="s">
        <v>65</v>
      </c>
      <c r="N266" t="s">
        <v>151</v>
      </c>
      <c r="O266" t="s">
        <v>152</v>
      </c>
      <c r="P266" t="s">
        <v>35</v>
      </c>
      <c r="Q266">
        <v>107</v>
      </c>
      <c r="R266">
        <v>205.69</v>
      </c>
      <c r="S266">
        <v>22008.83</v>
      </c>
      <c r="T266">
        <v>11.49</v>
      </c>
      <c r="U266">
        <v>7</v>
      </c>
      <c r="V266">
        <v>333</v>
      </c>
      <c r="W266" t="s">
        <v>36</v>
      </c>
      <c r="X266">
        <v>4634.08</v>
      </c>
    </row>
    <row r="267" spans="1:24" x14ac:dyDescent="0.25">
      <c r="A267" s="2">
        <v>100265</v>
      </c>
      <c r="B267" s="1">
        <v>45374</v>
      </c>
      <c r="C267" s="1">
        <v>45374</v>
      </c>
      <c r="D267" s="1">
        <v>45387</v>
      </c>
      <c r="E267" t="s">
        <v>871</v>
      </c>
      <c r="F267" t="s">
        <v>65</v>
      </c>
      <c r="G267" t="s">
        <v>142</v>
      </c>
      <c r="H267" t="s">
        <v>872</v>
      </c>
      <c r="I267" t="s">
        <v>144</v>
      </c>
      <c r="J267" t="s">
        <v>52</v>
      </c>
      <c r="K267" t="s">
        <v>340</v>
      </c>
      <c r="L267" t="s">
        <v>31</v>
      </c>
      <c r="M267" t="s">
        <v>25</v>
      </c>
      <c r="N267" t="s">
        <v>55</v>
      </c>
      <c r="O267" t="s">
        <v>56</v>
      </c>
      <c r="P267" t="s">
        <v>123</v>
      </c>
      <c r="Q267">
        <v>271</v>
      </c>
      <c r="R267">
        <v>88.11</v>
      </c>
      <c r="S267">
        <v>23877.81</v>
      </c>
      <c r="T267">
        <v>17.28</v>
      </c>
      <c r="U267">
        <v>13</v>
      </c>
      <c r="V267">
        <v>2904</v>
      </c>
      <c r="W267" t="s">
        <v>36</v>
      </c>
      <c r="X267">
        <v>2669.35</v>
      </c>
    </row>
    <row r="268" spans="1:24" x14ac:dyDescent="0.25">
      <c r="A268" s="2">
        <v>100266</v>
      </c>
      <c r="B268" s="1">
        <v>45632</v>
      </c>
      <c r="C268" s="1">
        <v>45632</v>
      </c>
      <c r="D268" s="1">
        <v>45639</v>
      </c>
      <c r="E268" t="s">
        <v>873</v>
      </c>
      <c r="F268" t="s">
        <v>32</v>
      </c>
      <c r="G268" t="s">
        <v>110</v>
      </c>
      <c r="H268" t="s">
        <v>874</v>
      </c>
      <c r="I268" t="s">
        <v>51</v>
      </c>
      <c r="J268" t="s">
        <v>52</v>
      </c>
      <c r="K268" t="s">
        <v>875</v>
      </c>
      <c r="L268" t="s">
        <v>122</v>
      </c>
      <c r="M268" t="s">
        <v>32</v>
      </c>
      <c r="N268" t="s">
        <v>151</v>
      </c>
      <c r="O268" t="s">
        <v>152</v>
      </c>
      <c r="P268" t="s">
        <v>123</v>
      </c>
      <c r="Q268">
        <v>357</v>
      </c>
      <c r="R268">
        <v>58.29</v>
      </c>
      <c r="S268">
        <v>20809.53</v>
      </c>
      <c r="T268">
        <v>14.35</v>
      </c>
      <c r="U268">
        <v>7</v>
      </c>
      <c r="V268">
        <v>2624</v>
      </c>
      <c r="W268" t="s">
        <v>36</v>
      </c>
      <c r="X268">
        <v>1994.25</v>
      </c>
    </row>
    <row r="269" spans="1:24" x14ac:dyDescent="0.25">
      <c r="A269" s="2">
        <v>100267</v>
      </c>
      <c r="B269" s="1">
        <v>45442</v>
      </c>
      <c r="C269" s="1">
        <v>45445</v>
      </c>
      <c r="D269" s="1">
        <v>45447</v>
      </c>
      <c r="E269" t="s">
        <v>876</v>
      </c>
      <c r="F269" t="s">
        <v>32</v>
      </c>
      <c r="G269" t="s">
        <v>364</v>
      </c>
      <c r="H269" t="s">
        <v>877</v>
      </c>
      <c r="I269" t="s">
        <v>207</v>
      </c>
      <c r="J269" t="s">
        <v>80</v>
      </c>
      <c r="K269" t="s">
        <v>495</v>
      </c>
      <c r="L269" t="s">
        <v>91</v>
      </c>
      <c r="M269" t="s">
        <v>32</v>
      </c>
      <c r="N269" t="s">
        <v>203</v>
      </c>
      <c r="O269" t="s">
        <v>204</v>
      </c>
      <c r="P269" t="s">
        <v>35</v>
      </c>
      <c r="Q269">
        <v>305</v>
      </c>
      <c r="R269">
        <v>150.01</v>
      </c>
      <c r="S269">
        <v>45753.05</v>
      </c>
      <c r="T269">
        <v>15.64</v>
      </c>
      <c r="U269">
        <v>2</v>
      </c>
      <c r="V269">
        <v>995</v>
      </c>
      <c r="W269" t="s">
        <v>36</v>
      </c>
      <c r="X269">
        <v>10400.469999999999</v>
      </c>
    </row>
    <row r="270" spans="1:24" x14ac:dyDescent="0.25">
      <c r="A270" s="2">
        <v>100268</v>
      </c>
      <c r="B270" s="1">
        <v>45595</v>
      </c>
      <c r="C270" s="1">
        <v>45596</v>
      </c>
      <c r="D270" s="1">
        <v>45607</v>
      </c>
      <c r="E270" t="s">
        <v>878</v>
      </c>
      <c r="F270" t="s">
        <v>54</v>
      </c>
      <c r="G270" t="s">
        <v>225</v>
      </c>
      <c r="H270" t="s">
        <v>879</v>
      </c>
      <c r="I270" t="s">
        <v>51</v>
      </c>
      <c r="J270" t="s">
        <v>52</v>
      </c>
      <c r="K270" t="s">
        <v>867</v>
      </c>
      <c r="L270" t="s">
        <v>187</v>
      </c>
      <c r="M270" t="s">
        <v>32</v>
      </c>
      <c r="N270" t="s">
        <v>102</v>
      </c>
      <c r="O270" t="s">
        <v>103</v>
      </c>
      <c r="P270" t="s">
        <v>76</v>
      </c>
      <c r="Q270">
        <v>328</v>
      </c>
      <c r="R270">
        <v>52.63</v>
      </c>
      <c r="S270">
        <v>17262.64</v>
      </c>
      <c r="T270">
        <v>14</v>
      </c>
      <c r="U270">
        <v>11</v>
      </c>
      <c r="V270">
        <v>3957</v>
      </c>
      <c r="W270" t="s">
        <v>36</v>
      </c>
      <c r="X270">
        <v>1762.95</v>
      </c>
    </row>
    <row r="271" spans="1:24" x14ac:dyDescent="0.25">
      <c r="A271" s="2">
        <v>100269</v>
      </c>
      <c r="B271" s="1">
        <v>45982</v>
      </c>
      <c r="C271" s="1">
        <v>45987</v>
      </c>
      <c r="D271" s="1">
        <v>46006</v>
      </c>
      <c r="E271" t="s">
        <v>880</v>
      </c>
      <c r="F271" t="s">
        <v>38</v>
      </c>
      <c r="G271" t="s">
        <v>83</v>
      </c>
      <c r="H271" t="s">
        <v>881</v>
      </c>
      <c r="I271" t="s">
        <v>79</v>
      </c>
      <c r="J271" t="s">
        <v>80</v>
      </c>
      <c r="K271" t="s">
        <v>882</v>
      </c>
      <c r="L271" t="s">
        <v>91</v>
      </c>
      <c r="M271" t="s">
        <v>65</v>
      </c>
      <c r="N271" t="s">
        <v>66</v>
      </c>
      <c r="O271" t="s">
        <v>67</v>
      </c>
      <c r="P271" t="s">
        <v>76</v>
      </c>
      <c r="Q271">
        <v>378</v>
      </c>
      <c r="R271">
        <v>308.20999999999998</v>
      </c>
      <c r="S271">
        <v>116503.38</v>
      </c>
      <c r="T271">
        <v>14.91</v>
      </c>
      <c r="U271">
        <v>19</v>
      </c>
      <c r="V271">
        <v>1767</v>
      </c>
      <c r="W271" t="s">
        <v>57</v>
      </c>
      <c r="X271">
        <v>28642.560000000001</v>
      </c>
    </row>
    <row r="272" spans="1:24" x14ac:dyDescent="0.25">
      <c r="A272" s="2">
        <v>100270</v>
      </c>
      <c r="B272" s="1">
        <v>45861</v>
      </c>
      <c r="C272" s="1">
        <v>45863</v>
      </c>
      <c r="D272" s="1">
        <v>45877</v>
      </c>
      <c r="E272" t="s">
        <v>883</v>
      </c>
      <c r="F272" t="s">
        <v>38</v>
      </c>
      <c r="G272" t="s">
        <v>83</v>
      </c>
      <c r="H272" t="s">
        <v>884</v>
      </c>
      <c r="I272" t="s">
        <v>134</v>
      </c>
      <c r="J272" t="s">
        <v>52</v>
      </c>
      <c r="K272" t="s">
        <v>885</v>
      </c>
      <c r="L272" t="s">
        <v>98</v>
      </c>
      <c r="M272" t="s">
        <v>38</v>
      </c>
      <c r="N272" t="s">
        <v>92</v>
      </c>
      <c r="O272" t="s">
        <v>93</v>
      </c>
      <c r="P272" t="s">
        <v>123</v>
      </c>
      <c r="Q272">
        <v>123</v>
      </c>
      <c r="R272">
        <v>61.24</v>
      </c>
      <c r="S272">
        <v>7532.52</v>
      </c>
      <c r="T272">
        <v>10.130000000000001</v>
      </c>
      <c r="U272">
        <v>14</v>
      </c>
      <c r="V272">
        <v>1558</v>
      </c>
      <c r="W272" t="s">
        <v>36</v>
      </c>
      <c r="X272">
        <v>803.46</v>
      </c>
    </row>
    <row r="273" spans="1:24" x14ac:dyDescent="0.25">
      <c r="A273" s="2">
        <v>100271</v>
      </c>
      <c r="B273" s="1">
        <v>45476</v>
      </c>
      <c r="C273" s="1">
        <v>45480</v>
      </c>
      <c r="D273" s="1">
        <v>45493</v>
      </c>
      <c r="E273" t="s">
        <v>886</v>
      </c>
      <c r="F273" t="s">
        <v>32</v>
      </c>
      <c r="G273" t="s">
        <v>95</v>
      </c>
      <c r="H273" t="s">
        <v>887</v>
      </c>
      <c r="I273" t="s">
        <v>134</v>
      </c>
      <c r="J273" t="s">
        <v>52</v>
      </c>
      <c r="K273" t="s">
        <v>888</v>
      </c>
      <c r="L273" t="s">
        <v>31</v>
      </c>
      <c r="M273" t="s">
        <v>65</v>
      </c>
      <c r="N273" t="s">
        <v>107</v>
      </c>
      <c r="O273" t="s">
        <v>108</v>
      </c>
      <c r="P273" t="s">
        <v>76</v>
      </c>
      <c r="Q273">
        <v>97</v>
      </c>
      <c r="R273">
        <v>84.02</v>
      </c>
      <c r="S273">
        <v>8149.94</v>
      </c>
      <c r="T273">
        <v>9.7899999999999991</v>
      </c>
      <c r="U273">
        <v>13</v>
      </c>
      <c r="V273">
        <v>3478</v>
      </c>
      <c r="W273" t="s">
        <v>36</v>
      </c>
      <c r="X273">
        <v>572.88</v>
      </c>
    </row>
    <row r="274" spans="1:24" x14ac:dyDescent="0.25">
      <c r="A274" s="2">
        <v>100272</v>
      </c>
      <c r="B274" s="1">
        <v>45905</v>
      </c>
      <c r="C274" s="1">
        <v>45910</v>
      </c>
      <c r="D274" s="1">
        <v>45924</v>
      </c>
      <c r="E274" t="s">
        <v>889</v>
      </c>
      <c r="F274" t="s">
        <v>54</v>
      </c>
      <c r="G274" t="s">
        <v>165</v>
      </c>
      <c r="H274" t="s">
        <v>890</v>
      </c>
      <c r="I274" t="s">
        <v>207</v>
      </c>
      <c r="J274" t="s">
        <v>80</v>
      </c>
      <c r="K274" t="s">
        <v>447</v>
      </c>
      <c r="L274" t="s">
        <v>118</v>
      </c>
      <c r="M274" t="s">
        <v>65</v>
      </c>
      <c r="N274" t="s">
        <v>107</v>
      </c>
      <c r="O274" t="s">
        <v>108</v>
      </c>
      <c r="P274" t="s">
        <v>76</v>
      </c>
      <c r="Q274">
        <v>30</v>
      </c>
      <c r="R274">
        <v>271.5</v>
      </c>
      <c r="S274">
        <v>8145</v>
      </c>
      <c r="T274">
        <v>8.57</v>
      </c>
      <c r="U274">
        <v>14</v>
      </c>
      <c r="V274">
        <v>1669</v>
      </c>
      <c r="W274" t="s">
        <v>36</v>
      </c>
      <c r="X274">
        <v>979.21</v>
      </c>
    </row>
    <row r="275" spans="1:24" x14ac:dyDescent="0.25">
      <c r="A275" s="2">
        <v>100273</v>
      </c>
      <c r="B275" s="1">
        <v>45574</v>
      </c>
      <c r="C275" s="1">
        <v>45575</v>
      </c>
      <c r="D275" s="1">
        <v>45583</v>
      </c>
      <c r="E275" t="s">
        <v>891</v>
      </c>
      <c r="F275" t="s">
        <v>38</v>
      </c>
      <c r="G275" t="s">
        <v>147</v>
      </c>
      <c r="H275" t="s">
        <v>892</v>
      </c>
      <c r="I275" t="s">
        <v>182</v>
      </c>
      <c r="J275" t="s">
        <v>80</v>
      </c>
      <c r="K275" t="s">
        <v>893</v>
      </c>
      <c r="L275" t="s">
        <v>64</v>
      </c>
      <c r="M275" t="s">
        <v>32</v>
      </c>
      <c r="N275" t="s">
        <v>107</v>
      </c>
      <c r="O275" t="s">
        <v>108</v>
      </c>
      <c r="P275" t="s">
        <v>35</v>
      </c>
      <c r="Q275">
        <v>353</v>
      </c>
      <c r="R275">
        <v>284.68</v>
      </c>
      <c r="S275">
        <v>100492.04</v>
      </c>
      <c r="T275">
        <v>22.48</v>
      </c>
      <c r="U275">
        <v>8</v>
      </c>
      <c r="V275">
        <v>1384</v>
      </c>
      <c r="W275" t="s">
        <v>36</v>
      </c>
      <c r="X275">
        <v>24680.2</v>
      </c>
    </row>
    <row r="276" spans="1:24" x14ac:dyDescent="0.25">
      <c r="A276" s="2">
        <v>100274</v>
      </c>
      <c r="B276" s="1">
        <v>45468</v>
      </c>
      <c r="C276" s="1">
        <v>45469</v>
      </c>
      <c r="D276" s="1">
        <v>45477</v>
      </c>
      <c r="E276" t="s">
        <v>894</v>
      </c>
      <c r="F276" t="s">
        <v>65</v>
      </c>
      <c r="G276" t="s">
        <v>142</v>
      </c>
      <c r="H276" t="s">
        <v>895</v>
      </c>
      <c r="I276" t="s">
        <v>139</v>
      </c>
      <c r="J276" t="s">
        <v>42</v>
      </c>
      <c r="K276" t="s">
        <v>896</v>
      </c>
      <c r="L276" t="s">
        <v>113</v>
      </c>
      <c r="M276" t="s">
        <v>65</v>
      </c>
      <c r="N276" t="s">
        <v>92</v>
      </c>
      <c r="O276" t="s">
        <v>93</v>
      </c>
      <c r="P276" t="s">
        <v>35</v>
      </c>
      <c r="Q276">
        <v>118</v>
      </c>
      <c r="R276">
        <v>256.22000000000003</v>
      </c>
      <c r="S276">
        <v>30233.96</v>
      </c>
      <c r="T276">
        <v>11.72</v>
      </c>
      <c r="U276">
        <v>8</v>
      </c>
      <c r="V276">
        <v>711</v>
      </c>
      <c r="W276" t="s">
        <v>36</v>
      </c>
      <c r="X276">
        <v>6150.35</v>
      </c>
    </row>
    <row r="277" spans="1:24" x14ac:dyDescent="0.25">
      <c r="A277" s="2">
        <v>100275</v>
      </c>
      <c r="B277" s="1">
        <v>45705</v>
      </c>
      <c r="C277" s="1">
        <v>45705</v>
      </c>
      <c r="D277" s="1">
        <v>45729</v>
      </c>
      <c r="E277" t="s">
        <v>897</v>
      </c>
      <c r="F277" t="s">
        <v>32</v>
      </c>
      <c r="G277" t="s">
        <v>180</v>
      </c>
      <c r="H277" t="s">
        <v>898</v>
      </c>
      <c r="I277" t="s">
        <v>134</v>
      </c>
      <c r="J277" t="s">
        <v>52</v>
      </c>
      <c r="K277" t="s">
        <v>899</v>
      </c>
      <c r="L277" t="s">
        <v>118</v>
      </c>
      <c r="M277" t="s">
        <v>65</v>
      </c>
      <c r="N277" t="s">
        <v>66</v>
      </c>
      <c r="O277" t="s">
        <v>67</v>
      </c>
      <c r="P277" t="s">
        <v>76</v>
      </c>
      <c r="Q277">
        <v>381</v>
      </c>
      <c r="R277">
        <v>26.83</v>
      </c>
      <c r="S277">
        <v>10222.23</v>
      </c>
      <c r="T277">
        <v>14.96</v>
      </c>
      <c r="U277">
        <v>24</v>
      </c>
      <c r="V277">
        <v>3518</v>
      </c>
      <c r="W277" t="s">
        <v>47</v>
      </c>
      <c r="X277">
        <v>-133.58000000000001</v>
      </c>
    </row>
    <row r="278" spans="1:24" x14ac:dyDescent="0.25">
      <c r="A278" s="2">
        <v>100276</v>
      </c>
      <c r="B278" s="1">
        <v>45953</v>
      </c>
      <c r="C278" s="1">
        <v>45958</v>
      </c>
      <c r="D278" s="1">
        <v>45960</v>
      </c>
      <c r="E278" t="s">
        <v>900</v>
      </c>
      <c r="F278" t="s">
        <v>38</v>
      </c>
      <c r="G278" t="s">
        <v>147</v>
      </c>
      <c r="H278" t="s">
        <v>901</v>
      </c>
      <c r="I278" t="s">
        <v>191</v>
      </c>
      <c r="J278" t="s">
        <v>62</v>
      </c>
      <c r="K278" t="s">
        <v>902</v>
      </c>
      <c r="L278" t="s">
        <v>187</v>
      </c>
      <c r="M278" t="s">
        <v>38</v>
      </c>
      <c r="N278" t="s">
        <v>45</v>
      </c>
      <c r="O278" t="s">
        <v>46</v>
      </c>
      <c r="P278" t="s">
        <v>35</v>
      </c>
      <c r="Q278">
        <v>435</v>
      </c>
      <c r="R278">
        <v>44.67</v>
      </c>
      <c r="S278">
        <v>19431.45</v>
      </c>
      <c r="T278">
        <v>18.38</v>
      </c>
      <c r="U278">
        <v>2</v>
      </c>
      <c r="V278">
        <v>1973</v>
      </c>
      <c r="W278" t="s">
        <v>36</v>
      </c>
      <c r="X278">
        <v>1252.32</v>
      </c>
    </row>
    <row r="279" spans="1:24" x14ac:dyDescent="0.25">
      <c r="A279" s="2">
        <v>100277</v>
      </c>
      <c r="B279" s="1">
        <v>45302</v>
      </c>
      <c r="C279" s="1">
        <v>45307</v>
      </c>
      <c r="D279" s="1">
        <v>45330</v>
      </c>
      <c r="E279" t="s">
        <v>903</v>
      </c>
      <c r="F279" t="s">
        <v>25</v>
      </c>
      <c r="G279" t="s">
        <v>172</v>
      </c>
      <c r="H279" t="s">
        <v>904</v>
      </c>
      <c r="I279" t="s">
        <v>207</v>
      </c>
      <c r="J279" t="s">
        <v>80</v>
      </c>
      <c r="K279" t="s">
        <v>683</v>
      </c>
      <c r="L279" t="s">
        <v>113</v>
      </c>
      <c r="M279" t="s">
        <v>25</v>
      </c>
      <c r="N279" t="s">
        <v>66</v>
      </c>
      <c r="O279" t="s">
        <v>67</v>
      </c>
      <c r="P279" t="s">
        <v>76</v>
      </c>
      <c r="Q279">
        <v>421</v>
      </c>
      <c r="R279">
        <v>217.29</v>
      </c>
      <c r="S279">
        <v>91479.09</v>
      </c>
      <c r="T279">
        <v>11.62</v>
      </c>
      <c r="U279">
        <v>23</v>
      </c>
      <c r="V279">
        <v>1582</v>
      </c>
      <c r="W279" t="s">
        <v>188</v>
      </c>
      <c r="X279">
        <v>21999.93</v>
      </c>
    </row>
    <row r="280" spans="1:24" x14ac:dyDescent="0.25">
      <c r="A280" s="2">
        <v>100278</v>
      </c>
      <c r="B280" s="1">
        <v>45486</v>
      </c>
      <c r="C280" s="1">
        <v>45487</v>
      </c>
      <c r="D280" s="1">
        <v>45496</v>
      </c>
      <c r="E280" t="s">
        <v>905</v>
      </c>
      <c r="F280" t="s">
        <v>38</v>
      </c>
      <c r="G280" t="s">
        <v>49</v>
      </c>
      <c r="H280" t="s">
        <v>906</v>
      </c>
      <c r="I280" t="s">
        <v>182</v>
      </c>
      <c r="J280" t="s">
        <v>80</v>
      </c>
      <c r="K280" t="s">
        <v>907</v>
      </c>
      <c r="L280" t="s">
        <v>113</v>
      </c>
      <c r="M280" t="s">
        <v>32</v>
      </c>
      <c r="N280" t="s">
        <v>107</v>
      </c>
      <c r="O280" t="s">
        <v>108</v>
      </c>
      <c r="P280" t="s">
        <v>35</v>
      </c>
      <c r="Q280">
        <v>150</v>
      </c>
      <c r="R280">
        <v>309.86</v>
      </c>
      <c r="S280">
        <v>46479</v>
      </c>
      <c r="T280">
        <v>16.73</v>
      </c>
      <c r="U280">
        <v>9</v>
      </c>
      <c r="V280">
        <v>142</v>
      </c>
      <c r="W280" t="s">
        <v>36</v>
      </c>
      <c r="X280">
        <v>10064.66</v>
      </c>
    </row>
    <row r="281" spans="1:24" x14ac:dyDescent="0.25">
      <c r="A281" s="2">
        <v>100279</v>
      </c>
      <c r="B281" s="1">
        <v>45586</v>
      </c>
      <c r="C281" s="1">
        <v>45587</v>
      </c>
      <c r="D281" s="1">
        <v>45588</v>
      </c>
      <c r="E281" t="s">
        <v>908</v>
      </c>
      <c r="F281" t="s">
        <v>65</v>
      </c>
      <c r="G281" t="s">
        <v>142</v>
      </c>
      <c r="H281" t="s">
        <v>909</v>
      </c>
      <c r="I281" t="s">
        <v>41</v>
      </c>
      <c r="J281" t="s">
        <v>42</v>
      </c>
      <c r="K281" t="s">
        <v>910</v>
      </c>
      <c r="L281" t="s">
        <v>212</v>
      </c>
      <c r="M281" t="s">
        <v>32</v>
      </c>
      <c r="N281" t="s">
        <v>102</v>
      </c>
      <c r="O281" t="s">
        <v>103</v>
      </c>
      <c r="P281" t="s">
        <v>68</v>
      </c>
      <c r="Q281">
        <v>112</v>
      </c>
      <c r="R281">
        <v>223.52</v>
      </c>
      <c r="S281">
        <v>25034.240000000002</v>
      </c>
      <c r="T281">
        <v>35.770000000000003</v>
      </c>
      <c r="U281">
        <v>1</v>
      </c>
      <c r="V281">
        <v>1647</v>
      </c>
      <c r="W281" t="s">
        <v>36</v>
      </c>
      <c r="X281">
        <v>2208.96</v>
      </c>
    </row>
    <row r="282" spans="1:24" x14ac:dyDescent="0.25">
      <c r="A282" s="2">
        <v>100280</v>
      </c>
      <c r="B282" s="1">
        <v>45498</v>
      </c>
      <c r="C282" s="1">
        <v>45502</v>
      </c>
      <c r="D282" s="1">
        <v>45508</v>
      </c>
      <c r="E282" t="s">
        <v>911</v>
      </c>
      <c r="F282" t="s">
        <v>32</v>
      </c>
      <c r="G282" t="s">
        <v>137</v>
      </c>
      <c r="H282" t="s">
        <v>912</v>
      </c>
      <c r="I282" t="s">
        <v>89</v>
      </c>
      <c r="J282" t="s">
        <v>62</v>
      </c>
      <c r="K282" t="s">
        <v>913</v>
      </c>
      <c r="L282" t="s">
        <v>91</v>
      </c>
      <c r="M282" t="s">
        <v>54</v>
      </c>
      <c r="N282" t="s">
        <v>66</v>
      </c>
      <c r="O282" t="s">
        <v>67</v>
      </c>
      <c r="P282" t="s">
        <v>35</v>
      </c>
      <c r="Q282">
        <v>321</v>
      </c>
      <c r="R282">
        <v>42.63</v>
      </c>
      <c r="S282">
        <v>13684.23</v>
      </c>
      <c r="T282">
        <v>21.57</v>
      </c>
      <c r="U282">
        <v>6</v>
      </c>
      <c r="V282">
        <v>804</v>
      </c>
      <c r="W282" t="s">
        <v>36</v>
      </c>
      <c r="X282">
        <v>889.26</v>
      </c>
    </row>
    <row r="283" spans="1:24" x14ac:dyDescent="0.25">
      <c r="A283" s="2">
        <v>100281</v>
      </c>
      <c r="B283" s="1">
        <v>45490</v>
      </c>
      <c r="C283" s="1">
        <v>45495</v>
      </c>
      <c r="D283" s="1">
        <v>45500</v>
      </c>
      <c r="E283" t="s">
        <v>914</v>
      </c>
      <c r="F283" t="s">
        <v>25</v>
      </c>
      <c r="G283" t="s">
        <v>172</v>
      </c>
      <c r="H283" t="s">
        <v>915</v>
      </c>
      <c r="I283" t="s">
        <v>368</v>
      </c>
      <c r="J283" t="s">
        <v>29</v>
      </c>
      <c r="K283" t="s">
        <v>916</v>
      </c>
      <c r="L283" t="s">
        <v>212</v>
      </c>
      <c r="M283" t="s">
        <v>25</v>
      </c>
      <c r="N283" t="s">
        <v>74</v>
      </c>
      <c r="O283" t="s">
        <v>75</v>
      </c>
      <c r="P283" t="s">
        <v>68</v>
      </c>
      <c r="Q283">
        <v>190</v>
      </c>
      <c r="R283">
        <v>55.07</v>
      </c>
      <c r="S283">
        <v>10463.299999999999</v>
      </c>
      <c r="T283">
        <v>30.24</v>
      </c>
      <c r="U283">
        <v>5</v>
      </c>
      <c r="V283">
        <v>2254</v>
      </c>
      <c r="W283" t="s">
        <v>36</v>
      </c>
      <c r="X283">
        <v>1190.79</v>
      </c>
    </row>
    <row r="284" spans="1:24" x14ac:dyDescent="0.25">
      <c r="A284" s="2">
        <v>100282</v>
      </c>
      <c r="B284" s="1">
        <v>46007</v>
      </c>
      <c r="C284" s="1">
        <v>46007</v>
      </c>
      <c r="D284" s="1">
        <v>46011</v>
      </c>
      <c r="E284" t="s">
        <v>917</v>
      </c>
      <c r="F284" t="s">
        <v>54</v>
      </c>
      <c r="G284" t="s">
        <v>225</v>
      </c>
      <c r="H284" t="s">
        <v>918</v>
      </c>
      <c r="I284" t="s">
        <v>51</v>
      </c>
      <c r="J284" t="s">
        <v>52</v>
      </c>
      <c r="K284" t="s">
        <v>919</v>
      </c>
      <c r="L284" t="s">
        <v>122</v>
      </c>
      <c r="M284" t="s">
        <v>38</v>
      </c>
      <c r="N284" t="s">
        <v>92</v>
      </c>
      <c r="O284" t="s">
        <v>93</v>
      </c>
      <c r="P284" t="s">
        <v>68</v>
      </c>
      <c r="Q284">
        <v>342</v>
      </c>
      <c r="R284">
        <v>73.91</v>
      </c>
      <c r="S284">
        <v>25277.22</v>
      </c>
      <c r="T284">
        <v>50.67</v>
      </c>
      <c r="U284">
        <v>4</v>
      </c>
      <c r="V284">
        <v>2582</v>
      </c>
      <c r="W284" t="s">
        <v>36</v>
      </c>
      <c r="X284">
        <v>1859.5</v>
      </c>
    </row>
    <row r="285" spans="1:24" x14ac:dyDescent="0.25">
      <c r="A285" s="2">
        <v>100283</v>
      </c>
      <c r="B285" s="1">
        <v>45294</v>
      </c>
      <c r="C285" s="1">
        <v>45299</v>
      </c>
      <c r="D285" s="1">
        <v>45302</v>
      </c>
      <c r="E285" t="s">
        <v>920</v>
      </c>
      <c r="F285" t="s">
        <v>32</v>
      </c>
      <c r="G285" t="s">
        <v>180</v>
      </c>
      <c r="H285" t="s">
        <v>921</v>
      </c>
      <c r="I285" t="s">
        <v>139</v>
      </c>
      <c r="J285" t="s">
        <v>42</v>
      </c>
      <c r="K285" t="s">
        <v>922</v>
      </c>
      <c r="L285" t="s">
        <v>122</v>
      </c>
      <c r="M285" t="s">
        <v>54</v>
      </c>
      <c r="N285" t="s">
        <v>107</v>
      </c>
      <c r="O285" t="s">
        <v>108</v>
      </c>
      <c r="P285" t="s">
        <v>68</v>
      </c>
      <c r="Q285">
        <v>340</v>
      </c>
      <c r="R285">
        <v>316.12</v>
      </c>
      <c r="S285">
        <v>107480.8</v>
      </c>
      <c r="T285">
        <v>50.54</v>
      </c>
      <c r="U285">
        <v>3</v>
      </c>
      <c r="V285">
        <v>668</v>
      </c>
      <c r="W285" t="s">
        <v>36</v>
      </c>
      <c r="X285">
        <v>21057.77</v>
      </c>
    </row>
    <row r="286" spans="1:24" x14ac:dyDescent="0.25">
      <c r="A286" s="2">
        <v>100284</v>
      </c>
      <c r="B286" s="1">
        <v>45639</v>
      </c>
      <c r="C286" s="1">
        <v>45642</v>
      </c>
      <c r="D286" s="1">
        <v>45653</v>
      </c>
      <c r="E286" t="s">
        <v>923</v>
      </c>
      <c r="F286" t="s">
        <v>25</v>
      </c>
      <c r="G286" t="s">
        <v>26</v>
      </c>
      <c r="H286" t="s">
        <v>924</v>
      </c>
      <c r="I286" t="s">
        <v>278</v>
      </c>
      <c r="J286" t="s">
        <v>29</v>
      </c>
      <c r="K286" t="s">
        <v>925</v>
      </c>
      <c r="L286" t="s">
        <v>212</v>
      </c>
      <c r="M286" t="s">
        <v>32</v>
      </c>
      <c r="N286" t="s">
        <v>66</v>
      </c>
      <c r="O286" t="s">
        <v>67</v>
      </c>
      <c r="P286" t="s">
        <v>76</v>
      </c>
      <c r="Q286">
        <v>259</v>
      </c>
      <c r="R286">
        <v>70.28</v>
      </c>
      <c r="S286">
        <v>18202.52</v>
      </c>
      <c r="T286">
        <v>12.74</v>
      </c>
      <c r="U286">
        <v>11</v>
      </c>
      <c r="V286">
        <v>2003</v>
      </c>
      <c r="W286" t="s">
        <v>36</v>
      </c>
      <c r="X286">
        <v>2318.36</v>
      </c>
    </row>
    <row r="287" spans="1:24" x14ac:dyDescent="0.25">
      <c r="A287" s="2">
        <v>100285</v>
      </c>
      <c r="B287" s="1">
        <v>45995</v>
      </c>
      <c r="C287" s="1">
        <v>45998</v>
      </c>
      <c r="D287" s="1">
        <v>46012</v>
      </c>
      <c r="E287" t="s">
        <v>926</v>
      </c>
      <c r="F287" t="s">
        <v>54</v>
      </c>
      <c r="G287" t="s">
        <v>225</v>
      </c>
      <c r="H287" t="s">
        <v>927</v>
      </c>
      <c r="I287" t="s">
        <v>246</v>
      </c>
      <c r="J287" t="s">
        <v>29</v>
      </c>
      <c r="K287" t="s">
        <v>928</v>
      </c>
      <c r="L287" t="s">
        <v>91</v>
      </c>
      <c r="M287" t="s">
        <v>25</v>
      </c>
      <c r="N287" t="s">
        <v>66</v>
      </c>
      <c r="O287" t="s">
        <v>67</v>
      </c>
      <c r="P287" t="s">
        <v>123</v>
      </c>
      <c r="Q287">
        <v>410</v>
      </c>
      <c r="R287">
        <v>38.409999999999997</v>
      </c>
      <c r="S287">
        <v>15748.1</v>
      </c>
      <c r="T287">
        <v>20.66</v>
      </c>
      <c r="U287">
        <v>14</v>
      </c>
      <c r="V287">
        <v>1140</v>
      </c>
      <c r="W287" t="s">
        <v>36</v>
      </c>
      <c r="X287">
        <v>4354.57</v>
      </c>
    </row>
    <row r="288" spans="1:24" x14ac:dyDescent="0.25">
      <c r="A288" s="2">
        <v>100286</v>
      </c>
      <c r="B288" s="1">
        <v>45761</v>
      </c>
      <c r="C288" s="1">
        <v>45766</v>
      </c>
      <c r="D288" s="1">
        <v>45785</v>
      </c>
      <c r="E288" t="s">
        <v>929</v>
      </c>
      <c r="F288" t="s">
        <v>54</v>
      </c>
      <c r="G288" t="s">
        <v>165</v>
      </c>
      <c r="H288" t="s">
        <v>930</v>
      </c>
      <c r="I288" t="s">
        <v>89</v>
      </c>
      <c r="J288" t="s">
        <v>62</v>
      </c>
      <c r="K288" t="s">
        <v>931</v>
      </c>
      <c r="L288" t="s">
        <v>98</v>
      </c>
      <c r="M288" t="s">
        <v>54</v>
      </c>
      <c r="N288" t="s">
        <v>45</v>
      </c>
      <c r="O288" t="s">
        <v>46</v>
      </c>
      <c r="P288" t="s">
        <v>76</v>
      </c>
      <c r="Q288">
        <v>25</v>
      </c>
      <c r="R288">
        <v>14.1</v>
      </c>
      <c r="S288">
        <v>352.5</v>
      </c>
      <c r="T288">
        <v>6.28</v>
      </c>
      <c r="U288">
        <v>19</v>
      </c>
      <c r="V288">
        <v>1254</v>
      </c>
      <c r="W288" t="s">
        <v>36</v>
      </c>
      <c r="X288">
        <v>44.54</v>
      </c>
    </row>
    <row r="289" spans="1:24" x14ac:dyDescent="0.25">
      <c r="A289" s="2">
        <v>100287</v>
      </c>
      <c r="B289" s="1">
        <v>45627</v>
      </c>
      <c r="C289" s="1">
        <v>45627</v>
      </c>
      <c r="D289" s="1">
        <v>45640</v>
      </c>
      <c r="E289" t="s">
        <v>932</v>
      </c>
      <c r="F289" t="s">
        <v>65</v>
      </c>
      <c r="G289" t="s">
        <v>154</v>
      </c>
      <c r="H289" t="s">
        <v>933</v>
      </c>
      <c r="I289" t="s">
        <v>368</v>
      </c>
      <c r="J289" t="s">
        <v>29</v>
      </c>
      <c r="K289" t="s">
        <v>778</v>
      </c>
      <c r="L289" t="s">
        <v>212</v>
      </c>
      <c r="M289" t="s">
        <v>25</v>
      </c>
      <c r="N289" t="s">
        <v>107</v>
      </c>
      <c r="O289" t="s">
        <v>108</v>
      </c>
      <c r="P289" t="s">
        <v>123</v>
      </c>
      <c r="Q289">
        <v>288</v>
      </c>
      <c r="R289">
        <v>82.55</v>
      </c>
      <c r="S289">
        <v>23774.400000000001</v>
      </c>
      <c r="T289">
        <v>17.690000000000001</v>
      </c>
      <c r="U289">
        <v>13</v>
      </c>
      <c r="V289">
        <v>2933</v>
      </c>
      <c r="W289" t="s">
        <v>36</v>
      </c>
      <c r="X289">
        <v>4895.3</v>
      </c>
    </row>
    <row r="290" spans="1:24" x14ac:dyDescent="0.25">
      <c r="A290" s="2">
        <v>100288</v>
      </c>
      <c r="B290" s="1">
        <v>45513</v>
      </c>
      <c r="C290" s="1">
        <v>45517</v>
      </c>
      <c r="D290" s="1">
        <v>45518</v>
      </c>
      <c r="E290" t="s">
        <v>934</v>
      </c>
      <c r="F290" t="s">
        <v>32</v>
      </c>
      <c r="G290" t="s">
        <v>364</v>
      </c>
      <c r="H290" t="s">
        <v>935</v>
      </c>
      <c r="I290" t="s">
        <v>72</v>
      </c>
      <c r="J290" t="s">
        <v>42</v>
      </c>
      <c r="K290" t="s">
        <v>936</v>
      </c>
      <c r="L290" t="s">
        <v>98</v>
      </c>
      <c r="M290" t="s">
        <v>32</v>
      </c>
      <c r="N290" t="s">
        <v>203</v>
      </c>
      <c r="O290" t="s">
        <v>204</v>
      </c>
      <c r="P290" t="s">
        <v>68</v>
      </c>
      <c r="Q290">
        <v>119</v>
      </c>
      <c r="R290">
        <v>145.30000000000001</v>
      </c>
      <c r="S290">
        <v>17290.7</v>
      </c>
      <c r="T290">
        <v>26.83</v>
      </c>
      <c r="U290">
        <v>1</v>
      </c>
      <c r="V290">
        <v>917</v>
      </c>
      <c r="W290" t="s">
        <v>36</v>
      </c>
      <c r="X290">
        <v>1509.27</v>
      </c>
    </row>
    <row r="291" spans="1:24" x14ac:dyDescent="0.25">
      <c r="A291" s="2">
        <v>100289</v>
      </c>
      <c r="B291" s="1">
        <v>45498</v>
      </c>
      <c r="C291" s="1">
        <v>45501</v>
      </c>
      <c r="D291" s="1">
        <v>45505</v>
      </c>
      <c r="E291" t="s">
        <v>937</v>
      </c>
      <c r="F291" t="s">
        <v>25</v>
      </c>
      <c r="G291" t="s">
        <v>26</v>
      </c>
      <c r="H291" t="s">
        <v>938</v>
      </c>
      <c r="I291" t="s">
        <v>278</v>
      </c>
      <c r="J291" t="s">
        <v>29</v>
      </c>
      <c r="K291" t="s">
        <v>939</v>
      </c>
      <c r="L291" t="s">
        <v>212</v>
      </c>
      <c r="M291" t="s">
        <v>32</v>
      </c>
      <c r="N291" t="s">
        <v>45</v>
      </c>
      <c r="O291" t="s">
        <v>46</v>
      </c>
      <c r="P291" t="s">
        <v>68</v>
      </c>
      <c r="Q291">
        <v>37</v>
      </c>
      <c r="R291">
        <v>33.9</v>
      </c>
      <c r="S291">
        <v>1254.3</v>
      </c>
      <c r="T291">
        <v>30.91</v>
      </c>
      <c r="U291">
        <v>4</v>
      </c>
      <c r="V291">
        <v>2772</v>
      </c>
      <c r="W291" t="s">
        <v>36</v>
      </c>
      <c r="X291">
        <v>317.39999999999998</v>
      </c>
    </row>
    <row r="292" spans="1:24" x14ac:dyDescent="0.25">
      <c r="A292" s="2">
        <v>100290</v>
      </c>
      <c r="B292" s="1">
        <v>45411</v>
      </c>
      <c r="C292" s="1">
        <v>45416</v>
      </c>
      <c r="D292" s="1">
        <v>45427</v>
      </c>
      <c r="E292" t="s">
        <v>940</v>
      </c>
      <c r="F292" t="s">
        <v>54</v>
      </c>
      <c r="G292" t="s">
        <v>193</v>
      </c>
      <c r="H292" t="s">
        <v>941</v>
      </c>
      <c r="I292" t="s">
        <v>79</v>
      </c>
      <c r="J292" t="s">
        <v>80</v>
      </c>
      <c r="K292" t="s">
        <v>942</v>
      </c>
      <c r="L292" t="s">
        <v>64</v>
      </c>
      <c r="M292" t="s">
        <v>54</v>
      </c>
      <c r="N292" t="s">
        <v>102</v>
      </c>
      <c r="O292" t="s">
        <v>103</v>
      </c>
      <c r="P292" t="s">
        <v>76</v>
      </c>
      <c r="Q292">
        <v>241</v>
      </c>
      <c r="R292">
        <v>268.23</v>
      </c>
      <c r="S292">
        <v>64643.43</v>
      </c>
      <c r="T292">
        <v>9.19</v>
      </c>
      <c r="U292">
        <v>11</v>
      </c>
      <c r="V292">
        <v>504</v>
      </c>
      <c r="W292" t="s">
        <v>36</v>
      </c>
      <c r="X292">
        <v>16486.48</v>
      </c>
    </row>
    <row r="293" spans="1:24" x14ac:dyDescent="0.25">
      <c r="A293" s="2">
        <v>100291</v>
      </c>
      <c r="B293" s="1">
        <v>45473</v>
      </c>
      <c r="C293" s="1">
        <v>45477</v>
      </c>
      <c r="D293" s="1">
        <v>45491</v>
      </c>
      <c r="E293" t="s">
        <v>943</v>
      </c>
      <c r="F293" t="s">
        <v>38</v>
      </c>
      <c r="G293" t="s">
        <v>49</v>
      </c>
      <c r="H293" t="s">
        <v>944</v>
      </c>
      <c r="I293" t="s">
        <v>116</v>
      </c>
      <c r="J293" t="s">
        <v>62</v>
      </c>
      <c r="K293" t="s">
        <v>945</v>
      </c>
      <c r="L293" t="s">
        <v>44</v>
      </c>
      <c r="M293" t="s">
        <v>38</v>
      </c>
      <c r="N293" t="s">
        <v>92</v>
      </c>
      <c r="O293" t="s">
        <v>93</v>
      </c>
      <c r="P293" t="s">
        <v>123</v>
      </c>
      <c r="Q293">
        <v>100</v>
      </c>
      <c r="R293">
        <v>41.3</v>
      </c>
      <c r="S293">
        <v>4130</v>
      </c>
      <c r="T293">
        <v>9.7200000000000006</v>
      </c>
      <c r="U293">
        <v>14</v>
      </c>
      <c r="V293">
        <v>2805</v>
      </c>
      <c r="W293" t="s">
        <v>47</v>
      </c>
      <c r="X293">
        <v>-82.97</v>
      </c>
    </row>
    <row r="294" spans="1:24" x14ac:dyDescent="0.25">
      <c r="A294" s="2">
        <v>100292</v>
      </c>
      <c r="B294" s="1">
        <v>45750</v>
      </c>
      <c r="C294" s="1">
        <v>45752</v>
      </c>
      <c r="D294" s="1">
        <v>45757</v>
      </c>
      <c r="E294" t="s">
        <v>946</v>
      </c>
      <c r="F294" t="s">
        <v>25</v>
      </c>
      <c r="G294" t="s">
        <v>221</v>
      </c>
      <c r="H294" t="s">
        <v>947</v>
      </c>
      <c r="I294" t="s">
        <v>41</v>
      </c>
      <c r="J294" t="s">
        <v>42</v>
      </c>
      <c r="K294" t="s">
        <v>948</v>
      </c>
      <c r="L294" t="s">
        <v>118</v>
      </c>
      <c r="M294" t="s">
        <v>38</v>
      </c>
      <c r="N294" t="s">
        <v>45</v>
      </c>
      <c r="O294" t="s">
        <v>46</v>
      </c>
      <c r="P294" t="s">
        <v>68</v>
      </c>
      <c r="Q294">
        <v>471</v>
      </c>
      <c r="R294">
        <v>417.48</v>
      </c>
      <c r="S294">
        <v>196633.08</v>
      </c>
      <c r="T294">
        <v>59.03</v>
      </c>
      <c r="U294">
        <v>5</v>
      </c>
      <c r="V294">
        <v>1506</v>
      </c>
      <c r="W294" t="s">
        <v>57</v>
      </c>
      <c r="X294">
        <v>38716.370000000003</v>
      </c>
    </row>
    <row r="295" spans="1:24" x14ac:dyDescent="0.25">
      <c r="A295" s="2">
        <v>100293</v>
      </c>
      <c r="B295" s="1">
        <v>45646</v>
      </c>
      <c r="C295" s="1">
        <v>45648</v>
      </c>
      <c r="D295" s="1">
        <v>45673</v>
      </c>
      <c r="E295" t="s">
        <v>949</v>
      </c>
      <c r="F295" t="s">
        <v>32</v>
      </c>
      <c r="G295" t="s">
        <v>95</v>
      </c>
      <c r="H295" t="s">
        <v>950</v>
      </c>
      <c r="I295" t="s">
        <v>51</v>
      </c>
      <c r="J295" t="s">
        <v>52</v>
      </c>
      <c r="K295" t="s">
        <v>951</v>
      </c>
      <c r="L295" t="s">
        <v>44</v>
      </c>
      <c r="M295" t="s">
        <v>32</v>
      </c>
      <c r="N295" t="s">
        <v>55</v>
      </c>
      <c r="O295" t="s">
        <v>56</v>
      </c>
      <c r="P295" t="s">
        <v>76</v>
      </c>
      <c r="Q295">
        <v>392</v>
      </c>
      <c r="R295">
        <v>68.11</v>
      </c>
      <c r="S295">
        <v>26699.119999999999</v>
      </c>
      <c r="T295">
        <v>11.23</v>
      </c>
      <c r="U295">
        <v>25</v>
      </c>
      <c r="V295">
        <v>3721</v>
      </c>
      <c r="W295" t="s">
        <v>36</v>
      </c>
      <c r="X295">
        <v>2652.11</v>
      </c>
    </row>
    <row r="296" spans="1:24" x14ac:dyDescent="0.25">
      <c r="A296" s="2">
        <v>100294</v>
      </c>
      <c r="B296" s="1">
        <v>45942</v>
      </c>
      <c r="C296" s="1">
        <v>45947</v>
      </c>
      <c r="D296" s="1">
        <v>45952</v>
      </c>
      <c r="E296" t="s">
        <v>952</v>
      </c>
      <c r="F296" t="s">
        <v>25</v>
      </c>
      <c r="G296" t="s">
        <v>221</v>
      </c>
      <c r="H296" t="s">
        <v>953</v>
      </c>
      <c r="I296" t="s">
        <v>416</v>
      </c>
      <c r="J296" t="s">
        <v>80</v>
      </c>
      <c r="K296" t="s">
        <v>954</v>
      </c>
      <c r="L296" t="s">
        <v>113</v>
      </c>
      <c r="M296" t="s">
        <v>32</v>
      </c>
      <c r="N296" t="s">
        <v>102</v>
      </c>
      <c r="O296" t="s">
        <v>103</v>
      </c>
      <c r="P296" t="s">
        <v>123</v>
      </c>
      <c r="Q296">
        <v>398</v>
      </c>
      <c r="R296">
        <v>348.65</v>
      </c>
      <c r="S296">
        <v>138762.70000000001</v>
      </c>
      <c r="T296">
        <v>20.36</v>
      </c>
      <c r="U296">
        <v>5</v>
      </c>
      <c r="V296">
        <v>1635</v>
      </c>
      <c r="W296" t="s">
        <v>36</v>
      </c>
      <c r="X296">
        <v>32507.84</v>
      </c>
    </row>
    <row r="297" spans="1:24" x14ac:dyDescent="0.25">
      <c r="A297" s="2">
        <v>100295</v>
      </c>
      <c r="B297" s="1">
        <v>46006</v>
      </c>
      <c r="C297" s="1">
        <v>46008</v>
      </c>
      <c r="D297" s="1">
        <v>46013</v>
      </c>
      <c r="E297" t="s">
        <v>955</v>
      </c>
      <c r="F297" t="s">
        <v>54</v>
      </c>
      <c r="G297" t="s">
        <v>225</v>
      </c>
      <c r="H297" t="s">
        <v>956</v>
      </c>
      <c r="I297" t="s">
        <v>149</v>
      </c>
      <c r="J297" t="s">
        <v>42</v>
      </c>
      <c r="K297" t="s">
        <v>957</v>
      </c>
      <c r="L297" t="s">
        <v>113</v>
      </c>
      <c r="M297" t="s">
        <v>65</v>
      </c>
      <c r="N297" t="s">
        <v>151</v>
      </c>
      <c r="O297" t="s">
        <v>152</v>
      </c>
      <c r="P297" t="s">
        <v>123</v>
      </c>
      <c r="Q297">
        <v>480</v>
      </c>
      <c r="R297">
        <v>420.77</v>
      </c>
      <c r="S297">
        <v>201969.6</v>
      </c>
      <c r="T297">
        <v>22.36</v>
      </c>
      <c r="U297">
        <v>5</v>
      </c>
      <c r="V297">
        <v>989</v>
      </c>
      <c r="W297" t="s">
        <v>36</v>
      </c>
      <c r="X297">
        <v>35847.24</v>
      </c>
    </row>
    <row r="298" spans="1:24" x14ac:dyDescent="0.25">
      <c r="A298" s="2">
        <v>100296</v>
      </c>
      <c r="B298" s="1">
        <v>45749</v>
      </c>
      <c r="C298" s="1">
        <v>45754</v>
      </c>
      <c r="D298" s="1">
        <v>45760</v>
      </c>
      <c r="E298" t="s">
        <v>958</v>
      </c>
      <c r="F298" t="s">
        <v>65</v>
      </c>
      <c r="G298" t="s">
        <v>70</v>
      </c>
      <c r="H298" t="s">
        <v>959</v>
      </c>
      <c r="I298" t="s">
        <v>116</v>
      </c>
      <c r="J298" t="s">
        <v>62</v>
      </c>
      <c r="K298" t="s">
        <v>960</v>
      </c>
      <c r="L298" t="s">
        <v>44</v>
      </c>
      <c r="M298" t="s">
        <v>25</v>
      </c>
      <c r="N298" t="s">
        <v>203</v>
      </c>
      <c r="O298" t="s">
        <v>204</v>
      </c>
      <c r="P298" t="s">
        <v>123</v>
      </c>
      <c r="Q298">
        <v>113</v>
      </c>
      <c r="R298">
        <v>36.729999999999997</v>
      </c>
      <c r="S298">
        <v>4150.49</v>
      </c>
      <c r="T298">
        <v>13.44</v>
      </c>
      <c r="U298">
        <v>6</v>
      </c>
      <c r="V298">
        <v>2049</v>
      </c>
      <c r="W298" t="s">
        <v>36</v>
      </c>
      <c r="X298">
        <v>519.4</v>
      </c>
    </row>
    <row r="299" spans="1:24" x14ac:dyDescent="0.25">
      <c r="A299" s="2">
        <v>100297</v>
      </c>
      <c r="B299" s="1">
        <v>45666</v>
      </c>
      <c r="C299" s="1">
        <v>45668</v>
      </c>
      <c r="D299" s="1">
        <v>45671</v>
      </c>
      <c r="E299" t="s">
        <v>961</v>
      </c>
      <c r="F299" t="s">
        <v>25</v>
      </c>
      <c r="G299" t="s">
        <v>221</v>
      </c>
      <c r="H299" t="s">
        <v>962</v>
      </c>
      <c r="I299" t="s">
        <v>41</v>
      </c>
      <c r="J299" t="s">
        <v>42</v>
      </c>
      <c r="K299" t="s">
        <v>235</v>
      </c>
      <c r="L299" t="s">
        <v>113</v>
      </c>
      <c r="M299" t="s">
        <v>25</v>
      </c>
      <c r="N299" t="s">
        <v>107</v>
      </c>
      <c r="O299" t="s">
        <v>108</v>
      </c>
      <c r="P299" t="s">
        <v>68</v>
      </c>
      <c r="Q299">
        <v>231</v>
      </c>
      <c r="R299">
        <v>414.98</v>
      </c>
      <c r="S299">
        <v>95860.38</v>
      </c>
      <c r="T299">
        <v>32.21</v>
      </c>
      <c r="U299">
        <v>3</v>
      </c>
      <c r="V299">
        <v>1229</v>
      </c>
      <c r="W299" t="s">
        <v>36</v>
      </c>
      <c r="X299">
        <v>9699.2199999999993</v>
      </c>
    </row>
    <row r="300" spans="1:24" x14ac:dyDescent="0.25">
      <c r="A300" s="2">
        <v>100298</v>
      </c>
      <c r="B300" s="1">
        <v>45729</v>
      </c>
      <c r="C300" s="1">
        <v>45730</v>
      </c>
      <c r="D300" s="1">
        <v>45744</v>
      </c>
      <c r="E300" t="s">
        <v>963</v>
      </c>
      <c r="F300" t="s">
        <v>32</v>
      </c>
      <c r="G300" t="s">
        <v>180</v>
      </c>
      <c r="H300" t="s">
        <v>964</v>
      </c>
      <c r="I300" t="s">
        <v>61</v>
      </c>
      <c r="J300" t="s">
        <v>62</v>
      </c>
      <c r="K300" t="s">
        <v>965</v>
      </c>
      <c r="L300" t="s">
        <v>64</v>
      </c>
      <c r="M300" t="s">
        <v>54</v>
      </c>
      <c r="N300" t="s">
        <v>92</v>
      </c>
      <c r="O300" t="s">
        <v>93</v>
      </c>
      <c r="P300" t="s">
        <v>123</v>
      </c>
      <c r="Q300">
        <v>17</v>
      </c>
      <c r="R300">
        <v>7.99</v>
      </c>
      <c r="S300">
        <v>135.83000000000001</v>
      </c>
      <c r="T300">
        <v>11.11</v>
      </c>
      <c r="U300">
        <v>14</v>
      </c>
      <c r="V300">
        <v>2687</v>
      </c>
      <c r="W300" t="s">
        <v>36</v>
      </c>
      <c r="X300">
        <v>7.32</v>
      </c>
    </row>
    <row r="301" spans="1:24" x14ac:dyDescent="0.25">
      <c r="A301" s="2">
        <v>100299</v>
      </c>
      <c r="B301" s="1">
        <v>45336</v>
      </c>
      <c r="C301" s="1">
        <v>45338</v>
      </c>
      <c r="D301" s="1">
        <v>45349</v>
      </c>
      <c r="E301" t="s">
        <v>966</v>
      </c>
      <c r="F301" t="s">
        <v>54</v>
      </c>
      <c r="G301" t="s">
        <v>158</v>
      </c>
      <c r="H301" t="s">
        <v>967</v>
      </c>
      <c r="I301" t="s">
        <v>85</v>
      </c>
      <c r="J301" t="s">
        <v>52</v>
      </c>
      <c r="K301" t="s">
        <v>968</v>
      </c>
      <c r="L301" t="s">
        <v>64</v>
      </c>
      <c r="M301" t="s">
        <v>25</v>
      </c>
      <c r="N301" t="s">
        <v>66</v>
      </c>
      <c r="O301" t="s">
        <v>67</v>
      </c>
      <c r="P301" t="s">
        <v>123</v>
      </c>
      <c r="Q301">
        <v>82</v>
      </c>
      <c r="R301">
        <v>89.77</v>
      </c>
      <c r="S301">
        <v>7361.14</v>
      </c>
      <c r="T301">
        <v>12.68</v>
      </c>
      <c r="U301">
        <v>11</v>
      </c>
      <c r="V301">
        <v>2459</v>
      </c>
      <c r="W301" t="s">
        <v>36</v>
      </c>
      <c r="X301">
        <v>1079.68</v>
      </c>
    </row>
    <row r="302" spans="1:24" x14ac:dyDescent="0.25">
      <c r="A302" s="2">
        <v>100300</v>
      </c>
      <c r="B302" s="1">
        <v>45498</v>
      </c>
      <c r="C302" s="1">
        <v>45502</v>
      </c>
      <c r="D302" s="1">
        <v>45509</v>
      </c>
      <c r="E302" t="s">
        <v>969</v>
      </c>
      <c r="F302" t="s">
        <v>38</v>
      </c>
      <c r="G302" t="s">
        <v>49</v>
      </c>
      <c r="H302" t="s">
        <v>970</v>
      </c>
      <c r="I302" t="s">
        <v>89</v>
      </c>
      <c r="J302" t="s">
        <v>62</v>
      </c>
      <c r="K302" t="s">
        <v>971</v>
      </c>
      <c r="L302" t="s">
        <v>187</v>
      </c>
      <c r="M302" t="s">
        <v>65</v>
      </c>
      <c r="N302" t="s">
        <v>92</v>
      </c>
      <c r="O302" t="s">
        <v>93</v>
      </c>
      <c r="P302" t="s">
        <v>123</v>
      </c>
      <c r="Q302">
        <v>73</v>
      </c>
      <c r="R302">
        <v>45.14</v>
      </c>
      <c r="S302">
        <v>3295.22</v>
      </c>
      <c r="T302">
        <v>12.47</v>
      </c>
      <c r="U302">
        <v>7</v>
      </c>
      <c r="V302">
        <v>1224</v>
      </c>
      <c r="W302" t="s">
        <v>36</v>
      </c>
      <c r="X302">
        <v>182.72</v>
      </c>
    </row>
    <row r="303" spans="1:24" x14ac:dyDescent="0.25">
      <c r="A303" s="2">
        <v>100301</v>
      </c>
      <c r="B303" s="1">
        <v>45567</v>
      </c>
      <c r="C303" s="1">
        <v>45568</v>
      </c>
      <c r="D303" s="1">
        <v>45577</v>
      </c>
      <c r="E303" t="s">
        <v>972</v>
      </c>
      <c r="F303" t="s">
        <v>38</v>
      </c>
      <c r="G303" t="s">
        <v>39</v>
      </c>
      <c r="H303" t="s">
        <v>973</v>
      </c>
      <c r="I303" t="s">
        <v>191</v>
      </c>
      <c r="J303" t="s">
        <v>62</v>
      </c>
      <c r="K303" t="s">
        <v>974</v>
      </c>
      <c r="L303" t="s">
        <v>113</v>
      </c>
      <c r="M303" t="s">
        <v>65</v>
      </c>
      <c r="N303" t="s">
        <v>66</v>
      </c>
      <c r="O303" t="s">
        <v>67</v>
      </c>
      <c r="P303" t="s">
        <v>123</v>
      </c>
      <c r="Q303">
        <v>302</v>
      </c>
      <c r="R303">
        <v>39.17</v>
      </c>
      <c r="S303">
        <v>11829.34</v>
      </c>
      <c r="T303">
        <v>18.03</v>
      </c>
      <c r="U303">
        <v>9</v>
      </c>
      <c r="V303">
        <v>883</v>
      </c>
      <c r="W303" t="s">
        <v>36</v>
      </c>
      <c r="X303">
        <v>1801.06</v>
      </c>
    </row>
    <row r="304" spans="1:24" x14ac:dyDescent="0.25">
      <c r="A304" s="2">
        <v>100302</v>
      </c>
      <c r="B304" s="1">
        <v>45384</v>
      </c>
      <c r="C304" s="1">
        <v>45389</v>
      </c>
      <c r="D304" s="1">
        <v>45393</v>
      </c>
      <c r="E304" t="s">
        <v>975</v>
      </c>
      <c r="F304" t="s">
        <v>32</v>
      </c>
      <c r="G304" t="s">
        <v>255</v>
      </c>
      <c r="H304" t="s">
        <v>976</v>
      </c>
      <c r="I304" t="s">
        <v>41</v>
      </c>
      <c r="J304" t="s">
        <v>42</v>
      </c>
      <c r="K304" t="s">
        <v>977</v>
      </c>
      <c r="L304" t="s">
        <v>91</v>
      </c>
      <c r="M304" t="s">
        <v>38</v>
      </c>
      <c r="N304" t="s">
        <v>151</v>
      </c>
      <c r="O304" t="s">
        <v>152</v>
      </c>
      <c r="P304" t="s">
        <v>68</v>
      </c>
      <c r="Q304">
        <v>489</v>
      </c>
      <c r="R304">
        <v>440.4</v>
      </c>
      <c r="S304">
        <v>215355.6</v>
      </c>
      <c r="T304">
        <v>60.2</v>
      </c>
      <c r="U304">
        <v>4</v>
      </c>
      <c r="V304">
        <v>1159</v>
      </c>
      <c r="W304" t="s">
        <v>36</v>
      </c>
      <c r="X304">
        <v>19474.099999999999</v>
      </c>
    </row>
    <row r="305" spans="1:24" x14ac:dyDescent="0.25">
      <c r="A305" s="2">
        <v>100303</v>
      </c>
      <c r="B305" s="1">
        <v>45667</v>
      </c>
      <c r="C305" s="1">
        <v>45672</v>
      </c>
      <c r="D305" s="1">
        <v>45683</v>
      </c>
      <c r="E305" t="s">
        <v>703</v>
      </c>
      <c r="F305" t="s">
        <v>32</v>
      </c>
      <c r="G305" t="s">
        <v>364</v>
      </c>
      <c r="H305" t="s">
        <v>978</v>
      </c>
      <c r="I305" t="s">
        <v>149</v>
      </c>
      <c r="J305" t="s">
        <v>42</v>
      </c>
      <c r="K305" t="s">
        <v>835</v>
      </c>
      <c r="L305" t="s">
        <v>187</v>
      </c>
      <c r="M305" t="s">
        <v>54</v>
      </c>
      <c r="N305" t="s">
        <v>55</v>
      </c>
      <c r="O305" t="s">
        <v>56</v>
      </c>
      <c r="P305" t="s">
        <v>76</v>
      </c>
      <c r="Q305">
        <v>199</v>
      </c>
      <c r="R305">
        <v>113.49</v>
      </c>
      <c r="S305">
        <v>22584.51</v>
      </c>
      <c r="T305">
        <v>11.65</v>
      </c>
      <c r="U305">
        <v>11</v>
      </c>
      <c r="V305">
        <v>535</v>
      </c>
      <c r="W305" t="s">
        <v>36</v>
      </c>
      <c r="X305">
        <v>640.9</v>
      </c>
    </row>
    <row r="306" spans="1:24" x14ac:dyDescent="0.25">
      <c r="A306" s="2">
        <v>100304</v>
      </c>
      <c r="B306" s="1">
        <v>45634</v>
      </c>
      <c r="C306" s="1">
        <v>45634</v>
      </c>
      <c r="D306" s="1">
        <v>45636</v>
      </c>
      <c r="E306" t="s">
        <v>979</v>
      </c>
      <c r="F306" t="s">
        <v>32</v>
      </c>
      <c r="G306" t="s">
        <v>255</v>
      </c>
      <c r="H306" t="s">
        <v>980</v>
      </c>
      <c r="I306" t="s">
        <v>72</v>
      </c>
      <c r="J306" t="s">
        <v>42</v>
      </c>
      <c r="K306" t="s">
        <v>322</v>
      </c>
      <c r="L306" t="s">
        <v>113</v>
      </c>
      <c r="M306" t="s">
        <v>32</v>
      </c>
      <c r="N306" t="s">
        <v>102</v>
      </c>
      <c r="O306" t="s">
        <v>103</v>
      </c>
      <c r="P306" t="s">
        <v>35</v>
      </c>
      <c r="Q306">
        <v>190</v>
      </c>
      <c r="R306">
        <v>223.26</v>
      </c>
      <c r="S306">
        <v>42419.4</v>
      </c>
      <c r="T306">
        <v>13.23</v>
      </c>
      <c r="U306">
        <v>2</v>
      </c>
      <c r="V306">
        <v>826</v>
      </c>
      <c r="W306" t="s">
        <v>36</v>
      </c>
      <c r="X306">
        <v>6630.21</v>
      </c>
    </row>
    <row r="307" spans="1:24" x14ac:dyDescent="0.25">
      <c r="A307" s="2">
        <v>100305</v>
      </c>
      <c r="B307" s="1">
        <v>45690</v>
      </c>
      <c r="C307" s="1">
        <v>45691</v>
      </c>
      <c r="D307" s="1">
        <v>45716</v>
      </c>
      <c r="E307" t="s">
        <v>981</v>
      </c>
      <c r="F307" t="s">
        <v>25</v>
      </c>
      <c r="G307" t="s">
        <v>244</v>
      </c>
      <c r="H307" t="s">
        <v>982</v>
      </c>
      <c r="I307" t="s">
        <v>134</v>
      </c>
      <c r="J307" t="s">
        <v>52</v>
      </c>
      <c r="K307" t="s">
        <v>965</v>
      </c>
      <c r="L307" t="s">
        <v>31</v>
      </c>
      <c r="M307" t="s">
        <v>38</v>
      </c>
      <c r="N307" t="s">
        <v>74</v>
      </c>
      <c r="O307" t="s">
        <v>75</v>
      </c>
      <c r="P307" t="s">
        <v>76</v>
      </c>
      <c r="Q307">
        <v>227</v>
      </c>
      <c r="R307">
        <v>24</v>
      </c>
      <c r="S307">
        <v>5448</v>
      </c>
      <c r="T307">
        <v>12.16</v>
      </c>
      <c r="U307">
        <v>25</v>
      </c>
      <c r="V307">
        <v>1044</v>
      </c>
      <c r="W307" t="s">
        <v>188</v>
      </c>
      <c r="X307">
        <v>718.06</v>
      </c>
    </row>
    <row r="308" spans="1:24" x14ac:dyDescent="0.25">
      <c r="A308" s="2">
        <v>100306</v>
      </c>
      <c r="B308" s="1">
        <v>45502</v>
      </c>
      <c r="C308" s="1">
        <v>45505</v>
      </c>
      <c r="D308" s="1">
        <v>45506</v>
      </c>
      <c r="E308" t="s">
        <v>983</v>
      </c>
      <c r="F308" t="s">
        <v>32</v>
      </c>
      <c r="G308" t="s">
        <v>95</v>
      </c>
      <c r="H308" t="s">
        <v>984</v>
      </c>
      <c r="I308" t="s">
        <v>116</v>
      </c>
      <c r="J308" t="s">
        <v>62</v>
      </c>
      <c r="K308" t="s">
        <v>985</v>
      </c>
      <c r="L308" t="s">
        <v>31</v>
      </c>
      <c r="M308" t="s">
        <v>54</v>
      </c>
      <c r="N308" t="s">
        <v>107</v>
      </c>
      <c r="O308" t="s">
        <v>108</v>
      </c>
      <c r="P308" t="s">
        <v>68</v>
      </c>
      <c r="Q308">
        <v>304</v>
      </c>
      <c r="R308">
        <v>25.43</v>
      </c>
      <c r="S308">
        <v>7730.72</v>
      </c>
      <c r="T308">
        <v>48.21</v>
      </c>
      <c r="U308">
        <v>1</v>
      </c>
      <c r="V308">
        <v>3177</v>
      </c>
      <c r="W308" t="s">
        <v>36</v>
      </c>
      <c r="X308">
        <v>1232.6500000000001</v>
      </c>
    </row>
    <row r="309" spans="1:24" x14ac:dyDescent="0.25">
      <c r="A309" s="2">
        <v>100307</v>
      </c>
      <c r="B309" s="1">
        <v>45681</v>
      </c>
      <c r="C309" s="1">
        <v>45683</v>
      </c>
      <c r="D309" s="1">
        <v>45688</v>
      </c>
      <c r="E309" t="s">
        <v>986</v>
      </c>
      <c r="F309" t="s">
        <v>25</v>
      </c>
      <c r="G309" t="s">
        <v>221</v>
      </c>
      <c r="H309" t="s">
        <v>987</v>
      </c>
      <c r="I309" t="s">
        <v>85</v>
      </c>
      <c r="J309" t="s">
        <v>52</v>
      </c>
      <c r="K309" t="s">
        <v>988</v>
      </c>
      <c r="L309" t="s">
        <v>91</v>
      </c>
      <c r="M309" t="s">
        <v>38</v>
      </c>
      <c r="N309" t="s">
        <v>92</v>
      </c>
      <c r="O309" t="s">
        <v>93</v>
      </c>
      <c r="P309" t="s">
        <v>68</v>
      </c>
      <c r="Q309">
        <v>319</v>
      </c>
      <c r="R309">
        <v>26.85</v>
      </c>
      <c r="S309">
        <v>8565.15</v>
      </c>
      <c r="T309">
        <v>49.18</v>
      </c>
      <c r="U309">
        <v>5</v>
      </c>
      <c r="V309">
        <v>1774</v>
      </c>
      <c r="W309" t="s">
        <v>36</v>
      </c>
      <c r="X309">
        <v>861.5</v>
      </c>
    </row>
    <row r="310" spans="1:24" x14ac:dyDescent="0.25">
      <c r="A310" s="2">
        <v>100308</v>
      </c>
      <c r="B310" s="1">
        <v>45411</v>
      </c>
      <c r="C310" s="1">
        <v>45414</v>
      </c>
      <c r="D310" s="1">
        <v>45420</v>
      </c>
      <c r="E310" t="s">
        <v>989</v>
      </c>
      <c r="F310" t="s">
        <v>65</v>
      </c>
      <c r="G310" t="s">
        <v>142</v>
      </c>
      <c r="H310" t="s">
        <v>990</v>
      </c>
      <c r="I310" t="s">
        <v>79</v>
      </c>
      <c r="J310" t="s">
        <v>80</v>
      </c>
      <c r="K310" t="s">
        <v>991</v>
      </c>
      <c r="L310" t="s">
        <v>64</v>
      </c>
      <c r="M310" t="s">
        <v>54</v>
      </c>
      <c r="N310" t="s">
        <v>203</v>
      </c>
      <c r="O310" t="s">
        <v>204</v>
      </c>
      <c r="P310" t="s">
        <v>35</v>
      </c>
      <c r="Q310">
        <v>255</v>
      </c>
      <c r="R310">
        <v>295.97000000000003</v>
      </c>
      <c r="S310">
        <v>75472.350000000006</v>
      </c>
      <c r="T310">
        <v>19.7</v>
      </c>
      <c r="U310">
        <v>6</v>
      </c>
      <c r="V310">
        <v>455</v>
      </c>
      <c r="W310" t="s">
        <v>36</v>
      </c>
      <c r="X310">
        <v>15784.4</v>
      </c>
    </row>
    <row r="311" spans="1:24" x14ac:dyDescent="0.25">
      <c r="A311" s="2">
        <v>100309</v>
      </c>
      <c r="B311" s="1">
        <v>45297</v>
      </c>
      <c r="C311" s="1">
        <v>45302</v>
      </c>
      <c r="D311" s="1">
        <v>45327</v>
      </c>
      <c r="E311" t="s">
        <v>992</v>
      </c>
      <c r="F311" t="s">
        <v>65</v>
      </c>
      <c r="G311" t="s">
        <v>154</v>
      </c>
      <c r="H311" t="s">
        <v>993</v>
      </c>
      <c r="I311" t="s">
        <v>116</v>
      </c>
      <c r="J311" t="s">
        <v>62</v>
      </c>
      <c r="K311" t="s">
        <v>942</v>
      </c>
      <c r="L311" t="s">
        <v>113</v>
      </c>
      <c r="M311" t="s">
        <v>32</v>
      </c>
      <c r="N311" t="s">
        <v>45</v>
      </c>
      <c r="O311" t="s">
        <v>46</v>
      </c>
      <c r="P311" t="s">
        <v>76</v>
      </c>
      <c r="Q311">
        <v>85</v>
      </c>
      <c r="R311">
        <v>30.06</v>
      </c>
      <c r="S311">
        <v>2555.1</v>
      </c>
      <c r="T311">
        <v>9.57</v>
      </c>
      <c r="U311">
        <v>25</v>
      </c>
      <c r="V311">
        <v>648</v>
      </c>
      <c r="W311" t="s">
        <v>36</v>
      </c>
      <c r="X311">
        <v>341.65</v>
      </c>
    </row>
    <row r="312" spans="1:24" x14ac:dyDescent="0.25">
      <c r="A312" s="2">
        <v>100310</v>
      </c>
      <c r="B312" s="1">
        <v>46016</v>
      </c>
      <c r="C312" s="1">
        <v>46017</v>
      </c>
      <c r="D312" s="1">
        <v>46021</v>
      </c>
      <c r="E312" t="s">
        <v>994</v>
      </c>
      <c r="F312" t="s">
        <v>32</v>
      </c>
      <c r="G312" t="s">
        <v>180</v>
      </c>
      <c r="H312" t="s">
        <v>995</v>
      </c>
      <c r="I312" t="s">
        <v>416</v>
      </c>
      <c r="J312" t="s">
        <v>80</v>
      </c>
      <c r="K312" t="s">
        <v>410</v>
      </c>
      <c r="L312" t="s">
        <v>118</v>
      </c>
      <c r="M312" t="s">
        <v>54</v>
      </c>
      <c r="N312" t="s">
        <v>203</v>
      </c>
      <c r="O312" t="s">
        <v>204</v>
      </c>
      <c r="P312" t="s">
        <v>68</v>
      </c>
      <c r="Q312">
        <v>136</v>
      </c>
      <c r="R312">
        <v>226.09</v>
      </c>
      <c r="S312">
        <v>30748.240000000002</v>
      </c>
      <c r="T312">
        <v>37.32</v>
      </c>
      <c r="U312">
        <v>4</v>
      </c>
      <c r="V312">
        <v>325</v>
      </c>
      <c r="W312" t="s">
        <v>36</v>
      </c>
      <c r="X312">
        <v>4958.0200000000004</v>
      </c>
    </row>
    <row r="313" spans="1:24" x14ac:dyDescent="0.25">
      <c r="A313" s="2">
        <v>100311</v>
      </c>
      <c r="B313" s="1">
        <v>45564</v>
      </c>
      <c r="C313" s="1">
        <v>45565</v>
      </c>
      <c r="D313" s="1">
        <v>45582</v>
      </c>
      <c r="E313" t="s">
        <v>996</v>
      </c>
      <c r="F313" t="s">
        <v>54</v>
      </c>
      <c r="G313" t="s">
        <v>193</v>
      </c>
      <c r="H313" t="s">
        <v>997</v>
      </c>
      <c r="I313" t="s">
        <v>28</v>
      </c>
      <c r="J313" t="s">
        <v>29</v>
      </c>
      <c r="K313" t="s">
        <v>998</v>
      </c>
      <c r="L313" t="s">
        <v>64</v>
      </c>
      <c r="M313" t="s">
        <v>25</v>
      </c>
      <c r="N313" t="s">
        <v>92</v>
      </c>
      <c r="O313" t="s">
        <v>93</v>
      </c>
      <c r="P313" t="s">
        <v>76</v>
      </c>
      <c r="Q313">
        <v>273</v>
      </c>
      <c r="R313">
        <v>111.7</v>
      </c>
      <c r="S313">
        <v>30494.1</v>
      </c>
      <c r="T313">
        <v>12.99</v>
      </c>
      <c r="U313">
        <v>17</v>
      </c>
      <c r="V313">
        <v>1284</v>
      </c>
      <c r="W313" t="s">
        <v>36</v>
      </c>
      <c r="X313">
        <v>5880.3</v>
      </c>
    </row>
    <row r="314" spans="1:24" x14ac:dyDescent="0.25">
      <c r="A314" s="2">
        <v>100312</v>
      </c>
      <c r="B314" s="1">
        <v>45563</v>
      </c>
      <c r="C314" s="1">
        <v>45564</v>
      </c>
      <c r="D314" s="1">
        <v>45566</v>
      </c>
      <c r="E314" t="s">
        <v>999</v>
      </c>
      <c r="F314" t="s">
        <v>25</v>
      </c>
      <c r="G314" t="s">
        <v>221</v>
      </c>
      <c r="H314" t="s">
        <v>1000</v>
      </c>
      <c r="I314" t="s">
        <v>89</v>
      </c>
      <c r="J314" t="s">
        <v>62</v>
      </c>
      <c r="K314" t="s">
        <v>977</v>
      </c>
      <c r="L314" t="s">
        <v>98</v>
      </c>
      <c r="M314" t="s">
        <v>54</v>
      </c>
      <c r="N314" t="s">
        <v>55</v>
      </c>
      <c r="O314" t="s">
        <v>56</v>
      </c>
      <c r="P314" t="s">
        <v>68</v>
      </c>
      <c r="Q314">
        <v>105</v>
      </c>
      <c r="R314">
        <v>21.91</v>
      </c>
      <c r="S314">
        <v>2300.5500000000002</v>
      </c>
      <c r="T314">
        <v>35.32</v>
      </c>
      <c r="U314">
        <v>2</v>
      </c>
      <c r="V314">
        <v>1417</v>
      </c>
      <c r="W314" t="s">
        <v>36</v>
      </c>
      <c r="X314">
        <v>281.39999999999998</v>
      </c>
    </row>
    <row r="315" spans="1:24" x14ac:dyDescent="0.25">
      <c r="A315" s="2">
        <v>100313</v>
      </c>
      <c r="B315" s="1">
        <v>45915</v>
      </c>
      <c r="C315" s="1">
        <v>45915</v>
      </c>
      <c r="D315" s="1">
        <v>45924</v>
      </c>
      <c r="E315" t="s">
        <v>1001</v>
      </c>
      <c r="F315" t="s">
        <v>25</v>
      </c>
      <c r="G315" t="s">
        <v>244</v>
      </c>
      <c r="H315" t="s">
        <v>1002</v>
      </c>
      <c r="I315" t="s">
        <v>144</v>
      </c>
      <c r="J315" t="s">
        <v>52</v>
      </c>
      <c r="K315" t="s">
        <v>1003</v>
      </c>
      <c r="L315" t="s">
        <v>31</v>
      </c>
      <c r="M315" t="s">
        <v>54</v>
      </c>
      <c r="N315" t="s">
        <v>45</v>
      </c>
      <c r="O315" t="s">
        <v>46</v>
      </c>
      <c r="P315" t="s">
        <v>35</v>
      </c>
      <c r="Q315">
        <v>373</v>
      </c>
      <c r="R315">
        <v>49.1</v>
      </c>
      <c r="S315">
        <v>18314.3</v>
      </c>
      <c r="T315">
        <v>23.05</v>
      </c>
      <c r="U315">
        <v>9</v>
      </c>
      <c r="V315">
        <v>2631</v>
      </c>
      <c r="W315" t="s">
        <v>36</v>
      </c>
      <c r="X315">
        <v>2302.19</v>
      </c>
    </row>
    <row r="316" spans="1:24" x14ac:dyDescent="0.25">
      <c r="A316" s="2">
        <v>100314</v>
      </c>
      <c r="B316" s="1">
        <v>45292</v>
      </c>
      <c r="C316" s="1">
        <v>45295</v>
      </c>
      <c r="D316" s="1">
        <v>45298</v>
      </c>
      <c r="E316" t="s">
        <v>1004</v>
      </c>
      <c r="F316" t="s">
        <v>65</v>
      </c>
      <c r="G316" t="s">
        <v>70</v>
      </c>
      <c r="H316" t="s">
        <v>1005</v>
      </c>
      <c r="I316" t="s">
        <v>191</v>
      </c>
      <c r="J316" t="s">
        <v>62</v>
      </c>
      <c r="K316" t="s">
        <v>649</v>
      </c>
      <c r="L316" t="s">
        <v>44</v>
      </c>
      <c r="M316" t="s">
        <v>54</v>
      </c>
      <c r="N316" t="s">
        <v>45</v>
      </c>
      <c r="O316" t="s">
        <v>46</v>
      </c>
      <c r="P316" t="s">
        <v>68</v>
      </c>
      <c r="Q316">
        <v>149</v>
      </c>
      <c r="R316">
        <v>37.61</v>
      </c>
      <c r="S316">
        <v>5603.89</v>
      </c>
      <c r="T316">
        <v>38.17</v>
      </c>
      <c r="U316">
        <v>3</v>
      </c>
      <c r="V316">
        <v>3251</v>
      </c>
      <c r="W316" t="s">
        <v>36</v>
      </c>
      <c r="X316">
        <v>518.67999999999995</v>
      </c>
    </row>
    <row r="317" spans="1:24" x14ac:dyDescent="0.25">
      <c r="A317" s="2">
        <v>100315</v>
      </c>
      <c r="B317" s="1">
        <v>45993</v>
      </c>
      <c r="C317" s="1">
        <v>45995</v>
      </c>
      <c r="D317" s="1">
        <v>46015</v>
      </c>
      <c r="E317" t="s">
        <v>1006</v>
      </c>
      <c r="F317" t="s">
        <v>54</v>
      </c>
      <c r="G317" t="s">
        <v>193</v>
      </c>
      <c r="H317" t="s">
        <v>1007</v>
      </c>
      <c r="I317" t="s">
        <v>134</v>
      </c>
      <c r="J317" t="s">
        <v>52</v>
      </c>
      <c r="K317" t="s">
        <v>723</v>
      </c>
      <c r="L317" t="s">
        <v>98</v>
      </c>
      <c r="M317" t="s">
        <v>54</v>
      </c>
      <c r="N317" t="s">
        <v>92</v>
      </c>
      <c r="O317" t="s">
        <v>93</v>
      </c>
      <c r="P317" t="s">
        <v>76</v>
      </c>
      <c r="Q317">
        <v>433</v>
      </c>
      <c r="R317">
        <v>84.19</v>
      </c>
      <c r="S317">
        <v>36454.269999999997</v>
      </c>
      <c r="T317">
        <v>11.79</v>
      </c>
      <c r="U317">
        <v>20</v>
      </c>
      <c r="V317">
        <v>692</v>
      </c>
      <c r="W317" t="s">
        <v>36</v>
      </c>
      <c r="X317">
        <v>6213.93</v>
      </c>
    </row>
    <row r="318" spans="1:24" x14ac:dyDescent="0.25">
      <c r="A318" s="2">
        <v>100316</v>
      </c>
      <c r="B318" s="1">
        <v>45430</v>
      </c>
      <c r="C318" s="1">
        <v>45430</v>
      </c>
      <c r="D318" s="1">
        <v>45435</v>
      </c>
      <c r="E318" t="s">
        <v>1008</v>
      </c>
      <c r="F318" t="s">
        <v>65</v>
      </c>
      <c r="G318" t="s">
        <v>154</v>
      </c>
      <c r="H318" t="s">
        <v>1009</v>
      </c>
      <c r="I318" t="s">
        <v>368</v>
      </c>
      <c r="J318" t="s">
        <v>29</v>
      </c>
      <c r="K318" t="s">
        <v>1010</v>
      </c>
      <c r="L318" t="s">
        <v>113</v>
      </c>
      <c r="M318" t="s">
        <v>54</v>
      </c>
      <c r="N318" t="s">
        <v>33</v>
      </c>
      <c r="O318" t="s">
        <v>34</v>
      </c>
      <c r="P318" t="s">
        <v>68</v>
      </c>
      <c r="Q318">
        <v>282</v>
      </c>
      <c r="R318">
        <v>81.87</v>
      </c>
      <c r="S318">
        <v>23087.34</v>
      </c>
      <c r="T318">
        <v>46.79</v>
      </c>
      <c r="U318">
        <v>5</v>
      </c>
      <c r="V318">
        <v>2381</v>
      </c>
      <c r="W318" t="s">
        <v>36</v>
      </c>
      <c r="X318">
        <v>6635.43</v>
      </c>
    </row>
    <row r="319" spans="1:24" x14ac:dyDescent="0.25">
      <c r="A319" s="2">
        <v>100317</v>
      </c>
      <c r="B319" s="1">
        <v>45871</v>
      </c>
      <c r="C319" s="1">
        <v>45876</v>
      </c>
      <c r="D319" s="1">
        <v>45889</v>
      </c>
      <c r="E319" t="s">
        <v>1011</v>
      </c>
      <c r="F319" t="s">
        <v>65</v>
      </c>
      <c r="G319" t="s">
        <v>70</v>
      </c>
      <c r="H319" t="s">
        <v>1012</v>
      </c>
      <c r="I319" t="s">
        <v>278</v>
      </c>
      <c r="J319" t="s">
        <v>29</v>
      </c>
      <c r="K319" t="s">
        <v>1013</v>
      </c>
      <c r="L319" t="s">
        <v>91</v>
      </c>
      <c r="M319" t="s">
        <v>25</v>
      </c>
      <c r="N319" t="s">
        <v>55</v>
      </c>
      <c r="O319" t="s">
        <v>56</v>
      </c>
      <c r="P319" t="s">
        <v>123</v>
      </c>
      <c r="Q319">
        <v>297</v>
      </c>
      <c r="R319">
        <v>69.73</v>
      </c>
      <c r="S319">
        <v>20709.810000000001</v>
      </c>
      <c r="T319">
        <v>17.91</v>
      </c>
      <c r="U319">
        <v>13</v>
      </c>
      <c r="V319">
        <v>1401</v>
      </c>
      <c r="W319" t="s">
        <v>36</v>
      </c>
      <c r="X319">
        <v>3344.86</v>
      </c>
    </row>
    <row r="320" spans="1:24" x14ac:dyDescent="0.25">
      <c r="A320" s="2">
        <v>100318</v>
      </c>
      <c r="B320" s="1">
        <v>45987</v>
      </c>
      <c r="C320" s="1">
        <v>45989</v>
      </c>
      <c r="D320" s="1">
        <v>46010</v>
      </c>
      <c r="E320" t="s">
        <v>1014</v>
      </c>
      <c r="F320" t="s">
        <v>32</v>
      </c>
      <c r="G320" t="s">
        <v>364</v>
      </c>
      <c r="H320" t="s">
        <v>1015</v>
      </c>
      <c r="I320" t="s">
        <v>368</v>
      </c>
      <c r="J320" t="s">
        <v>29</v>
      </c>
      <c r="K320" t="s">
        <v>1016</v>
      </c>
      <c r="L320" t="s">
        <v>212</v>
      </c>
      <c r="M320" t="s">
        <v>38</v>
      </c>
      <c r="N320" t="s">
        <v>203</v>
      </c>
      <c r="O320" t="s">
        <v>204</v>
      </c>
      <c r="P320" t="s">
        <v>76</v>
      </c>
      <c r="Q320">
        <v>456</v>
      </c>
      <c r="R320">
        <v>118.33</v>
      </c>
      <c r="S320">
        <v>53958.48</v>
      </c>
      <c r="T320">
        <v>16.329999999999998</v>
      </c>
      <c r="U320">
        <v>21</v>
      </c>
      <c r="V320">
        <v>621</v>
      </c>
      <c r="W320" t="s">
        <v>36</v>
      </c>
      <c r="X320">
        <v>6046.54</v>
      </c>
    </row>
    <row r="321" spans="1:24" x14ac:dyDescent="0.25">
      <c r="A321" s="2">
        <v>100319</v>
      </c>
      <c r="B321" s="1">
        <v>45475</v>
      </c>
      <c r="C321" s="1">
        <v>45478</v>
      </c>
      <c r="D321" s="1">
        <v>45483</v>
      </c>
      <c r="E321" t="s">
        <v>1017</v>
      </c>
      <c r="F321" t="s">
        <v>32</v>
      </c>
      <c r="G321" t="s">
        <v>273</v>
      </c>
      <c r="H321" t="s">
        <v>1018</v>
      </c>
      <c r="I321" t="s">
        <v>28</v>
      </c>
      <c r="J321" t="s">
        <v>29</v>
      </c>
      <c r="K321" t="s">
        <v>1019</v>
      </c>
      <c r="L321" t="s">
        <v>91</v>
      </c>
      <c r="M321" t="s">
        <v>38</v>
      </c>
      <c r="N321" t="s">
        <v>45</v>
      </c>
      <c r="O321" t="s">
        <v>46</v>
      </c>
      <c r="P321" t="s">
        <v>68</v>
      </c>
      <c r="Q321">
        <v>127</v>
      </c>
      <c r="R321">
        <v>82.81</v>
      </c>
      <c r="S321">
        <v>10516.87</v>
      </c>
      <c r="T321">
        <v>36.74</v>
      </c>
      <c r="U321">
        <v>5</v>
      </c>
      <c r="V321">
        <v>1455</v>
      </c>
      <c r="W321" t="s">
        <v>36</v>
      </c>
      <c r="X321">
        <v>1387.65</v>
      </c>
    </row>
    <row r="322" spans="1:24" x14ac:dyDescent="0.25">
      <c r="A322" s="2">
        <v>100320</v>
      </c>
      <c r="B322" s="1">
        <v>45486</v>
      </c>
      <c r="C322" s="1">
        <v>45487</v>
      </c>
      <c r="D322" s="1">
        <v>45505</v>
      </c>
      <c r="E322" t="s">
        <v>1020</v>
      </c>
      <c r="F322" t="s">
        <v>38</v>
      </c>
      <c r="G322" t="s">
        <v>83</v>
      </c>
      <c r="H322" t="s">
        <v>1021</v>
      </c>
      <c r="I322" t="s">
        <v>177</v>
      </c>
      <c r="J322" t="s">
        <v>29</v>
      </c>
      <c r="K322" t="s">
        <v>708</v>
      </c>
      <c r="L322" t="s">
        <v>113</v>
      </c>
      <c r="M322" t="s">
        <v>54</v>
      </c>
      <c r="N322" t="s">
        <v>66</v>
      </c>
      <c r="O322" t="s">
        <v>67</v>
      </c>
      <c r="P322" t="s">
        <v>123</v>
      </c>
      <c r="Q322">
        <v>349</v>
      </c>
      <c r="R322">
        <v>93.32</v>
      </c>
      <c r="S322">
        <v>32568.68</v>
      </c>
      <c r="T322">
        <v>19.170000000000002</v>
      </c>
      <c r="U322">
        <v>18</v>
      </c>
      <c r="V322">
        <v>3353</v>
      </c>
      <c r="W322" t="s">
        <v>188</v>
      </c>
      <c r="X322">
        <v>7739.05</v>
      </c>
    </row>
    <row r="323" spans="1:24" x14ac:dyDescent="0.25">
      <c r="A323" s="2">
        <v>100321</v>
      </c>
      <c r="B323" s="1">
        <v>45892</v>
      </c>
      <c r="C323" s="1">
        <v>45893</v>
      </c>
      <c r="D323" s="1">
        <v>45896</v>
      </c>
      <c r="E323" t="s">
        <v>1022</v>
      </c>
      <c r="F323" t="s">
        <v>32</v>
      </c>
      <c r="G323" t="s">
        <v>273</v>
      </c>
      <c r="H323" t="s">
        <v>1023</v>
      </c>
      <c r="I323" t="s">
        <v>51</v>
      </c>
      <c r="J323" t="s">
        <v>52</v>
      </c>
      <c r="K323" t="s">
        <v>756</v>
      </c>
      <c r="L323" t="s">
        <v>122</v>
      </c>
      <c r="M323" t="s">
        <v>38</v>
      </c>
      <c r="N323" t="s">
        <v>151</v>
      </c>
      <c r="O323" t="s">
        <v>152</v>
      </c>
      <c r="P323" t="s">
        <v>68</v>
      </c>
      <c r="Q323">
        <v>478</v>
      </c>
      <c r="R323">
        <v>68.260000000000005</v>
      </c>
      <c r="S323">
        <v>32628.28</v>
      </c>
      <c r="T323">
        <v>59.49</v>
      </c>
      <c r="U323">
        <v>3</v>
      </c>
      <c r="V323">
        <v>3752</v>
      </c>
      <c r="W323" t="s">
        <v>36</v>
      </c>
      <c r="X323">
        <v>6253.66</v>
      </c>
    </row>
    <row r="324" spans="1:24" x14ac:dyDescent="0.25">
      <c r="A324" s="2">
        <v>100322</v>
      </c>
      <c r="B324" s="1">
        <v>45593</v>
      </c>
      <c r="C324" s="1">
        <v>45593</v>
      </c>
      <c r="D324" s="1">
        <v>45599</v>
      </c>
      <c r="E324" t="s">
        <v>1024</v>
      </c>
      <c r="F324" t="s">
        <v>25</v>
      </c>
      <c r="G324" t="s">
        <v>59</v>
      </c>
      <c r="H324" t="s">
        <v>1025</v>
      </c>
      <c r="I324" t="s">
        <v>41</v>
      </c>
      <c r="J324" t="s">
        <v>42</v>
      </c>
      <c r="K324" t="s">
        <v>428</v>
      </c>
      <c r="L324" t="s">
        <v>91</v>
      </c>
      <c r="M324" t="s">
        <v>32</v>
      </c>
      <c r="N324" t="s">
        <v>45</v>
      </c>
      <c r="O324" t="s">
        <v>46</v>
      </c>
      <c r="P324" t="s">
        <v>35</v>
      </c>
      <c r="Q324">
        <v>480</v>
      </c>
      <c r="R324">
        <v>316.88</v>
      </c>
      <c r="S324">
        <v>152102.39999999999</v>
      </c>
      <c r="T324">
        <v>26.08</v>
      </c>
      <c r="U324">
        <v>6</v>
      </c>
      <c r="V324">
        <v>579</v>
      </c>
      <c r="W324" t="s">
        <v>36</v>
      </c>
      <c r="X324">
        <v>23282.1</v>
      </c>
    </row>
    <row r="325" spans="1:24" x14ac:dyDescent="0.25">
      <c r="A325" s="2">
        <v>100323</v>
      </c>
      <c r="B325" s="1">
        <v>45843</v>
      </c>
      <c r="C325" s="1">
        <v>45844</v>
      </c>
      <c r="D325" s="1">
        <v>45854</v>
      </c>
      <c r="E325" t="s">
        <v>1026</v>
      </c>
      <c r="F325" t="s">
        <v>32</v>
      </c>
      <c r="G325" t="s">
        <v>364</v>
      </c>
      <c r="H325" t="s">
        <v>1027</v>
      </c>
      <c r="I325" t="s">
        <v>116</v>
      </c>
      <c r="J325" t="s">
        <v>62</v>
      </c>
      <c r="K325" t="s">
        <v>121</v>
      </c>
      <c r="L325" t="s">
        <v>113</v>
      </c>
      <c r="M325" t="s">
        <v>65</v>
      </c>
      <c r="N325" t="s">
        <v>151</v>
      </c>
      <c r="O325" t="s">
        <v>152</v>
      </c>
      <c r="P325" t="s">
        <v>35</v>
      </c>
      <c r="Q325">
        <v>70</v>
      </c>
      <c r="R325">
        <v>40.1</v>
      </c>
      <c r="S325">
        <v>2807</v>
      </c>
      <c r="T325">
        <v>14.46</v>
      </c>
      <c r="U325">
        <v>10</v>
      </c>
      <c r="V325">
        <v>3608</v>
      </c>
      <c r="W325" t="s">
        <v>36</v>
      </c>
      <c r="X325">
        <v>159.52000000000001</v>
      </c>
    </row>
    <row r="326" spans="1:24" x14ac:dyDescent="0.25">
      <c r="A326" s="2">
        <v>100324</v>
      </c>
      <c r="B326" s="1">
        <v>45488</v>
      </c>
      <c r="C326" s="1">
        <v>45488</v>
      </c>
      <c r="D326" s="1">
        <v>45502</v>
      </c>
      <c r="E326" t="s">
        <v>1028</v>
      </c>
      <c r="F326" t="s">
        <v>54</v>
      </c>
      <c r="G326" t="s">
        <v>158</v>
      </c>
      <c r="H326" t="s">
        <v>1029</v>
      </c>
      <c r="I326" t="s">
        <v>149</v>
      </c>
      <c r="J326" t="s">
        <v>42</v>
      </c>
      <c r="K326" t="s">
        <v>1030</v>
      </c>
      <c r="L326" t="s">
        <v>118</v>
      </c>
      <c r="M326" t="s">
        <v>54</v>
      </c>
      <c r="N326" t="s">
        <v>151</v>
      </c>
      <c r="O326" t="s">
        <v>152</v>
      </c>
      <c r="P326" t="s">
        <v>123</v>
      </c>
      <c r="Q326">
        <v>39</v>
      </c>
      <c r="R326">
        <v>396.75</v>
      </c>
      <c r="S326">
        <v>15473.25</v>
      </c>
      <c r="T326">
        <v>8.6199999999999992</v>
      </c>
      <c r="U326">
        <v>14</v>
      </c>
      <c r="V326">
        <v>157</v>
      </c>
      <c r="W326" t="s">
        <v>36</v>
      </c>
      <c r="X326">
        <v>2459.62</v>
      </c>
    </row>
    <row r="327" spans="1:24" x14ac:dyDescent="0.25">
      <c r="A327" s="2">
        <v>100325</v>
      </c>
      <c r="B327" s="1">
        <v>45736</v>
      </c>
      <c r="C327" s="1">
        <v>45740</v>
      </c>
      <c r="D327" s="1">
        <v>45747</v>
      </c>
      <c r="E327" t="s">
        <v>1031</v>
      </c>
      <c r="F327" t="s">
        <v>38</v>
      </c>
      <c r="G327" t="s">
        <v>83</v>
      </c>
      <c r="H327" t="s">
        <v>1032</v>
      </c>
      <c r="I327" t="s">
        <v>134</v>
      </c>
      <c r="J327" t="s">
        <v>52</v>
      </c>
      <c r="K327" t="s">
        <v>345</v>
      </c>
      <c r="L327" t="s">
        <v>187</v>
      </c>
      <c r="M327" t="s">
        <v>38</v>
      </c>
      <c r="N327" t="s">
        <v>203</v>
      </c>
      <c r="O327" t="s">
        <v>204</v>
      </c>
      <c r="P327" t="s">
        <v>35</v>
      </c>
      <c r="Q327">
        <v>195</v>
      </c>
      <c r="R327">
        <v>43.36</v>
      </c>
      <c r="S327">
        <v>8455.2000000000007</v>
      </c>
      <c r="T327">
        <v>13.34</v>
      </c>
      <c r="U327">
        <v>7</v>
      </c>
      <c r="V327">
        <v>1787</v>
      </c>
      <c r="W327" t="s">
        <v>47</v>
      </c>
      <c r="X327">
        <v>-247.46</v>
      </c>
    </row>
    <row r="328" spans="1:24" x14ac:dyDescent="0.25">
      <c r="A328" s="2">
        <v>100326</v>
      </c>
      <c r="B328" s="1">
        <v>45676</v>
      </c>
      <c r="C328" s="1">
        <v>45676</v>
      </c>
      <c r="D328" s="1">
        <v>45694</v>
      </c>
      <c r="E328" t="s">
        <v>955</v>
      </c>
      <c r="F328" t="s">
        <v>25</v>
      </c>
      <c r="G328" t="s">
        <v>172</v>
      </c>
      <c r="H328" t="s">
        <v>1033</v>
      </c>
      <c r="I328" t="s">
        <v>85</v>
      </c>
      <c r="J328" t="s">
        <v>52</v>
      </c>
      <c r="K328" t="s">
        <v>1034</v>
      </c>
      <c r="L328" t="s">
        <v>31</v>
      </c>
      <c r="M328" t="s">
        <v>32</v>
      </c>
      <c r="N328" t="s">
        <v>55</v>
      </c>
      <c r="O328" t="s">
        <v>56</v>
      </c>
      <c r="P328" t="s">
        <v>76</v>
      </c>
      <c r="Q328">
        <v>344</v>
      </c>
      <c r="R328">
        <v>75.3</v>
      </c>
      <c r="S328">
        <v>25903.200000000001</v>
      </c>
      <c r="T328">
        <v>14.29</v>
      </c>
      <c r="U328">
        <v>18</v>
      </c>
      <c r="V328">
        <v>877</v>
      </c>
      <c r="W328" t="s">
        <v>36</v>
      </c>
      <c r="X328">
        <v>924</v>
      </c>
    </row>
    <row r="329" spans="1:24" x14ac:dyDescent="0.25">
      <c r="A329" s="2">
        <v>100327</v>
      </c>
      <c r="B329" s="1">
        <v>45944</v>
      </c>
      <c r="C329" s="1">
        <v>45944</v>
      </c>
      <c r="D329" s="1">
        <v>45945</v>
      </c>
      <c r="E329" t="s">
        <v>1035</v>
      </c>
      <c r="F329" t="s">
        <v>65</v>
      </c>
      <c r="G329" t="s">
        <v>154</v>
      </c>
      <c r="H329" t="s">
        <v>1036</v>
      </c>
      <c r="I329" t="s">
        <v>416</v>
      </c>
      <c r="J329" t="s">
        <v>80</v>
      </c>
      <c r="K329" t="s">
        <v>1037</v>
      </c>
      <c r="L329" t="s">
        <v>64</v>
      </c>
      <c r="M329" t="s">
        <v>54</v>
      </c>
      <c r="N329" t="s">
        <v>92</v>
      </c>
      <c r="O329" t="s">
        <v>93</v>
      </c>
      <c r="P329" t="s">
        <v>68</v>
      </c>
      <c r="Q329">
        <v>23</v>
      </c>
      <c r="R329">
        <v>158.11000000000001</v>
      </c>
      <c r="S329">
        <v>3636.53</v>
      </c>
      <c r="T329">
        <v>30</v>
      </c>
      <c r="U329">
        <v>1</v>
      </c>
      <c r="V329">
        <v>704</v>
      </c>
      <c r="W329" t="s">
        <v>36</v>
      </c>
      <c r="X329">
        <v>630.16999999999996</v>
      </c>
    </row>
    <row r="330" spans="1:24" x14ac:dyDescent="0.25">
      <c r="A330" s="2">
        <v>100328</v>
      </c>
      <c r="B330" s="1">
        <v>45536</v>
      </c>
      <c r="C330" s="1">
        <v>45538</v>
      </c>
      <c r="D330" s="1">
        <v>45563</v>
      </c>
      <c r="E330" t="s">
        <v>1038</v>
      </c>
      <c r="F330" t="s">
        <v>32</v>
      </c>
      <c r="G330" t="s">
        <v>95</v>
      </c>
      <c r="H330" t="s">
        <v>1039</v>
      </c>
      <c r="I330" t="s">
        <v>41</v>
      </c>
      <c r="J330" t="s">
        <v>42</v>
      </c>
      <c r="K330" t="s">
        <v>81</v>
      </c>
      <c r="L330" t="s">
        <v>44</v>
      </c>
      <c r="M330" t="s">
        <v>54</v>
      </c>
      <c r="N330" t="s">
        <v>203</v>
      </c>
      <c r="O330" t="s">
        <v>204</v>
      </c>
      <c r="P330" t="s">
        <v>76</v>
      </c>
      <c r="Q330">
        <v>427</v>
      </c>
      <c r="R330">
        <v>72.739999999999995</v>
      </c>
      <c r="S330">
        <v>31059.98</v>
      </c>
      <c r="T330">
        <v>15.8</v>
      </c>
      <c r="U330">
        <v>25</v>
      </c>
      <c r="V330">
        <v>1078</v>
      </c>
      <c r="W330" t="s">
        <v>188</v>
      </c>
      <c r="X330">
        <v>3555.11</v>
      </c>
    </row>
    <row r="331" spans="1:24" x14ac:dyDescent="0.25">
      <c r="A331" s="2">
        <v>100329</v>
      </c>
      <c r="B331" s="1">
        <v>45437</v>
      </c>
      <c r="C331" s="1">
        <v>45440</v>
      </c>
      <c r="D331" s="1">
        <v>45444</v>
      </c>
      <c r="E331" t="s">
        <v>1040</v>
      </c>
      <c r="F331" t="s">
        <v>38</v>
      </c>
      <c r="G331" t="s">
        <v>39</v>
      </c>
      <c r="H331" t="s">
        <v>1041</v>
      </c>
      <c r="I331" t="s">
        <v>41</v>
      </c>
      <c r="J331" t="s">
        <v>42</v>
      </c>
      <c r="K331" t="s">
        <v>1042</v>
      </c>
      <c r="L331" t="s">
        <v>122</v>
      </c>
      <c r="M331" t="s">
        <v>25</v>
      </c>
      <c r="N331" t="s">
        <v>92</v>
      </c>
      <c r="O331" t="s">
        <v>93</v>
      </c>
      <c r="P331" t="s">
        <v>123</v>
      </c>
      <c r="Q331">
        <v>500</v>
      </c>
      <c r="R331">
        <v>77.180000000000007</v>
      </c>
      <c r="S331">
        <v>38590</v>
      </c>
      <c r="T331">
        <v>22.84</v>
      </c>
      <c r="U331">
        <v>4</v>
      </c>
      <c r="V331">
        <v>468</v>
      </c>
      <c r="W331" t="s">
        <v>36</v>
      </c>
      <c r="X331">
        <v>6039.37</v>
      </c>
    </row>
    <row r="332" spans="1:24" x14ac:dyDescent="0.25">
      <c r="A332" s="2">
        <v>100330</v>
      </c>
      <c r="B332" s="1">
        <v>45723</v>
      </c>
      <c r="C332" s="1">
        <v>45726</v>
      </c>
      <c r="D332" s="1">
        <v>45737</v>
      </c>
      <c r="E332" t="s">
        <v>1043</v>
      </c>
      <c r="F332" t="s">
        <v>65</v>
      </c>
      <c r="G332" t="s">
        <v>142</v>
      </c>
      <c r="H332" t="s">
        <v>1044</v>
      </c>
      <c r="I332" t="s">
        <v>149</v>
      </c>
      <c r="J332" t="s">
        <v>42</v>
      </c>
      <c r="K332" t="s">
        <v>1045</v>
      </c>
      <c r="L332" t="s">
        <v>187</v>
      </c>
      <c r="M332" t="s">
        <v>32</v>
      </c>
      <c r="N332" t="s">
        <v>45</v>
      </c>
      <c r="O332" t="s">
        <v>46</v>
      </c>
      <c r="P332" t="s">
        <v>123</v>
      </c>
      <c r="Q332">
        <v>372</v>
      </c>
      <c r="R332">
        <v>435.28</v>
      </c>
      <c r="S332">
        <v>161924.16</v>
      </c>
      <c r="T332">
        <v>19.73</v>
      </c>
      <c r="U332">
        <v>11</v>
      </c>
      <c r="V332">
        <v>404</v>
      </c>
      <c r="W332" t="s">
        <v>36</v>
      </c>
      <c r="X332">
        <v>28254.69</v>
      </c>
    </row>
    <row r="333" spans="1:24" x14ac:dyDescent="0.25">
      <c r="A333" s="2">
        <v>100331</v>
      </c>
      <c r="B333" s="1">
        <v>45754</v>
      </c>
      <c r="C333" s="1">
        <v>45759</v>
      </c>
      <c r="D333" s="1">
        <v>45766</v>
      </c>
      <c r="E333" t="s">
        <v>1046</v>
      </c>
      <c r="F333" t="s">
        <v>65</v>
      </c>
      <c r="G333" t="s">
        <v>70</v>
      </c>
      <c r="H333" t="s">
        <v>1047</v>
      </c>
      <c r="I333" t="s">
        <v>139</v>
      </c>
      <c r="J333" t="s">
        <v>42</v>
      </c>
      <c r="K333" t="s">
        <v>1048</v>
      </c>
      <c r="L333" t="s">
        <v>118</v>
      </c>
      <c r="M333" t="s">
        <v>38</v>
      </c>
      <c r="N333" t="s">
        <v>151</v>
      </c>
      <c r="O333" t="s">
        <v>152</v>
      </c>
      <c r="P333" t="s">
        <v>123</v>
      </c>
      <c r="Q333">
        <v>438</v>
      </c>
      <c r="R333">
        <v>145.83000000000001</v>
      </c>
      <c r="S333">
        <v>63873.54</v>
      </c>
      <c r="T333">
        <v>21.34</v>
      </c>
      <c r="U333">
        <v>7</v>
      </c>
      <c r="V333">
        <v>286</v>
      </c>
      <c r="W333" t="s">
        <v>57</v>
      </c>
      <c r="X333">
        <v>7929.46</v>
      </c>
    </row>
    <row r="334" spans="1:24" x14ac:dyDescent="0.25">
      <c r="A334" s="2">
        <v>100332</v>
      </c>
      <c r="B334" s="1">
        <v>45450</v>
      </c>
      <c r="C334" s="1">
        <v>45450</v>
      </c>
      <c r="D334" s="1">
        <v>45466</v>
      </c>
      <c r="E334" t="s">
        <v>1049</v>
      </c>
      <c r="F334" t="s">
        <v>65</v>
      </c>
      <c r="G334" t="s">
        <v>70</v>
      </c>
      <c r="H334" t="s">
        <v>1050</v>
      </c>
      <c r="I334" t="s">
        <v>116</v>
      </c>
      <c r="J334" t="s">
        <v>62</v>
      </c>
      <c r="K334" t="s">
        <v>1051</v>
      </c>
      <c r="L334" t="s">
        <v>122</v>
      </c>
      <c r="M334" t="s">
        <v>54</v>
      </c>
      <c r="N334" t="s">
        <v>33</v>
      </c>
      <c r="O334" t="s">
        <v>34</v>
      </c>
      <c r="P334" t="s">
        <v>76</v>
      </c>
      <c r="Q334">
        <v>373</v>
      </c>
      <c r="R334">
        <v>46.24</v>
      </c>
      <c r="S334">
        <v>17247.52</v>
      </c>
      <c r="T334">
        <v>14.82</v>
      </c>
      <c r="U334">
        <v>16</v>
      </c>
      <c r="V334">
        <v>1301</v>
      </c>
      <c r="W334" t="s">
        <v>36</v>
      </c>
      <c r="X334">
        <v>1052.43</v>
      </c>
    </row>
    <row r="335" spans="1:24" x14ac:dyDescent="0.25">
      <c r="A335" s="2">
        <v>100333</v>
      </c>
      <c r="B335" s="1">
        <v>45488</v>
      </c>
      <c r="C335" s="1">
        <v>45492</v>
      </c>
      <c r="D335" s="1">
        <v>45497</v>
      </c>
      <c r="E335" t="s">
        <v>1052</v>
      </c>
      <c r="F335" t="s">
        <v>32</v>
      </c>
      <c r="G335" t="s">
        <v>110</v>
      </c>
      <c r="H335" t="s">
        <v>1053</v>
      </c>
      <c r="I335" t="s">
        <v>116</v>
      </c>
      <c r="J335" t="s">
        <v>62</v>
      </c>
      <c r="K335" t="s">
        <v>1054</v>
      </c>
      <c r="L335" t="s">
        <v>91</v>
      </c>
      <c r="M335" t="s">
        <v>38</v>
      </c>
      <c r="N335" t="s">
        <v>74</v>
      </c>
      <c r="O335" t="s">
        <v>75</v>
      </c>
      <c r="P335" t="s">
        <v>68</v>
      </c>
      <c r="Q335">
        <v>160</v>
      </c>
      <c r="R335">
        <v>42.48</v>
      </c>
      <c r="S335">
        <v>6796.8</v>
      </c>
      <c r="T335">
        <v>38.880000000000003</v>
      </c>
      <c r="U335">
        <v>5</v>
      </c>
      <c r="V335">
        <v>2275</v>
      </c>
      <c r="W335" t="s">
        <v>36</v>
      </c>
      <c r="X335">
        <v>635.87</v>
      </c>
    </row>
    <row r="336" spans="1:24" x14ac:dyDescent="0.25">
      <c r="A336" s="2">
        <v>100334</v>
      </c>
      <c r="B336" s="1">
        <v>45579</v>
      </c>
      <c r="C336" s="1">
        <v>45580</v>
      </c>
      <c r="D336" s="1">
        <v>45585</v>
      </c>
      <c r="E336" t="s">
        <v>1055</v>
      </c>
      <c r="F336" t="s">
        <v>32</v>
      </c>
      <c r="G336" t="s">
        <v>180</v>
      </c>
      <c r="H336" t="s">
        <v>1056</v>
      </c>
      <c r="I336" t="s">
        <v>149</v>
      </c>
      <c r="J336" t="s">
        <v>42</v>
      </c>
      <c r="K336" t="s">
        <v>1057</v>
      </c>
      <c r="L336" t="s">
        <v>64</v>
      </c>
      <c r="M336" t="s">
        <v>25</v>
      </c>
      <c r="N336" t="s">
        <v>33</v>
      </c>
      <c r="O336" t="s">
        <v>34</v>
      </c>
      <c r="P336" t="s">
        <v>123</v>
      </c>
      <c r="Q336">
        <v>211</v>
      </c>
      <c r="R336">
        <v>283.49</v>
      </c>
      <c r="S336">
        <v>59816.39</v>
      </c>
      <c r="T336">
        <v>15.82</v>
      </c>
      <c r="U336">
        <v>5</v>
      </c>
      <c r="V336">
        <v>673</v>
      </c>
      <c r="W336" t="s">
        <v>36</v>
      </c>
      <c r="X336">
        <v>11707.49</v>
      </c>
    </row>
    <row r="337" spans="1:24" x14ac:dyDescent="0.25">
      <c r="A337" s="2">
        <v>100335</v>
      </c>
      <c r="B337" s="1">
        <v>45387</v>
      </c>
      <c r="C337" s="1">
        <v>45390</v>
      </c>
      <c r="D337" s="1">
        <v>45397</v>
      </c>
      <c r="E337" t="s">
        <v>1058</v>
      </c>
      <c r="F337" t="s">
        <v>32</v>
      </c>
      <c r="G337" t="s">
        <v>180</v>
      </c>
      <c r="H337" t="s">
        <v>1059</v>
      </c>
      <c r="I337" t="s">
        <v>139</v>
      </c>
      <c r="J337" t="s">
        <v>42</v>
      </c>
      <c r="K337" t="s">
        <v>1060</v>
      </c>
      <c r="L337" t="s">
        <v>212</v>
      </c>
      <c r="M337" t="s">
        <v>38</v>
      </c>
      <c r="N337" t="s">
        <v>55</v>
      </c>
      <c r="O337" t="s">
        <v>56</v>
      </c>
      <c r="P337" t="s">
        <v>123</v>
      </c>
      <c r="Q337">
        <v>31</v>
      </c>
      <c r="R337">
        <v>111.64</v>
      </c>
      <c r="S337">
        <v>3460.84</v>
      </c>
      <c r="T337">
        <v>11.45</v>
      </c>
      <c r="U337">
        <v>7</v>
      </c>
      <c r="V337">
        <v>199</v>
      </c>
      <c r="W337" t="s">
        <v>36</v>
      </c>
      <c r="X337">
        <v>552.58000000000004</v>
      </c>
    </row>
    <row r="338" spans="1:24" x14ac:dyDescent="0.25">
      <c r="A338" s="2">
        <v>100336</v>
      </c>
      <c r="B338" s="1">
        <v>45890</v>
      </c>
      <c r="C338" s="1">
        <v>45895</v>
      </c>
      <c r="D338" s="1">
        <v>45899</v>
      </c>
      <c r="E338" t="s">
        <v>1061</v>
      </c>
      <c r="F338" t="s">
        <v>65</v>
      </c>
      <c r="G338" t="s">
        <v>70</v>
      </c>
      <c r="H338" t="s">
        <v>1062</v>
      </c>
      <c r="I338" t="s">
        <v>177</v>
      </c>
      <c r="J338" t="s">
        <v>29</v>
      </c>
      <c r="K338" t="s">
        <v>1063</v>
      </c>
      <c r="L338" t="s">
        <v>113</v>
      </c>
      <c r="M338" t="s">
        <v>32</v>
      </c>
      <c r="N338" t="s">
        <v>74</v>
      </c>
      <c r="O338" t="s">
        <v>75</v>
      </c>
      <c r="P338" t="s">
        <v>123</v>
      </c>
      <c r="Q338">
        <v>134</v>
      </c>
      <c r="R338">
        <v>34.49</v>
      </c>
      <c r="S338">
        <v>4621.66</v>
      </c>
      <c r="T338">
        <v>13.95</v>
      </c>
      <c r="U338">
        <v>4</v>
      </c>
      <c r="V338">
        <v>3268</v>
      </c>
      <c r="W338" t="s">
        <v>36</v>
      </c>
      <c r="X338">
        <v>1165.77</v>
      </c>
    </row>
    <row r="339" spans="1:24" x14ac:dyDescent="0.25">
      <c r="A339" s="2">
        <v>100337</v>
      </c>
      <c r="B339" s="1">
        <v>45539</v>
      </c>
      <c r="C339" s="1">
        <v>45539</v>
      </c>
      <c r="D339" s="1">
        <v>45552</v>
      </c>
      <c r="E339" t="s">
        <v>1064</v>
      </c>
      <c r="F339" t="s">
        <v>54</v>
      </c>
      <c r="G339" t="s">
        <v>193</v>
      </c>
      <c r="H339" t="s">
        <v>1065</v>
      </c>
      <c r="I339" t="s">
        <v>51</v>
      </c>
      <c r="J339" t="s">
        <v>52</v>
      </c>
      <c r="K339" t="s">
        <v>742</v>
      </c>
      <c r="L339" t="s">
        <v>44</v>
      </c>
      <c r="M339" t="s">
        <v>38</v>
      </c>
      <c r="N339" t="s">
        <v>107</v>
      </c>
      <c r="O339" t="s">
        <v>108</v>
      </c>
      <c r="P339" t="s">
        <v>123</v>
      </c>
      <c r="Q339">
        <v>125</v>
      </c>
      <c r="R339">
        <v>35.520000000000003</v>
      </c>
      <c r="S339">
        <v>4440</v>
      </c>
      <c r="T339">
        <v>13.73</v>
      </c>
      <c r="U339">
        <v>13</v>
      </c>
      <c r="V339">
        <v>2001</v>
      </c>
      <c r="W339" t="s">
        <v>57</v>
      </c>
      <c r="X339">
        <v>779</v>
      </c>
    </row>
    <row r="340" spans="1:24" x14ac:dyDescent="0.25">
      <c r="A340" s="2">
        <v>100338</v>
      </c>
      <c r="B340" s="1">
        <v>45794</v>
      </c>
      <c r="C340" s="1">
        <v>45794</v>
      </c>
      <c r="D340" s="1">
        <v>45819</v>
      </c>
      <c r="E340" t="s">
        <v>1066</v>
      </c>
      <c r="F340" t="s">
        <v>25</v>
      </c>
      <c r="G340" t="s">
        <v>172</v>
      </c>
      <c r="H340" t="s">
        <v>1067</v>
      </c>
      <c r="I340" t="s">
        <v>28</v>
      </c>
      <c r="J340" t="s">
        <v>29</v>
      </c>
      <c r="K340" t="s">
        <v>1068</v>
      </c>
      <c r="L340" t="s">
        <v>91</v>
      </c>
      <c r="M340" t="s">
        <v>32</v>
      </c>
      <c r="N340" t="s">
        <v>203</v>
      </c>
      <c r="O340" t="s">
        <v>204</v>
      </c>
      <c r="P340" t="s">
        <v>76</v>
      </c>
      <c r="Q340">
        <v>307</v>
      </c>
      <c r="R340">
        <v>111.96</v>
      </c>
      <c r="S340">
        <v>34371.72</v>
      </c>
      <c r="T340">
        <v>13.61</v>
      </c>
      <c r="U340">
        <v>25</v>
      </c>
      <c r="V340">
        <v>3216</v>
      </c>
      <c r="W340" t="s">
        <v>36</v>
      </c>
      <c r="X340">
        <v>4199.95</v>
      </c>
    </row>
    <row r="341" spans="1:24" x14ac:dyDescent="0.25">
      <c r="A341" s="2">
        <v>100339</v>
      </c>
      <c r="B341" s="1">
        <v>45553</v>
      </c>
      <c r="C341" s="1">
        <v>45553</v>
      </c>
      <c r="D341" s="1">
        <v>45557</v>
      </c>
      <c r="E341" t="s">
        <v>1069</v>
      </c>
      <c r="F341" t="s">
        <v>65</v>
      </c>
      <c r="G341" t="s">
        <v>70</v>
      </c>
      <c r="H341" t="s">
        <v>1070</v>
      </c>
      <c r="I341" t="s">
        <v>41</v>
      </c>
      <c r="J341" t="s">
        <v>42</v>
      </c>
      <c r="K341" t="s">
        <v>1071</v>
      </c>
      <c r="L341" t="s">
        <v>98</v>
      </c>
      <c r="M341" t="s">
        <v>54</v>
      </c>
      <c r="N341" t="s">
        <v>74</v>
      </c>
      <c r="O341" t="s">
        <v>75</v>
      </c>
      <c r="P341" t="s">
        <v>68</v>
      </c>
      <c r="Q341">
        <v>85</v>
      </c>
      <c r="R341">
        <v>202</v>
      </c>
      <c r="S341">
        <v>17170</v>
      </c>
      <c r="T341">
        <v>34.020000000000003</v>
      </c>
      <c r="U341">
        <v>4</v>
      </c>
      <c r="V341">
        <v>1048</v>
      </c>
      <c r="W341" t="s">
        <v>47</v>
      </c>
      <c r="X341">
        <v>-145.86000000000001</v>
      </c>
    </row>
    <row r="342" spans="1:24" x14ac:dyDescent="0.25">
      <c r="A342" s="2">
        <v>100340</v>
      </c>
      <c r="B342" s="1">
        <v>45363</v>
      </c>
      <c r="C342" s="1">
        <v>45368</v>
      </c>
      <c r="D342" s="1">
        <v>45372</v>
      </c>
      <c r="E342" t="s">
        <v>1072</v>
      </c>
      <c r="F342" t="s">
        <v>25</v>
      </c>
      <c r="G342" t="s">
        <v>244</v>
      </c>
      <c r="H342" t="s">
        <v>1073</v>
      </c>
      <c r="I342" t="s">
        <v>126</v>
      </c>
      <c r="J342" t="s">
        <v>42</v>
      </c>
      <c r="K342" t="s">
        <v>371</v>
      </c>
      <c r="L342" t="s">
        <v>91</v>
      </c>
      <c r="M342" t="s">
        <v>54</v>
      </c>
      <c r="N342" t="s">
        <v>102</v>
      </c>
      <c r="O342" t="s">
        <v>103</v>
      </c>
      <c r="P342" t="s">
        <v>68</v>
      </c>
      <c r="Q342">
        <v>72</v>
      </c>
      <c r="R342">
        <v>147.47999999999999</v>
      </c>
      <c r="S342">
        <v>10618.56</v>
      </c>
      <c r="T342">
        <v>33.18</v>
      </c>
      <c r="U342">
        <v>4</v>
      </c>
      <c r="V342">
        <v>425</v>
      </c>
      <c r="W342" t="s">
        <v>57</v>
      </c>
      <c r="X342">
        <v>949.97</v>
      </c>
    </row>
    <row r="343" spans="1:24" x14ac:dyDescent="0.25">
      <c r="A343" s="2">
        <v>100341</v>
      </c>
      <c r="B343" s="1">
        <v>45921</v>
      </c>
      <c r="C343" s="1">
        <v>45925</v>
      </c>
      <c r="D343" s="1">
        <v>45940</v>
      </c>
      <c r="E343" t="s">
        <v>1074</v>
      </c>
      <c r="F343" t="s">
        <v>25</v>
      </c>
      <c r="G343" t="s">
        <v>172</v>
      </c>
      <c r="H343" t="s">
        <v>1075</v>
      </c>
      <c r="I343" t="s">
        <v>139</v>
      </c>
      <c r="J343" t="s">
        <v>42</v>
      </c>
      <c r="K343" t="s">
        <v>1076</v>
      </c>
      <c r="L343" t="s">
        <v>118</v>
      </c>
      <c r="M343" t="s">
        <v>25</v>
      </c>
      <c r="N343" t="s">
        <v>55</v>
      </c>
      <c r="O343" t="s">
        <v>56</v>
      </c>
      <c r="P343" t="s">
        <v>123</v>
      </c>
      <c r="Q343">
        <v>133</v>
      </c>
      <c r="R343">
        <v>356.04</v>
      </c>
      <c r="S343">
        <v>47353.32</v>
      </c>
      <c r="T343">
        <v>10.31</v>
      </c>
      <c r="U343">
        <v>15</v>
      </c>
      <c r="V343">
        <v>846</v>
      </c>
      <c r="W343" t="s">
        <v>188</v>
      </c>
      <c r="X343">
        <v>6393.76</v>
      </c>
    </row>
    <row r="344" spans="1:24" x14ac:dyDescent="0.25">
      <c r="A344" s="2">
        <v>100342</v>
      </c>
      <c r="B344" s="1">
        <v>45752</v>
      </c>
      <c r="C344" s="1">
        <v>45753</v>
      </c>
      <c r="D344" s="1">
        <v>45758</v>
      </c>
      <c r="E344" t="s">
        <v>1077</v>
      </c>
      <c r="F344" t="s">
        <v>54</v>
      </c>
      <c r="G344" t="s">
        <v>158</v>
      </c>
      <c r="H344" t="s">
        <v>1078</v>
      </c>
      <c r="I344" t="s">
        <v>177</v>
      </c>
      <c r="J344" t="s">
        <v>29</v>
      </c>
      <c r="K344" t="s">
        <v>1079</v>
      </c>
      <c r="L344" t="s">
        <v>91</v>
      </c>
      <c r="M344" t="s">
        <v>25</v>
      </c>
      <c r="N344" t="s">
        <v>102</v>
      </c>
      <c r="O344" t="s">
        <v>103</v>
      </c>
      <c r="P344" t="s">
        <v>68</v>
      </c>
      <c r="Q344">
        <v>335</v>
      </c>
      <c r="R344">
        <v>48.12</v>
      </c>
      <c r="S344">
        <v>16120.2</v>
      </c>
      <c r="T344">
        <v>50.22</v>
      </c>
      <c r="U344">
        <v>5</v>
      </c>
      <c r="V344">
        <v>3115</v>
      </c>
      <c r="W344" t="s">
        <v>36</v>
      </c>
      <c r="X344">
        <v>4229.2299999999996</v>
      </c>
    </row>
    <row r="345" spans="1:24" x14ac:dyDescent="0.25">
      <c r="A345" s="2">
        <v>100343</v>
      </c>
      <c r="B345" s="1">
        <v>45762</v>
      </c>
      <c r="C345" s="1">
        <v>45763</v>
      </c>
      <c r="D345" s="1">
        <v>45785</v>
      </c>
      <c r="E345" t="s">
        <v>1080</v>
      </c>
      <c r="F345" t="s">
        <v>38</v>
      </c>
      <c r="G345" t="s">
        <v>147</v>
      </c>
      <c r="H345" t="s">
        <v>1081</v>
      </c>
      <c r="I345" t="s">
        <v>61</v>
      </c>
      <c r="J345" t="s">
        <v>62</v>
      </c>
      <c r="K345" t="s">
        <v>870</v>
      </c>
      <c r="L345" t="s">
        <v>122</v>
      </c>
      <c r="M345" t="s">
        <v>32</v>
      </c>
      <c r="N345" t="s">
        <v>107</v>
      </c>
      <c r="O345" t="s">
        <v>108</v>
      </c>
      <c r="P345" t="s">
        <v>76</v>
      </c>
      <c r="Q345">
        <v>31</v>
      </c>
      <c r="R345">
        <v>20.18</v>
      </c>
      <c r="S345">
        <v>625.58000000000004</v>
      </c>
      <c r="T345">
        <v>8.58</v>
      </c>
      <c r="U345">
        <v>22</v>
      </c>
      <c r="V345">
        <v>1231</v>
      </c>
      <c r="W345" t="s">
        <v>36</v>
      </c>
      <c r="X345">
        <v>75.41</v>
      </c>
    </row>
    <row r="346" spans="1:24" x14ac:dyDescent="0.25">
      <c r="A346" s="2">
        <v>100344</v>
      </c>
      <c r="B346" s="1">
        <v>45626</v>
      </c>
      <c r="C346" s="1">
        <v>45626</v>
      </c>
      <c r="D346" s="1">
        <v>45630</v>
      </c>
      <c r="E346" t="s">
        <v>1082</v>
      </c>
      <c r="F346" t="s">
        <v>65</v>
      </c>
      <c r="G346" t="s">
        <v>154</v>
      </c>
      <c r="H346" t="s">
        <v>1083</v>
      </c>
      <c r="I346" t="s">
        <v>89</v>
      </c>
      <c r="J346" t="s">
        <v>62</v>
      </c>
      <c r="K346" t="s">
        <v>1084</v>
      </c>
      <c r="L346" t="s">
        <v>122</v>
      </c>
      <c r="M346" t="s">
        <v>54</v>
      </c>
      <c r="N346" t="s">
        <v>107</v>
      </c>
      <c r="O346" t="s">
        <v>108</v>
      </c>
      <c r="P346" t="s">
        <v>68</v>
      </c>
      <c r="Q346">
        <v>14</v>
      </c>
      <c r="R346">
        <v>12.03</v>
      </c>
      <c r="S346">
        <v>168.42</v>
      </c>
      <c r="T346">
        <v>29.42</v>
      </c>
      <c r="U346">
        <v>4</v>
      </c>
      <c r="V346">
        <v>4048</v>
      </c>
      <c r="W346" t="s">
        <v>57</v>
      </c>
      <c r="X346">
        <v>-11.24</v>
      </c>
    </row>
    <row r="347" spans="1:24" x14ac:dyDescent="0.25">
      <c r="A347" s="2">
        <v>100345</v>
      </c>
      <c r="B347" s="1">
        <v>45898</v>
      </c>
      <c r="C347" s="1">
        <v>45901</v>
      </c>
      <c r="D347" s="1">
        <v>45907</v>
      </c>
      <c r="E347" t="s">
        <v>1085</v>
      </c>
      <c r="F347" t="s">
        <v>65</v>
      </c>
      <c r="G347" t="s">
        <v>154</v>
      </c>
      <c r="H347" t="s">
        <v>1086</v>
      </c>
      <c r="I347" t="s">
        <v>139</v>
      </c>
      <c r="J347" t="s">
        <v>42</v>
      </c>
      <c r="K347" t="s">
        <v>988</v>
      </c>
      <c r="L347" t="s">
        <v>98</v>
      </c>
      <c r="M347" t="s">
        <v>32</v>
      </c>
      <c r="N347" t="s">
        <v>92</v>
      </c>
      <c r="O347" t="s">
        <v>93</v>
      </c>
      <c r="P347" t="s">
        <v>123</v>
      </c>
      <c r="Q347">
        <v>190</v>
      </c>
      <c r="R347">
        <v>359.52</v>
      </c>
      <c r="S347">
        <v>68308.800000000003</v>
      </c>
      <c r="T347">
        <v>15.31</v>
      </c>
      <c r="U347">
        <v>6</v>
      </c>
      <c r="V347">
        <v>236</v>
      </c>
      <c r="W347" t="s">
        <v>36</v>
      </c>
      <c r="X347">
        <v>8607.98</v>
      </c>
    </row>
    <row r="348" spans="1:24" x14ac:dyDescent="0.25">
      <c r="A348" s="2">
        <v>100346</v>
      </c>
      <c r="B348" s="1">
        <v>45435</v>
      </c>
      <c r="C348" s="1">
        <v>45440</v>
      </c>
      <c r="D348" s="1">
        <v>45456</v>
      </c>
      <c r="E348" t="s">
        <v>1087</v>
      </c>
      <c r="F348" t="s">
        <v>54</v>
      </c>
      <c r="G348" t="s">
        <v>158</v>
      </c>
      <c r="H348" t="s">
        <v>1088</v>
      </c>
      <c r="I348" t="s">
        <v>238</v>
      </c>
      <c r="J348" t="s">
        <v>62</v>
      </c>
      <c r="K348" t="s">
        <v>581</v>
      </c>
      <c r="L348" t="s">
        <v>187</v>
      </c>
      <c r="M348" t="s">
        <v>54</v>
      </c>
      <c r="N348" t="s">
        <v>74</v>
      </c>
      <c r="O348" t="s">
        <v>75</v>
      </c>
      <c r="P348" t="s">
        <v>76</v>
      </c>
      <c r="Q348">
        <v>404</v>
      </c>
      <c r="R348">
        <v>30.03</v>
      </c>
      <c r="S348">
        <v>12132.12</v>
      </c>
      <c r="T348">
        <v>11.39</v>
      </c>
      <c r="U348">
        <v>16</v>
      </c>
      <c r="V348">
        <v>2351</v>
      </c>
      <c r="W348" t="s">
        <v>36</v>
      </c>
      <c r="X348">
        <v>995.16</v>
      </c>
    </row>
    <row r="349" spans="1:24" x14ac:dyDescent="0.25">
      <c r="A349" s="2">
        <v>100347</v>
      </c>
      <c r="B349" s="1">
        <v>45639</v>
      </c>
      <c r="C349" s="1">
        <v>45639</v>
      </c>
      <c r="D349" s="1">
        <v>45647</v>
      </c>
      <c r="E349" t="s">
        <v>1089</v>
      </c>
      <c r="F349" t="s">
        <v>65</v>
      </c>
      <c r="G349" t="s">
        <v>154</v>
      </c>
      <c r="H349" t="s">
        <v>1090</v>
      </c>
      <c r="I349" t="s">
        <v>177</v>
      </c>
      <c r="J349" t="s">
        <v>29</v>
      </c>
      <c r="K349" t="s">
        <v>1091</v>
      </c>
      <c r="L349" t="s">
        <v>212</v>
      </c>
      <c r="M349" t="s">
        <v>32</v>
      </c>
      <c r="N349" t="s">
        <v>107</v>
      </c>
      <c r="O349" t="s">
        <v>108</v>
      </c>
      <c r="P349" t="s">
        <v>123</v>
      </c>
      <c r="Q349">
        <v>28</v>
      </c>
      <c r="R349">
        <v>23.86</v>
      </c>
      <c r="S349">
        <v>668.08</v>
      </c>
      <c r="T349">
        <v>11.37</v>
      </c>
      <c r="U349">
        <v>8</v>
      </c>
      <c r="V349">
        <v>967</v>
      </c>
      <c r="W349" t="s">
        <v>36</v>
      </c>
      <c r="X349">
        <v>98.77</v>
      </c>
    </row>
    <row r="350" spans="1:24" x14ac:dyDescent="0.25">
      <c r="A350" s="2">
        <v>100348</v>
      </c>
      <c r="B350" s="1">
        <v>45473</v>
      </c>
      <c r="C350" s="1">
        <v>45474</v>
      </c>
      <c r="D350" s="1">
        <v>45475</v>
      </c>
      <c r="E350" t="s">
        <v>1092</v>
      </c>
      <c r="F350" t="s">
        <v>38</v>
      </c>
      <c r="G350" t="s">
        <v>49</v>
      </c>
      <c r="H350" t="s">
        <v>1093</v>
      </c>
      <c r="I350" t="s">
        <v>207</v>
      </c>
      <c r="J350" t="s">
        <v>80</v>
      </c>
      <c r="K350" t="s">
        <v>1094</v>
      </c>
      <c r="L350" t="s">
        <v>122</v>
      </c>
      <c r="M350" t="s">
        <v>54</v>
      </c>
      <c r="N350" t="s">
        <v>74</v>
      </c>
      <c r="O350" t="s">
        <v>75</v>
      </c>
      <c r="P350" t="s">
        <v>68</v>
      </c>
      <c r="Q350">
        <v>293</v>
      </c>
      <c r="R350">
        <v>278.26</v>
      </c>
      <c r="S350">
        <v>81530.179999999993</v>
      </c>
      <c r="T350">
        <v>47.5</v>
      </c>
      <c r="U350">
        <v>1</v>
      </c>
      <c r="V350">
        <v>827</v>
      </c>
      <c r="W350" t="s">
        <v>36</v>
      </c>
      <c r="X350">
        <v>12779.91</v>
      </c>
    </row>
    <row r="351" spans="1:24" x14ac:dyDescent="0.25">
      <c r="A351" s="2">
        <v>100349</v>
      </c>
      <c r="B351" s="1">
        <v>45652</v>
      </c>
      <c r="C351" s="1">
        <v>45657</v>
      </c>
      <c r="D351" s="1">
        <v>45659</v>
      </c>
      <c r="E351" t="s">
        <v>1095</v>
      </c>
      <c r="F351" t="s">
        <v>54</v>
      </c>
      <c r="G351" t="s">
        <v>225</v>
      </c>
      <c r="H351" t="s">
        <v>1096</v>
      </c>
      <c r="I351" t="s">
        <v>238</v>
      </c>
      <c r="J351" t="s">
        <v>62</v>
      </c>
      <c r="K351" t="s">
        <v>473</v>
      </c>
      <c r="L351" t="s">
        <v>91</v>
      </c>
      <c r="M351" t="s">
        <v>65</v>
      </c>
      <c r="N351" t="s">
        <v>203</v>
      </c>
      <c r="O351" t="s">
        <v>204</v>
      </c>
      <c r="P351" t="s">
        <v>68</v>
      </c>
      <c r="Q351">
        <v>477</v>
      </c>
      <c r="R351">
        <v>36.56</v>
      </c>
      <c r="S351">
        <v>17439.12</v>
      </c>
      <c r="T351">
        <v>59.42</v>
      </c>
      <c r="U351">
        <v>2</v>
      </c>
      <c r="V351">
        <v>4731</v>
      </c>
      <c r="W351" t="s">
        <v>36</v>
      </c>
      <c r="X351">
        <v>1897.4</v>
      </c>
    </row>
    <row r="352" spans="1:24" x14ac:dyDescent="0.25">
      <c r="A352" s="2">
        <v>100350</v>
      </c>
      <c r="B352" s="1">
        <v>45715</v>
      </c>
      <c r="C352" s="1">
        <v>45715</v>
      </c>
      <c r="D352" s="1">
        <v>45722</v>
      </c>
      <c r="E352" t="s">
        <v>1097</v>
      </c>
      <c r="F352" t="s">
        <v>25</v>
      </c>
      <c r="G352" t="s">
        <v>221</v>
      </c>
      <c r="H352" t="s">
        <v>1098</v>
      </c>
      <c r="I352" t="s">
        <v>116</v>
      </c>
      <c r="J352" t="s">
        <v>62</v>
      </c>
      <c r="K352" t="s">
        <v>1099</v>
      </c>
      <c r="L352" t="s">
        <v>118</v>
      </c>
      <c r="M352" t="s">
        <v>32</v>
      </c>
      <c r="N352" t="s">
        <v>102</v>
      </c>
      <c r="O352" t="s">
        <v>103</v>
      </c>
      <c r="P352" t="s">
        <v>68</v>
      </c>
      <c r="Q352">
        <v>48</v>
      </c>
      <c r="R352">
        <v>33.409999999999997</v>
      </c>
      <c r="S352">
        <v>1603.68</v>
      </c>
      <c r="T352">
        <v>31.62</v>
      </c>
      <c r="U352">
        <v>7</v>
      </c>
      <c r="V352">
        <v>4716</v>
      </c>
      <c r="W352" t="s">
        <v>36</v>
      </c>
      <c r="X352">
        <v>151.26</v>
      </c>
    </row>
    <row r="353" spans="1:24" x14ac:dyDescent="0.25">
      <c r="A353" s="2">
        <v>100351</v>
      </c>
      <c r="B353" s="1">
        <v>45860</v>
      </c>
      <c r="C353" s="1">
        <v>45865</v>
      </c>
      <c r="D353" s="1">
        <v>45873</v>
      </c>
      <c r="E353" t="s">
        <v>1100</v>
      </c>
      <c r="F353" t="s">
        <v>54</v>
      </c>
      <c r="G353" t="s">
        <v>193</v>
      </c>
      <c r="H353" t="s">
        <v>1101</v>
      </c>
      <c r="I353" t="s">
        <v>207</v>
      </c>
      <c r="J353" t="s">
        <v>80</v>
      </c>
      <c r="K353" t="s">
        <v>1102</v>
      </c>
      <c r="L353" t="s">
        <v>44</v>
      </c>
      <c r="M353" t="s">
        <v>54</v>
      </c>
      <c r="N353" t="s">
        <v>92</v>
      </c>
      <c r="O353" t="s">
        <v>93</v>
      </c>
      <c r="P353" t="s">
        <v>35</v>
      </c>
      <c r="Q353">
        <v>343</v>
      </c>
      <c r="R353">
        <v>300.33999999999997</v>
      </c>
      <c r="S353">
        <v>103016.62</v>
      </c>
      <c r="T353">
        <v>16.440000000000001</v>
      </c>
      <c r="U353">
        <v>8</v>
      </c>
      <c r="V353">
        <v>1801</v>
      </c>
      <c r="W353" t="s">
        <v>36</v>
      </c>
      <c r="X353">
        <v>19047.25</v>
      </c>
    </row>
    <row r="354" spans="1:24" x14ac:dyDescent="0.25">
      <c r="A354" s="2">
        <v>100352</v>
      </c>
      <c r="B354" s="1">
        <v>45327</v>
      </c>
      <c r="C354" s="1">
        <v>45331</v>
      </c>
      <c r="D354" s="1">
        <v>45344</v>
      </c>
      <c r="E354" t="s">
        <v>1103</v>
      </c>
      <c r="F354" t="s">
        <v>65</v>
      </c>
      <c r="G354" t="s">
        <v>70</v>
      </c>
      <c r="H354" t="s">
        <v>1104</v>
      </c>
      <c r="I354" t="s">
        <v>28</v>
      </c>
      <c r="J354" t="s">
        <v>29</v>
      </c>
      <c r="K354" t="s">
        <v>835</v>
      </c>
      <c r="L354" t="s">
        <v>91</v>
      </c>
      <c r="M354" t="s">
        <v>54</v>
      </c>
      <c r="N354" t="s">
        <v>33</v>
      </c>
      <c r="O354" t="s">
        <v>34</v>
      </c>
      <c r="P354" t="s">
        <v>76</v>
      </c>
      <c r="Q354">
        <v>426</v>
      </c>
      <c r="R354">
        <v>102.13</v>
      </c>
      <c r="S354">
        <v>43507.38</v>
      </c>
      <c r="T354">
        <v>15.78</v>
      </c>
      <c r="U354">
        <v>13</v>
      </c>
      <c r="V354">
        <v>297</v>
      </c>
      <c r="W354" t="s">
        <v>36</v>
      </c>
      <c r="X354">
        <v>4344.63</v>
      </c>
    </row>
    <row r="355" spans="1:24" x14ac:dyDescent="0.25">
      <c r="A355" s="2">
        <v>100353</v>
      </c>
      <c r="B355" s="1">
        <v>45990</v>
      </c>
      <c r="C355" s="1">
        <v>45994</v>
      </c>
      <c r="D355" s="1">
        <v>46001</v>
      </c>
      <c r="E355" t="s">
        <v>1105</v>
      </c>
      <c r="F355" t="s">
        <v>38</v>
      </c>
      <c r="G355" t="s">
        <v>39</v>
      </c>
      <c r="H355" t="s">
        <v>1106</v>
      </c>
      <c r="I355" t="s">
        <v>51</v>
      </c>
      <c r="J355" t="s">
        <v>52</v>
      </c>
      <c r="K355" t="s">
        <v>97</v>
      </c>
      <c r="L355" t="s">
        <v>118</v>
      </c>
      <c r="M355" t="s">
        <v>38</v>
      </c>
      <c r="N355" t="s">
        <v>203</v>
      </c>
      <c r="O355" t="s">
        <v>204</v>
      </c>
      <c r="P355" t="s">
        <v>123</v>
      </c>
      <c r="Q355">
        <v>488</v>
      </c>
      <c r="R355">
        <v>11.48</v>
      </c>
      <c r="S355">
        <v>5602.24</v>
      </c>
      <c r="T355">
        <v>16.7</v>
      </c>
      <c r="U355">
        <v>7</v>
      </c>
      <c r="V355">
        <v>2643</v>
      </c>
      <c r="W355" t="s">
        <v>36</v>
      </c>
      <c r="X355">
        <v>780.81</v>
      </c>
    </row>
    <row r="356" spans="1:24" x14ac:dyDescent="0.25">
      <c r="A356" s="2">
        <v>100354</v>
      </c>
      <c r="B356" s="1">
        <v>45818</v>
      </c>
      <c r="C356" s="1">
        <v>45821</v>
      </c>
      <c r="D356" s="1">
        <v>45823</v>
      </c>
      <c r="E356" t="s">
        <v>1107</v>
      </c>
      <c r="F356" t="s">
        <v>65</v>
      </c>
      <c r="G356" t="s">
        <v>142</v>
      </c>
      <c r="H356" t="s">
        <v>1108</v>
      </c>
      <c r="I356" t="s">
        <v>144</v>
      </c>
      <c r="J356" t="s">
        <v>52</v>
      </c>
      <c r="K356" t="s">
        <v>401</v>
      </c>
      <c r="L356" t="s">
        <v>44</v>
      </c>
      <c r="M356" t="s">
        <v>25</v>
      </c>
      <c r="N356" t="s">
        <v>45</v>
      </c>
      <c r="O356" t="s">
        <v>46</v>
      </c>
      <c r="P356" t="s">
        <v>35</v>
      </c>
      <c r="Q356">
        <v>270</v>
      </c>
      <c r="R356">
        <v>16.48</v>
      </c>
      <c r="S356">
        <v>4449.6000000000004</v>
      </c>
      <c r="T356">
        <v>20.13</v>
      </c>
      <c r="U356">
        <v>2</v>
      </c>
      <c r="V356">
        <v>571</v>
      </c>
      <c r="W356" t="s">
        <v>36</v>
      </c>
      <c r="X356">
        <v>464.17</v>
      </c>
    </row>
    <row r="357" spans="1:24" x14ac:dyDescent="0.25">
      <c r="A357" s="2">
        <v>100355</v>
      </c>
      <c r="B357" s="1">
        <v>45536</v>
      </c>
      <c r="C357" s="1">
        <v>45538</v>
      </c>
      <c r="D357" s="1">
        <v>45539</v>
      </c>
      <c r="E357" t="s">
        <v>1109</v>
      </c>
      <c r="F357" t="s">
        <v>32</v>
      </c>
      <c r="G357" t="s">
        <v>255</v>
      </c>
      <c r="H357" t="s">
        <v>1110</v>
      </c>
      <c r="I357" t="s">
        <v>198</v>
      </c>
      <c r="J357" t="s">
        <v>52</v>
      </c>
      <c r="K357" t="s">
        <v>542</v>
      </c>
      <c r="L357" t="s">
        <v>212</v>
      </c>
      <c r="M357" t="s">
        <v>54</v>
      </c>
      <c r="N357" t="s">
        <v>74</v>
      </c>
      <c r="O357" t="s">
        <v>75</v>
      </c>
      <c r="P357" t="s">
        <v>68</v>
      </c>
      <c r="Q357">
        <v>480</v>
      </c>
      <c r="R357">
        <v>74.849999999999994</v>
      </c>
      <c r="S357">
        <v>35928</v>
      </c>
      <c r="T357">
        <v>59.62</v>
      </c>
      <c r="U357">
        <v>1</v>
      </c>
      <c r="V357">
        <v>4180</v>
      </c>
      <c r="W357" t="s">
        <v>36</v>
      </c>
      <c r="X357">
        <v>5097.7299999999996</v>
      </c>
    </row>
    <row r="358" spans="1:24" x14ac:dyDescent="0.25">
      <c r="A358" s="2">
        <v>100356</v>
      </c>
      <c r="B358" s="1">
        <v>45617</v>
      </c>
      <c r="C358" s="1">
        <v>45617</v>
      </c>
      <c r="D358" s="1">
        <v>45626</v>
      </c>
      <c r="E358" t="s">
        <v>1111</v>
      </c>
      <c r="F358" t="s">
        <v>25</v>
      </c>
      <c r="G358" t="s">
        <v>172</v>
      </c>
      <c r="H358" t="s">
        <v>1112</v>
      </c>
      <c r="I358" t="s">
        <v>139</v>
      </c>
      <c r="J358" t="s">
        <v>42</v>
      </c>
      <c r="K358" t="s">
        <v>1113</v>
      </c>
      <c r="L358" t="s">
        <v>31</v>
      </c>
      <c r="M358" t="s">
        <v>38</v>
      </c>
      <c r="N358" t="s">
        <v>102</v>
      </c>
      <c r="O358" t="s">
        <v>103</v>
      </c>
      <c r="P358" t="s">
        <v>123</v>
      </c>
      <c r="Q358">
        <v>81</v>
      </c>
      <c r="R358">
        <v>97.04</v>
      </c>
      <c r="S358">
        <v>7860.24</v>
      </c>
      <c r="T358">
        <v>12.66</v>
      </c>
      <c r="U358">
        <v>9</v>
      </c>
      <c r="V358">
        <v>1797</v>
      </c>
      <c r="W358" t="s">
        <v>57</v>
      </c>
      <c r="X358">
        <v>1529.21</v>
      </c>
    </row>
    <row r="359" spans="1:24" x14ac:dyDescent="0.25">
      <c r="A359" s="2">
        <v>100357</v>
      </c>
      <c r="B359" s="1">
        <v>45345</v>
      </c>
      <c r="C359" s="1">
        <v>45346</v>
      </c>
      <c r="D359" s="1">
        <v>45371</v>
      </c>
      <c r="E359" t="s">
        <v>1114</v>
      </c>
      <c r="F359" t="s">
        <v>54</v>
      </c>
      <c r="G359" t="s">
        <v>165</v>
      </c>
      <c r="H359" t="s">
        <v>1115</v>
      </c>
      <c r="I359" t="s">
        <v>182</v>
      </c>
      <c r="J359" t="s">
        <v>80</v>
      </c>
      <c r="K359" t="s">
        <v>1116</v>
      </c>
      <c r="L359" t="s">
        <v>212</v>
      </c>
      <c r="M359" t="s">
        <v>38</v>
      </c>
      <c r="N359" t="s">
        <v>66</v>
      </c>
      <c r="O359" t="s">
        <v>67</v>
      </c>
      <c r="P359" t="s">
        <v>76</v>
      </c>
      <c r="Q359">
        <v>392</v>
      </c>
      <c r="R359">
        <v>141.35</v>
      </c>
      <c r="S359">
        <v>55409.2</v>
      </c>
      <c r="T359">
        <v>15.16</v>
      </c>
      <c r="U359">
        <v>25</v>
      </c>
      <c r="V359">
        <v>178</v>
      </c>
      <c r="W359" t="s">
        <v>36</v>
      </c>
      <c r="X359">
        <v>12681.9</v>
      </c>
    </row>
    <row r="360" spans="1:24" x14ac:dyDescent="0.25">
      <c r="A360" s="2">
        <v>100358</v>
      </c>
      <c r="B360" s="1">
        <v>45964</v>
      </c>
      <c r="C360" s="1">
        <v>45966</v>
      </c>
      <c r="D360" s="1">
        <v>45970</v>
      </c>
      <c r="E360" t="s">
        <v>1117</v>
      </c>
      <c r="F360" t="s">
        <v>25</v>
      </c>
      <c r="G360" t="s">
        <v>233</v>
      </c>
      <c r="H360" t="s">
        <v>1118</v>
      </c>
      <c r="I360" t="s">
        <v>139</v>
      </c>
      <c r="J360" t="s">
        <v>42</v>
      </c>
      <c r="K360" t="s">
        <v>285</v>
      </c>
      <c r="L360" t="s">
        <v>91</v>
      </c>
      <c r="M360" t="s">
        <v>25</v>
      </c>
      <c r="N360" t="s">
        <v>33</v>
      </c>
      <c r="O360" t="s">
        <v>34</v>
      </c>
      <c r="P360" t="s">
        <v>68</v>
      </c>
      <c r="Q360">
        <v>118</v>
      </c>
      <c r="R360">
        <v>160.13</v>
      </c>
      <c r="S360">
        <v>18895.34</v>
      </c>
      <c r="T360">
        <v>26.78</v>
      </c>
      <c r="U360">
        <v>4</v>
      </c>
      <c r="V360">
        <v>1752</v>
      </c>
      <c r="W360" t="s">
        <v>36</v>
      </c>
      <c r="X360">
        <v>3416.61</v>
      </c>
    </row>
    <row r="361" spans="1:24" x14ac:dyDescent="0.25">
      <c r="A361" s="2">
        <v>100359</v>
      </c>
      <c r="B361" s="1">
        <v>45944</v>
      </c>
      <c r="C361" s="1">
        <v>45948</v>
      </c>
      <c r="D361" s="1">
        <v>45969</v>
      </c>
      <c r="E361" t="s">
        <v>1119</v>
      </c>
      <c r="F361" t="s">
        <v>65</v>
      </c>
      <c r="G361" t="s">
        <v>154</v>
      </c>
      <c r="H361" t="s">
        <v>1120</v>
      </c>
      <c r="I361" t="s">
        <v>177</v>
      </c>
      <c r="J361" t="s">
        <v>29</v>
      </c>
      <c r="K361" t="s">
        <v>1121</v>
      </c>
      <c r="L361" t="s">
        <v>31</v>
      </c>
      <c r="M361" t="s">
        <v>38</v>
      </c>
      <c r="N361" t="s">
        <v>92</v>
      </c>
      <c r="O361" t="s">
        <v>93</v>
      </c>
      <c r="P361" t="s">
        <v>76</v>
      </c>
      <c r="Q361">
        <v>446</v>
      </c>
      <c r="R361">
        <v>97.62</v>
      </c>
      <c r="S361">
        <v>43538.52</v>
      </c>
      <c r="T361">
        <v>16.149999999999999</v>
      </c>
      <c r="U361">
        <v>21</v>
      </c>
      <c r="V361">
        <v>1216</v>
      </c>
      <c r="W361" t="s">
        <v>36</v>
      </c>
      <c r="X361">
        <v>12727.4</v>
      </c>
    </row>
    <row r="362" spans="1:24" x14ac:dyDescent="0.25">
      <c r="A362" s="2">
        <v>100360</v>
      </c>
      <c r="B362" s="1">
        <v>45317</v>
      </c>
      <c r="C362" s="1">
        <v>45319</v>
      </c>
      <c r="D362" s="1">
        <v>45324</v>
      </c>
      <c r="E362" t="s">
        <v>1122</v>
      </c>
      <c r="F362" t="s">
        <v>54</v>
      </c>
      <c r="G362" t="s">
        <v>158</v>
      </c>
      <c r="H362" t="s">
        <v>1123</v>
      </c>
      <c r="I362" t="s">
        <v>182</v>
      </c>
      <c r="J362" t="s">
        <v>80</v>
      </c>
      <c r="K362" t="s">
        <v>1124</v>
      </c>
      <c r="L362" t="s">
        <v>64</v>
      </c>
      <c r="M362" t="s">
        <v>25</v>
      </c>
      <c r="N362" t="s">
        <v>107</v>
      </c>
      <c r="O362" t="s">
        <v>108</v>
      </c>
      <c r="P362" t="s">
        <v>68</v>
      </c>
      <c r="Q362">
        <v>444</v>
      </c>
      <c r="R362">
        <v>221.53</v>
      </c>
      <c r="S362">
        <v>98359.32</v>
      </c>
      <c r="T362">
        <v>57.28</v>
      </c>
      <c r="U362">
        <v>5</v>
      </c>
      <c r="V362">
        <v>1852</v>
      </c>
      <c r="W362" t="s">
        <v>36</v>
      </c>
      <c r="X362">
        <v>12400.19</v>
      </c>
    </row>
    <row r="363" spans="1:24" x14ac:dyDescent="0.25">
      <c r="A363" s="2">
        <v>100361</v>
      </c>
      <c r="B363" s="1">
        <v>45739</v>
      </c>
      <c r="C363" s="1">
        <v>45744</v>
      </c>
      <c r="D363" s="1">
        <v>45749</v>
      </c>
      <c r="E363" t="s">
        <v>1125</v>
      </c>
      <c r="F363" t="s">
        <v>25</v>
      </c>
      <c r="G363" t="s">
        <v>172</v>
      </c>
      <c r="H363" t="s">
        <v>1126</v>
      </c>
      <c r="I363" t="s">
        <v>246</v>
      </c>
      <c r="J363" t="s">
        <v>29</v>
      </c>
      <c r="K363" t="s">
        <v>1127</v>
      </c>
      <c r="L363" t="s">
        <v>122</v>
      </c>
      <c r="M363" t="s">
        <v>32</v>
      </c>
      <c r="N363" t="s">
        <v>102</v>
      </c>
      <c r="O363" t="s">
        <v>103</v>
      </c>
      <c r="P363" t="s">
        <v>35</v>
      </c>
      <c r="Q363">
        <v>364</v>
      </c>
      <c r="R363">
        <v>99.09</v>
      </c>
      <c r="S363">
        <v>36068.76</v>
      </c>
      <c r="T363">
        <v>22.79</v>
      </c>
      <c r="U363">
        <v>5</v>
      </c>
      <c r="V363">
        <v>1616</v>
      </c>
      <c r="W363" t="s">
        <v>36</v>
      </c>
      <c r="X363">
        <v>4122.51</v>
      </c>
    </row>
    <row r="364" spans="1:24" x14ac:dyDescent="0.25">
      <c r="A364" s="2">
        <v>100362</v>
      </c>
      <c r="B364" s="1">
        <v>45615</v>
      </c>
      <c r="C364" s="1">
        <v>45615</v>
      </c>
      <c r="D364" s="1">
        <v>45636</v>
      </c>
      <c r="E364" t="s">
        <v>1128</v>
      </c>
      <c r="F364" t="s">
        <v>38</v>
      </c>
      <c r="G364" t="s">
        <v>49</v>
      </c>
      <c r="H364" t="s">
        <v>1129</v>
      </c>
      <c r="I364" t="s">
        <v>368</v>
      </c>
      <c r="J364" t="s">
        <v>29</v>
      </c>
      <c r="K364" t="s">
        <v>1130</v>
      </c>
      <c r="L364" t="s">
        <v>91</v>
      </c>
      <c r="M364" t="s">
        <v>54</v>
      </c>
      <c r="N364" t="s">
        <v>45</v>
      </c>
      <c r="O364" t="s">
        <v>46</v>
      </c>
      <c r="P364" t="s">
        <v>76</v>
      </c>
      <c r="Q364">
        <v>430</v>
      </c>
      <c r="R364">
        <v>12.3</v>
      </c>
      <c r="S364">
        <v>5289</v>
      </c>
      <c r="T364">
        <v>15.86</v>
      </c>
      <c r="U364">
        <v>21</v>
      </c>
      <c r="V364">
        <v>749</v>
      </c>
      <c r="W364" t="s">
        <v>36</v>
      </c>
      <c r="X364">
        <v>1394.4</v>
      </c>
    </row>
    <row r="365" spans="1:24" x14ac:dyDescent="0.25">
      <c r="A365" s="2">
        <v>100363</v>
      </c>
      <c r="B365" s="1">
        <v>45407</v>
      </c>
      <c r="C365" s="1">
        <v>45412</v>
      </c>
      <c r="D365" s="1">
        <v>45419</v>
      </c>
      <c r="E365" t="s">
        <v>1131</v>
      </c>
      <c r="F365" t="s">
        <v>32</v>
      </c>
      <c r="G365" t="s">
        <v>273</v>
      </c>
      <c r="H365" t="s">
        <v>1132</v>
      </c>
      <c r="I365" t="s">
        <v>182</v>
      </c>
      <c r="J365" t="s">
        <v>80</v>
      </c>
      <c r="K365" t="s">
        <v>1037</v>
      </c>
      <c r="L365" t="s">
        <v>187</v>
      </c>
      <c r="M365" t="s">
        <v>38</v>
      </c>
      <c r="N365" t="s">
        <v>45</v>
      </c>
      <c r="O365" t="s">
        <v>46</v>
      </c>
      <c r="P365" t="s">
        <v>123</v>
      </c>
      <c r="Q365">
        <v>131</v>
      </c>
      <c r="R365">
        <v>167.81</v>
      </c>
      <c r="S365">
        <v>21983.11</v>
      </c>
      <c r="T365">
        <v>13.88</v>
      </c>
      <c r="U365">
        <v>7</v>
      </c>
      <c r="V365">
        <v>1511</v>
      </c>
      <c r="W365" t="s">
        <v>36</v>
      </c>
      <c r="X365">
        <v>3742.53</v>
      </c>
    </row>
    <row r="366" spans="1:24" x14ac:dyDescent="0.25">
      <c r="A366" s="2">
        <v>100364</v>
      </c>
      <c r="B366" s="1">
        <v>45604</v>
      </c>
      <c r="C366" s="1">
        <v>45605</v>
      </c>
      <c r="D366" s="1">
        <v>45621</v>
      </c>
      <c r="E366" t="s">
        <v>1133</v>
      </c>
      <c r="F366" t="s">
        <v>38</v>
      </c>
      <c r="G366" t="s">
        <v>39</v>
      </c>
      <c r="H366" t="s">
        <v>1134</v>
      </c>
      <c r="I366" t="s">
        <v>416</v>
      </c>
      <c r="J366" t="s">
        <v>80</v>
      </c>
      <c r="K366" t="s">
        <v>1135</v>
      </c>
      <c r="L366" t="s">
        <v>31</v>
      </c>
      <c r="M366" t="s">
        <v>32</v>
      </c>
      <c r="N366" t="s">
        <v>107</v>
      </c>
      <c r="O366" t="s">
        <v>108</v>
      </c>
      <c r="P366" t="s">
        <v>123</v>
      </c>
      <c r="Q366">
        <v>343</v>
      </c>
      <c r="R366">
        <v>58.94</v>
      </c>
      <c r="S366">
        <v>20216.419999999998</v>
      </c>
      <c r="T366">
        <v>19.03</v>
      </c>
      <c r="U366">
        <v>16</v>
      </c>
      <c r="V366">
        <v>397</v>
      </c>
      <c r="W366" t="s">
        <v>188</v>
      </c>
      <c r="X366">
        <v>3868.15</v>
      </c>
    </row>
    <row r="367" spans="1:24" x14ac:dyDescent="0.25">
      <c r="A367" s="2">
        <v>100365</v>
      </c>
      <c r="B367" s="1">
        <v>45384</v>
      </c>
      <c r="C367" s="1">
        <v>45388</v>
      </c>
      <c r="D367" s="1">
        <v>45397</v>
      </c>
      <c r="E367" t="s">
        <v>1136</v>
      </c>
      <c r="F367" t="s">
        <v>38</v>
      </c>
      <c r="G367" t="s">
        <v>217</v>
      </c>
      <c r="H367" t="s">
        <v>1137</v>
      </c>
      <c r="I367" t="s">
        <v>85</v>
      </c>
      <c r="J367" t="s">
        <v>52</v>
      </c>
      <c r="K367" t="s">
        <v>1138</v>
      </c>
      <c r="L367" t="s">
        <v>64</v>
      </c>
      <c r="M367" t="s">
        <v>65</v>
      </c>
      <c r="N367" t="s">
        <v>45</v>
      </c>
      <c r="O367" t="s">
        <v>46</v>
      </c>
      <c r="P367" t="s">
        <v>35</v>
      </c>
      <c r="Q367">
        <v>255</v>
      </c>
      <c r="R367">
        <v>61.16</v>
      </c>
      <c r="S367">
        <v>15595.8</v>
      </c>
      <c r="T367">
        <v>19.7</v>
      </c>
      <c r="U367">
        <v>9</v>
      </c>
      <c r="V367">
        <v>3358</v>
      </c>
      <c r="W367" t="s">
        <v>36</v>
      </c>
      <c r="X367">
        <v>1346.43</v>
      </c>
    </row>
    <row r="368" spans="1:24" x14ac:dyDescent="0.25">
      <c r="A368" s="2">
        <v>100366</v>
      </c>
      <c r="B368" s="1">
        <v>45621</v>
      </c>
      <c r="C368" s="1">
        <v>45622</v>
      </c>
      <c r="D368" s="1">
        <v>45634</v>
      </c>
      <c r="E368" t="s">
        <v>1139</v>
      </c>
      <c r="F368" t="s">
        <v>25</v>
      </c>
      <c r="G368" t="s">
        <v>169</v>
      </c>
      <c r="H368" t="s">
        <v>1140</v>
      </c>
      <c r="I368" t="s">
        <v>79</v>
      </c>
      <c r="J368" t="s">
        <v>80</v>
      </c>
      <c r="K368" t="s">
        <v>300</v>
      </c>
      <c r="L368" t="s">
        <v>64</v>
      </c>
      <c r="M368" t="s">
        <v>38</v>
      </c>
      <c r="N368" t="s">
        <v>203</v>
      </c>
      <c r="O368" t="s">
        <v>204</v>
      </c>
      <c r="P368" t="s">
        <v>123</v>
      </c>
      <c r="Q368">
        <v>10</v>
      </c>
      <c r="R368">
        <v>90.39</v>
      </c>
      <c r="S368">
        <v>903.9</v>
      </c>
      <c r="T368">
        <v>10.94</v>
      </c>
      <c r="U368">
        <v>12</v>
      </c>
      <c r="V368">
        <v>1261</v>
      </c>
      <c r="W368" t="s">
        <v>36</v>
      </c>
      <c r="X368">
        <v>75.3</v>
      </c>
    </row>
    <row r="369" spans="1:24" x14ac:dyDescent="0.25">
      <c r="A369" s="2">
        <v>100367</v>
      </c>
      <c r="B369" s="1">
        <v>45769</v>
      </c>
      <c r="C369" s="1">
        <v>45770</v>
      </c>
      <c r="D369" s="1">
        <v>45788</v>
      </c>
      <c r="E369" t="s">
        <v>1141</v>
      </c>
      <c r="F369" t="s">
        <v>38</v>
      </c>
      <c r="G369" t="s">
        <v>217</v>
      </c>
      <c r="H369" t="s">
        <v>1142</v>
      </c>
      <c r="I369" t="s">
        <v>278</v>
      </c>
      <c r="J369" t="s">
        <v>29</v>
      </c>
      <c r="K369" t="s">
        <v>1143</v>
      </c>
      <c r="L369" t="s">
        <v>113</v>
      </c>
      <c r="M369" t="s">
        <v>38</v>
      </c>
      <c r="N369" t="s">
        <v>66</v>
      </c>
      <c r="O369" t="s">
        <v>67</v>
      </c>
      <c r="P369" t="s">
        <v>123</v>
      </c>
      <c r="Q369">
        <v>443</v>
      </c>
      <c r="R369">
        <v>68.3</v>
      </c>
      <c r="S369">
        <v>30256.9</v>
      </c>
      <c r="T369">
        <v>15.89</v>
      </c>
      <c r="U369">
        <v>18</v>
      </c>
      <c r="V369">
        <v>1984</v>
      </c>
      <c r="W369" t="s">
        <v>188</v>
      </c>
      <c r="X369">
        <v>8504.57</v>
      </c>
    </row>
    <row r="370" spans="1:24" x14ac:dyDescent="0.25">
      <c r="A370" s="2">
        <v>100368</v>
      </c>
      <c r="B370" s="1">
        <v>45799</v>
      </c>
      <c r="C370" s="1">
        <v>45803</v>
      </c>
      <c r="D370" s="1">
        <v>45806</v>
      </c>
      <c r="E370" t="s">
        <v>1144</v>
      </c>
      <c r="F370" t="s">
        <v>38</v>
      </c>
      <c r="G370" t="s">
        <v>147</v>
      </c>
      <c r="H370" t="s">
        <v>1145</v>
      </c>
      <c r="I370" t="s">
        <v>126</v>
      </c>
      <c r="J370" t="s">
        <v>42</v>
      </c>
      <c r="K370" t="s">
        <v>578</v>
      </c>
      <c r="L370" t="s">
        <v>64</v>
      </c>
      <c r="M370" t="s">
        <v>25</v>
      </c>
      <c r="N370" t="s">
        <v>45</v>
      </c>
      <c r="O370" t="s">
        <v>46</v>
      </c>
      <c r="P370" t="s">
        <v>68</v>
      </c>
      <c r="Q370">
        <v>26</v>
      </c>
      <c r="R370">
        <v>264.23</v>
      </c>
      <c r="S370">
        <v>6869.98</v>
      </c>
      <c r="T370">
        <v>30.2</v>
      </c>
      <c r="U370">
        <v>3</v>
      </c>
      <c r="V370">
        <v>991</v>
      </c>
      <c r="W370" t="s">
        <v>36</v>
      </c>
      <c r="X370">
        <v>1316.19</v>
      </c>
    </row>
    <row r="371" spans="1:24" x14ac:dyDescent="0.25">
      <c r="A371" s="2">
        <v>100369</v>
      </c>
      <c r="B371" s="1">
        <v>45494</v>
      </c>
      <c r="C371" s="1">
        <v>45495</v>
      </c>
      <c r="D371" s="1">
        <v>45499</v>
      </c>
      <c r="E371" t="s">
        <v>1146</v>
      </c>
      <c r="F371" t="s">
        <v>25</v>
      </c>
      <c r="G371" t="s">
        <v>244</v>
      </c>
      <c r="H371" t="s">
        <v>1147</v>
      </c>
      <c r="I371" t="s">
        <v>28</v>
      </c>
      <c r="J371" t="s">
        <v>29</v>
      </c>
      <c r="K371" t="s">
        <v>63</v>
      </c>
      <c r="L371" t="s">
        <v>118</v>
      </c>
      <c r="M371" t="s">
        <v>54</v>
      </c>
      <c r="N371" t="s">
        <v>203</v>
      </c>
      <c r="O371" t="s">
        <v>204</v>
      </c>
      <c r="P371" t="s">
        <v>68</v>
      </c>
      <c r="Q371">
        <v>262</v>
      </c>
      <c r="R371">
        <v>23.68</v>
      </c>
      <c r="S371">
        <v>6204.16</v>
      </c>
      <c r="T371">
        <v>45.49</v>
      </c>
      <c r="U371">
        <v>4</v>
      </c>
      <c r="V371">
        <v>591</v>
      </c>
      <c r="W371" t="s">
        <v>36</v>
      </c>
      <c r="X371">
        <v>1063.98</v>
      </c>
    </row>
    <row r="372" spans="1:24" x14ac:dyDescent="0.25">
      <c r="A372" s="2">
        <v>100370</v>
      </c>
      <c r="B372" s="1">
        <v>45955</v>
      </c>
      <c r="C372" s="1">
        <v>45960</v>
      </c>
      <c r="D372" s="1">
        <v>45972</v>
      </c>
      <c r="E372" t="s">
        <v>1148</v>
      </c>
      <c r="F372" t="s">
        <v>38</v>
      </c>
      <c r="G372" t="s">
        <v>39</v>
      </c>
      <c r="H372" t="s">
        <v>1149</v>
      </c>
      <c r="I372" t="s">
        <v>230</v>
      </c>
      <c r="J372" t="s">
        <v>80</v>
      </c>
      <c r="K372" t="s">
        <v>1150</v>
      </c>
      <c r="L372" t="s">
        <v>113</v>
      </c>
      <c r="M372" t="s">
        <v>38</v>
      </c>
      <c r="N372" t="s">
        <v>66</v>
      </c>
      <c r="O372" t="s">
        <v>67</v>
      </c>
      <c r="P372" t="s">
        <v>76</v>
      </c>
      <c r="Q372">
        <v>467</v>
      </c>
      <c r="R372">
        <v>291</v>
      </c>
      <c r="S372">
        <v>135897</v>
      </c>
      <c r="T372">
        <v>12.24</v>
      </c>
      <c r="U372">
        <v>12</v>
      </c>
      <c r="V372">
        <v>911</v>
      </c>
      <c r="W372" t="s">
        <v>47</v>
      </c>
      <c r="X372">
        <v>-205.45</v>
      </c>
    </row>
    <row r="373" spans="1:24" x14ac:dyDescent="0.25">
      <c r="A373" s="2">
        <v>100371</v>
      </c>
      <c r="B373" s="1">
        <v>45452</v>
      </c>
      <c r="C373" s="1">
        <v>45454</v>
      </c>
      <c r="D373" s="1">
        <v>45477</v>
      </c>
      <c r="E373" t="s">
        <v>1151</v>
      </c>
      <c r="F373" t="s">
        <v>54</v>
      </c>
      <c r="G373" t="s">
        <v>165</v>
      </c>
      <c r="H373" t="s">
        <v>1152</v>
      </c>
      <c r="I373" t="s">
        <v>191</v>
      </c>
      <c r="J373" t="s">
        <v>62</v>
      </c>
      <c r="K373" t="s">
        <v>1153</v>
      </c>
      <c r="L373" t="s">
        <v>64</v>
      </c>
      <c r="M373" t="s">
        <v>54</v>
      </c>
      <c r="N373" t="s">
        <v>55</v>
      </c>
      <c r="O373" t="s">
        <v>56</v>
      </c>
      <c r="P373" t="s">
        <v>76</v>
      </c>
      <c r="Q373">
        <v>181</v>
      </c>
      <c r="R373">
        <v>7.46</v>
      </c>
      <c r="S373">
        <v>1350.26</v>
      </c>
      <c r="T373">
        <v>8.3800000000000008</v>
      </c>
      <c r="U373">
        <v>23</v>
      </c>
      <c r="V373">
        <v>2606</v>
      </c>
      <c r="W373" t="s">
        <v>36</v>
      </c>
      <c r="X373">
        <v>191.16</v>
      </c>
    </row>
    <row r="374" spans="1:24" x14ac:dyDescent="0.25">
      <c r="A374" s="2">
        <v>100372</v>
      </c>
      <c r="B374" s="1">
        <v>45655</v>
      </c>
      <c r="C374" s="1">
        <v>45657</v>
      </c>
      <c r="D374" s="1">
        <v>45662</v>
      </c>
      <c r="E374" t="s">
        <v>1154</v>
      </c>
      <c r="F374" t="s">
        <v>65</v>
      </c>
      <c r="G374" t="s">
        <v>70</v>
      </c>
      <c r="H374" t="s">
        <v>1155</v>
      </c>
      <c r="I374" t="s">
        <v>230</v>
      </c>
      <c r="J374" t="s">
        <v>80</v>
      </c>
      <c r="K374" t="s">
        <v>156</v>
      </c>
      <c r="L374" t="s">
        <v>31</v>
      </c>
      <c r="M374" t="s">
        <v>54</v>
      </c>
      <c r="N374" t="s">
        <v>102</v>
      </c>
      <c r="O374" t="s">
        <v>103</v>
      </c>
      <c r="P374" t="s">
        <v>35</v>
      </c>
      <c r="Q374">
        <v>392</v>
      </c>
      <c r="R374">
        <v>235.75</v>
      </c>
      <c r="S374">
        <v>92414</v>
      </c>
      <c r="T374">
        <v>23.59</v>
      </c>
      <c r="U374">
        <v>5</v>
      </c>
      <c r="V374">
        <v>1640</v>
      </c>
      <c r="W374" t="s">
        <v>36</v>
      </c>
      <c r="X374">
        <v>13500.33</v>
      </c>
    </row>
    <row r="375" spans="1:24" x14ac:dyDescent="0.25">
      <c r="A375" s="2">
        <v>100373</v>
      </c>
      <c r="B375" s="1">
        <v>45470</v>
      </c>
      <c r="C375" s="1">
        <v>45470</v>
      </c>
      <c r="D375" s="1">
        <v>45489</v>
      </c>
      <c r="E375" t="s">
        <v>1156</v>
      </c>
      <c r="F375" t="s">
        <v>54</v>
      </c>
      <c r="G375" t="s">
        <v>129</v>
      </c>
      <c r="H375" t="s">
        <v>1157</v>
      </c>
      <c r="I375" t="s">
        <v>182</v>
      </c>
      <c r="J375" t="s">
        <v>80</v>
      </c>
      <c r="K375" t="s">
        <v>1158</v>
      </c>
      <c r="L375" t="s">
        <v>113</v>
      </c>
      <c r="M375" t="s">
        <v>32</v>
      </c>
      <c r="N375" t="s">
        <v>33</v>
      </c>
      <c r="O375" t="s">
        <v>34</v>
      </c>
      <c r="P375" t="s">
        <v>123</v>
      </c>
      <c r="Q375">
        <v>51</v>
      </c>
      <c r="R375">
        <v>127.84</v>
      </c>
      <c r="S375">
        <v>6519.84</v>
      </c>
      <c r="T375">
        <v>11.93</v>
      </c>
      <c r="U375">
        <v>19</v>
      </c>
      <c r="V375">
        <v>1403</v>
      </c>
      <c r="W375" t="s">
        <v>188</v>
      </c>
      <c r="X375">
        <v>1160.4000000000001</v>
      </c>
    </row>
    <row r="376" spans="1:24" x14ac:dyDescent="0.25">
      <c r="A376" s="2">
        <v>100374</v>
      </c>
      <c r="B376" s="1">
        <v>45414</v>
      </c>
      <c r="C376" s="1">
        <v>45416</v>
      </c>
      <c r="D376" s="1">
        <v>45420</v>
      </c>
      <c r="E376" t="s">
        <v>1159</v>
      </c>
      <c r="F376" t="s">
        <v>32</v>
      </c>
      <c r="G376" t="s">
        <v>95</v>
      </c>
      <c r="H376" t="s">
        <v>1160</v>
      </c>
      <c r="I376" t="s">
        <v>139</v>
      </c>
      <c r="J376" t="s">
        <v>42</v>
      </c>
      <c r="K376" t="s">
        <v>1161</v>
      </c>
      <c r="L376" t="s">
        <v>31</v>
      </c>
      <c r="M376" t="s">
        <v>38</v>
      </c>
      <c r="N376" t="s">
        <v>107</v>
      </c>
      <c r="O376" t="s">
        <v>108</v>
      </c>
      <c r="P376" t="s">
        <v>35</v>
      </c>
      <c r="Q376">
        <v>15</v>
      </c>
      <c r="R376">
        <v>210.19</v>
      </c>
      <c r="S376">
        <v>3152.85</v>
      </c>
      <c r="T376">
        <v>12.9</v>
      </c>
      <c r="U376">
        <v>4</v>
      </c>
      <c r="V376">
        <v>1367</v>
      </c>
      <c r="W376" t="s">
        <v>36</v>
      </c>
      <c r="X376">
        <v>408.29</v>
      </c>
    </row>
    <row r="377" spans="1:24" x14ac:dyDescent="0.25">
      <c r="A377" s="2">
        <v>100375</v>
      </c>
      <c r="B377" s="1">
        <v>45631</v>
      </c>
      <c r="C377" s="1">
        <v>45634</v>
      </c>
      <c r="D377" s="1">
        <v>45652</v>
      </c>
      <c r="E377" t="s">
        <v>1162</v>
      </c>
      <c r="F377" t="s">
        <v>54</v>
      </c>
      <c r="G377" t="s">
        <v>225</v>
      </c>
      <c r="H377" t="s">
        <v>1163</v>
      </c>
      <c r="I377" t="s">
        <v>79</v>
      </c>
      <c r="J377" t="s">
        <v>80</v>
      </c>
      <c r="K377" t="s">
        <v>685</v>
      </c>
      <c r="L377" t="s">
        <v>118</v>
      </c>
      <c r="M377" t="s">
        <v>25</v>
      </c>
      <c r="N377" t="s">
        <v>55</v>
      </c>
      <c r="O377" t="s">
        <v>56</v>
      </c>
      <c r="P377" t="s">
        <v>76</v>
      </c>
      <c r="Q377">
        <v>204</v>
      </c>
      <c r="R377">
        <v>312.19</v>
      </c>
      <c r="S377">
        <v>63686.76</v>
      </c>
      <c r="T377">
        <v>11.74</v>
      </c>
      <c r="U377">
        <v>18</v>
      </c>
      <c r="V377">
        <v>1066</v>
      </c>
      <c r="W377" t="s">
        <v>188</v>
      </c>
      <c r="X377">
        <v>15556.48</v>
      </c>
    </row>
    <row r="378" spans="1:24" x14ac:dyDescent="0.25">
      <c r="A378" s="2">
        <v>100376</v>
      </c>
      <c r="B378" s="1">
        <v>45699</v>
      </c>
      <c r="C378" s="1">
        <v>45699</v>
      </c>
      <c r="D378" s="1">
        <v>45705</v>
      </c>
      <c r="E378" t="s">
        <v>1164</v>
      </c>
      <c r="F378" t="s">
        <v>65</v>
      </c>
      <c r="G378" t="s">
        <v>142</v>
      </c>
      <c r="H378" t="s">
        <v>1165</v>
      </c>
      <c r="I378" t="s">
        <v>368</v>
      </c>
      <c r="J378" t="s">
        <v>29</v>
      </c>
      <c r="K378" t="s">
        <v>1166</v>
      </c>
      <c r="L378" t="s">
        <v>187</v>
      </c>
      <c r="M378" t="s">
        <v>54</v>
      </c>
      <c r="N378" t="s">
        <v>102</v>
      </c>
      <c r="O378" t="s">
        <v>103</v>
      </c>
      <c r="P378" t="s">
        <v>35</v>
      </c>
      <c r="Q378">
        <v>119</v>
      </c>
      <c r="R378">
        <v>59.97</v>
      </c>
      <c r="S378">
        <v>7136.43</v>
      </c>
      <c r="T378">
        <v>15.85</v>
      </c>
      <c r="U378">
        <v>6</v>
      </c>
      <c r="V378">
        <v>455</v>
      </c>
      <c r="W378" t="s">
        <v>36</v>
      </c>
      <c r="X378">
        <v>873.75</v>
      </c>
    </row>
    <row r="379" spans="1:24" x14ac:dyDescent="0.25">
      <c r="A379" s="2">
        <v>100377</v>
      </c>
      <c r="B379" s="1">
        <v>45711</v>
      </c>
      <c r="C379" s="1">
        <v>45711</v>
      </c>
      <c r="D379" s="1">
        <v>45727</v>
      </c>
      <c r="E379" t="s">
        <v>1167</v>
      </c>
      <c r="F379" t="s">
        <v>54</v>
      </c>
      <c r="G379" t="s">
        <v>158</v>
      </c>
      <c r="H379" t="s">
        <v>1168</v>
      </c>
      <c r="I379" t="s">
        <v>238</v>
      </c>
      <c r="J379" t="s">
        <v>62</v>
      </c>
      <c r="K379" t="s">
        <v>1169</v>
      </c>
      <c r="L379" t="s">
        <v>187</v>
      </c>
      <c r="M379" t="s">
        <v>54</v>
      </c>
      <c r="N379" t="s">
        <v>107</v>
      </c>
      <c r="O379" t="s">
        <v>108</v>
      </c>
      <c r="P379" t="s">
        <v>76</v>
      </c>
      <c r="Q379">
        <v>52</v>
      </c>
      <c r="R379">
        <v>29.96</v>
      </c>
      <c r="S379">
        <v>1557.92</v>
      </c>
      <c r="T379">
        <v>6.64</v>
      </c>
      <c r="U379">
        <v>16</v>
      </c>
      <c r="V379">
        <v>3005</v>
      </c>
      <c r="W379" t="s">
        <v>36</v>
      </c>
      <c r="X379">
        <v>82.48</v>
      </c>
    </row>
    <row r="380" spans="1:24" x14ac:dyDescent="0.25">
      <c r="A380" s="2">
        <v>100378</v>
      </c>
      <c r="B380" s="1">
        <v>45963</v>
      </c>
      <c r="C380" s="1">
        <v>45963</v>
      </c>
      <c r="D380" s="1">
        <v>45967</v>
      </c>
      <c r="E380" t="s">
        <v>1170</v>
      </c>
      <c r="F380" t="s">
        <v>25</v>
      </c>
      <c r="G380" t="s">
        <v>233</v>
      </c>
      <c r="H380" t="s">
        <v>1171</v>
      </c>
      <c r="I380" t="s">
        <v>126</v>
      </c>
      <c r="J380" t="s">
        <v>42</v>
      </c>
      <c r="K380" t="s">
        <v>275</v>
      </c>
      <c r="L380" t="s">
        <v>31</v>
      </c>
      <c r="M380" t="s">
        <v>38</v>
      </c>
      <c r="N380" t="s">
        <v>74</v>
      </c>
      <c r="O380" t="s">
        <v>75</v>
      </c>
      <c r="P380" t="s">
        <v>68</v>
      </c>
      <c r="Q380">
        <v>491</v>
      </c>
      <c r="R380">
        <v>76.16</v>
      </c>
      <c r="S380">
        <v>37394.559999999998</v>
      </c>
      <c r="T380">
        <v>60.33</v>
      </c>
      <c r="U380">
        <v>4</v>
      </c>
      <c r="V380">
        <v>971</v>
      </c>
      <c r="W380" t="s">
        <v>36</v>
      </c>
      <c r="X380">
        <v>4582.24</v>
      </c>
    </row>
    <row r="381" spans="1:24" x14ac:dyDescent="0.25">
      <c r="A381" s="2">
        <v>100379</v>
      </c>
      <c r="B381" s="1">
        <v>45560</v>
      </c>
      <c r="C381" s="1">
        <v>45564</v>
      </c>
      <c r="D381" s="1">
        <v>45579</v>
      </c>
      <c r="E381" t="s">
        <v>1172</v>
      </c>
      <c r="F381" t="s">
        <v>32</v>
      </c>
      <c r="G381" t="s">
        <v>110</v>
      </c>
      <c r="H381" t="s">
        <v>1173</v>
      </c>
      <c r="I381" t="s">
        <v>191</v>
      </c>
      <c r="J381" t="s">
        <v>62</v>
      </c>
      <c r="K381" t="s">
        <v>1174</v>
      </c>
      <c r="L381" t="s">
        <v>31</v>
      </c>
      <c r="M381" t="s">
        <v>25</v>
      </c>
      <c r="N381" t="s">
        <v>55</v>
      </c>
      <c r="O381" t="s">
        <v>56</v>
      </c>
      <c r="P381" t="s">
        <v>123</v>
      </c>
      <c r="Q381">
        <v>467</v>
      </c>
      <c r="R381">
        <v>29.61</v>
      </c>
      <c r="S381">
        <v>13827.87</v>
      </c>
      <c r="T381">
        <v>22.04</v>
      </c>
      <c r="U381">
        <v>15</v>
      </c>
      <c r="V381">
        <v>4570</v>
      </c>
      <c r="W381" t="s">
        <v>188</v>
      </c>
      <c r="X381">
        <v>800.1</v>
      </c>
    </row>
    <row r="382" spans="1:24" x14ac:dyDescent="0.25">
      <c r="A382" s="2">
        <v>100380</v>
      </c>
      <c r="B382" s="1">
        <v>45730</v>
      </c>
      <c r="C382" s="1">
        <v>45732</v>
      </c>
      <c r="D382" s="1">
        <v>45735</v>
      </c>
      <c r="E382" t="s">
        <v>1175</v>
      </c>
      <c r="F382" t="s">
        <v>38</v>
      </c>
      <c r="G382" t="s">
        <v>83</v>
      </c>
      <c r="H382" t="s">
        <v>1176</v>
      </c>
      <c r="I382" t="s">
        <v>144</v>
      </c>
      <c r="J382" t="s">
        <v>52</v>
      </c>
      <c r="K382" t="s">
        <v>1177</v>
      </c>
      <c r="L382" t="s">
        <v>122</v>
      </c>
      <c r="M382" t="s">
        <v>65</v>
      </c>
      <c r="N382" t="s">
        <v>107</v>
      </c>
      <c r="O382" t="s">
        <v>108</v>
      </c>
      <c r="P382" t="s">
        <v>68</v>
      </c>
      <c r="Q382">
        <v>23</v>
      </c>
      <c r="R382">
        <v>76.11</v>
      </c>
      <c r="S382">
        <v>1750.53</v>
      </c>
      <c r="T382">
        <v>30</v>
      </c>
      <c r="U382">
        <v>3</v>
      </c>
      <c r="V382">
        <v>1651</v>
      </c>
      <c r="W382" t="s">
        <v>36</v>
      </c>
      <c r="X382">
        <v>260.87</v>
      </c>
    </row>
    <row r="383" spans="1:24" x14ac:dyDescent="0.25">
      <c r="A383" s="2">
        <v>100381</v>
      </c>
      <c r="B383" s="1">
        <v>45731</v>
      </c>
      <c r="C383" s="1">
        <v>45736</v>
      </c>
      <c r="D383" s="1">
        <v>45739</v>
      </c>
      <c r="E383" t="s">
        <v>1178</v>
      </c>
      <c r="F383" t="s">
        <v>38</v>
      </c>
      <c r="G383" t="s">
        <v>83</v>
      </c>
      <c r="H383" t="s">
        <v>1179</v>
      </c>
      <c r="I383" t="s">
        <v>198</v>
      </c>
      <c r="J383" t="s">
        <v>52</v>
      </c>
      <c r="K383" t="s">
        <v>447</v>
      </c>
      <c r="L383" t="s">
        <v>122</v>
      </c>
      <c r="M383" t="s">
        <v>54</v>
      </c>
      <c r="N383" t="s">
        <v>151</v>
      </c>
      <c r="O383" t="s">
        <v>152</v>
      </c>
      <c r="P383" t="s">
        <v>68</v>
      </c>
      <c r="Q383">
        <v>453</v>
      </c>
      <c r="R383">
        <v>55.43</v>
      </c>
      <c r="S383">
        <v>25109.79</v>
      </c>
      <c r="T383">
        <v>57.87</v>
      </c>
      <c r="U383">
        <v>3</v>
      </c>
      <c r="V383">
        <v>3162</v>
      </c>
      <c r="W383" t="s">
        <v>57</v>
      </c>
      <c r="X383">
        <v>2291.38</v>
      </c>
    </row>
    <row r="384" spans="1:24" x14ac:dyDescent="0.25">
      <c r="A384" s="2">
        <v>100382</v>
      </c>
      <c r="B384" s="1">
        <v>45902</v>
      </c>
      <c r="C384" s="1">
        <v>45903</v>
      </c>
      <c r="D384" s="1">
        <v>45906</v>
      </c>
      <c r="E384" t="s">
        <v>1180</v>
      </c>
      <c r="F384" t="s">
        <v>32</v>
      </c>
      <c r="G384" t="s">
        <v>255</v>
      </c>
      <c r="H384" t="s">
        <v>1181</v>
      </c>
      <c r="I384" t="s">
        <v>191</v>
      </c>
      <c r="J384" t="s">
        <v>62</v>
      </c>
      <c r="K384" t="s">
        <v>830</v>
      </c>
      <c r="L384" t="s">
        <v>122</v>
      </c>
      <c r="M384" t="s">
        <v>65</v>
      </c>
      <c r="N384" t="s">
        <v>45</v>
      </c>
      <c r="O384" t="s">
        <v>46</v>
      </c>
      <c r="P384" t="s">
        <v>68</v>
      </c>
      <c r="Q384">
        <v>159</v>
      </c>
      <c r="R384">
        <v>11.08</v>
      </c>
      <c r="S384">
        <v>1761.72</v>
      </c>
      <c r="T384">
        <v>38.82</v>
      </c>
      <c r="U384">
        <v>3</v>
      </c>
      <c r="V384">
        <v>4379</v>
      </c>
      <c r="W384" t="s">
        <v>36</v>
      </c>
      <c r="X384">
        <v>51.8</v>
      </c>
    </row>
    <row r="385" spans="1:24" x14ac:dyDescent="0.25">
      <c r="A385" s="2">
        <v>100383</v>
      </c>
      <c r="B385" s="1">
        <v>45505</v>
      </c>
      <c r="C385" s="1">
        <v>45509</v>
      </c>
      <c r="D385" s="1">
        <v>45522</v>
      </c>
      <c r="E385" t="s">
        <v>1182</v>
      </c>
      <c r="F385" t="s">
        <v>54</v>
      </c>
      <c r="G385" t="s">
        <v>193</v>
      </c>
      <c r="H385" t="s">
        <v>1183</v>
      </c>
      <c r="I385" t="s">
        <v>134</v>
      </c>
      <c r="J385" t="s">
        <v>52</v>
      </c>
      <c r="K385" t="s">
        <v>1184</v>
      </c>
      <c r="L385" t="s">
        <v>91</v>
      </c>
      <c r="M385" t="s">
        <v>54</v>
      </c>
      <c r="N385" t="s">
        <v>92</v>
      </c>
      <c r="O385" t="s">
        <v>93</v>
      </c>
      <c r="P385" t="s">
        <v>123</v>
      </c>
      <c r="Q385">
        <v>160</v>
      </c>
      <c r="R385">
        <v>32.83</v>
      </c>
      <c r="S385">
        <v>5252.8</v>
      </c>
      <c r="T385">
        <v>10.8</v>
      </c>
      <c r="U385">
        <v>13</v>
      </c>
      <c r="V385">
        <v>3614</v>
      </c>
      <c r="W385" t="s">
        <v>36</v>
      </c>
      <c r="X385">
        <v>601.23</v>
      </c>
    </row>
    <row r="386" spans="1:24" x14ac:dyDescent="0.25">
      <c r="A386" s="2">
        <v>100384</v>
      </c>
      <c r="B386" s="1">
        <v>45754</v>
      </c>
      <c r="C386" s="1">
        <v>45754</v>
      </c>
      <c r="D386" s="1">
        <v>45760</v>
      </c>
      <c r="E386" t="s">
        <v>1185</v>
      </c>
      <c r="F386" t="s">
        <v>25</v>
      </c>
      <c r="G386" t="s">
        <v>233</v>
      </c>
      <c r="H386" t="s">
        <v>1186</v>
      </c>
      <c r="I386" t="s">
        <v>134</v>
      </c>
      <c r="J386" t="s">
        <v>52</v>
      </c>
      <c r="K386" t="s">
        <v>1187</v>
      </c>
      <c r="L386" t="s">
        <v>64</v>
      </c>
      <c r="M386" t="s">
        <v>54</v>
      </c>
      <c r="N386" t="s">
        <v>92</v>
      </c>
      <c r="O386" t="s">
        <v>93</v>
      </c>
      <c r="P386" t="s">
        <v>35</v>
      </c>
      <c r="Q386">
        <v>437</v>
      </c>
      <c r="R386">
        <v>25.23</v>
      </c>
      <c r="S386">
        <v>11025.51</v>
      </c>
      <c r="T386">
        <v>24.86</v>
      </c>
      <c r="U386">
        <v>6</v>
      </c>
      <c r="V386">
        <v>881</v>
      </c>
      <c r="W386" t="s">
        <v>57</v>
      </c>
      <c r="X386">
        <v>1749.3</v>
      </c>
    </row>
    <row r="387" spans="1:24" x14ac:dyDescent="0.25">
      <c r="A387" s="2">
        <v>100385</v>
      </c>
      <c r="B387" s="1">
        <v>45536</v>
      </c>
      <c r="C387" s="1">
        <v>45540</v>
      </c>
      <c r="D387" s="1">
        <v>45541</v>
      </c>
      <c r="E387" t="s">
        <v>1188</v>
      </c>
      <c r="F387" t="s">
        <v>38</v>
      </c>
      <c r="G387" t="s">
        <v>217</v>
      </c>
      <c r="H387" t="s">
        <v>1189</v>
      </c>
      <c r="I387" t="s">
        <v>72</v>
      </c>
      <c r="J387" t="s">
        <v>42</v>
      </c>
      <c r="K387" t="s">
        <v>1187</v>
      </c>
      <c r="L387" t="s">
        <v>64</v>
      </c>
      <c r="M387" t="s">
        <v>25</v>
      </c>
      <c r="N387" t="s">
        <v>102</v>
      </c>
      <c r="O387" t="s">
        <v>103</v>
      </c>
      <c r="P387" t="s">
        <v>68</v>
      </c>
      <c r="Q387">
        <v>86</v>
      </c>
      <c r="R387">
        <v>231.81</v>
      </c>
      <c r="S387">
        <v>19935.66</v>
      </c>
      <c r="T387">
        <v>34.08</v>
      </c>
      <c r="U387">
        <v>1</v>
      </c>
      <c r="V387">
        <v>1733</v>
      </c>
      <c r="W387" t="s">
        <v>36</v>
      </c>
      <c r="X387">
        <v>2730.48</v>
      </c>
    </row>
    <row r="388" spans="1:24" x14ac:dyDescent="0.25">
      <c r="A388" s="2">
        <v>100386</v>
      </c>
      <c r="B388" s="1">
        <v>45828</v>
      </c>
      <c r="C388" s="1">
        <v>45829</v>
      </c>
      <c r="D388" s="1">
        <v>45834</v>
      </c>
      <c r="E388" t="s">
        <v>1190</v>
      </c>
      <c r="F388" t="s">
        <v>32</v>
      </c>
      <c r="G388" t="s">
        <v>137</v>
      </c>
      <c r="H388" t="s">
        <v>1191</v>
      </c>
      <c r="I388" t="s">
        <v>61</v>
      </c>
      <c r="J388" t="s">
        <v>62</v>
      </c>
      <c r="K388" t="s">
        <v>1192</v>
      </c>
      <c r="L388" t="s">
        <v>98</v>
      </c>
      <c r="M388" t="s">
        <v>65</v>
      </c>
      <c r="N388" t="s">
        <v>107</v>
      </c>
      <c r="O388" t="s">
        <v>108</v>
      </c>
      <c r="P388" t="s">
        <v>123</v>
      </c>
      <c r="Q388">
        <v>151</v>
      </c>
      <c r="R388">
        <v>9.7100000000000009</v>
      </c>
      <c r="S388">
        <v>1466.21</v>
      </c>
      <c r="T388">
        <v>14.36</v>
      </c>
      <c r="U388">
        <v>5</v>
      </c>
      <c r="V388">
        <v>1678</v>
      </c>
      <c r="W388" t="s">
        <v>57</v>
      </c>
      <c r="X388">
        <v>195.12</v>
      </c>
    </row>
    <row r="389" spans="1:24" x14ac:dyDescent="0.25">
      <c r="A389" s="2">
        <v>100387</v>
      </c>
      <c r="B389" s="1">
        <v>45635</v>
      </c>
      <c r="C389" s="1">
        <v>45639</v>
      </c>
      <c r="D389" s="1">
        <v>45642</v>
      </c>
      <c r="E389" t="s">
        <v>1193</v>
      </c>
      <c r="F389" t="s">
        <v>38</v>
      </c>
      <c r="G389" t="s">
        <v>147</v>
      </c>
      <c r="H389" t="s">
        <v>1194</v>
      </c>
      <c r="I389" t="s">
        <v>116</v>
      </c>
      <c r="J389" t="s">
        <v>62</v>
      </c>
      <c r="K389" t="s">
        <v>1195</v>
      </c>
      <c r="L389" t="s">
        <v>113</v>
      </c>
      <c r="M389" t="s">
        <v>65</v>
      </c>
      <c r="N389" t="s">
        <v>151</v>
      </c>
      <c r="O389" t="s">
        <v>152</v>
      </c>
      <c r="P389" t="s">
        <v>68</v>
      </c>
      <c r="Q389">
        <v>135</v>
      </c>
      <c r="R389">
        <v>30.97</v>
      </c>
      <c r="S389">
        <v>4180.95</v>
      </c>
      <c r="T389">
        <v>37.26</v>
      </c>
      <c r="U389">
        <v>3</v>
      </c>
      <c r="V389">
        <v>4740</v>
      </c>
      <c r="W389" t="s">
        <v>36</v>
      </c>
      <c r="X389">
        <v>611.16999999999996</v>
      </c>
    </row>
    <row r="390" spans="1:24" x14ac:dyDescent="0.25">
      <c r="A390" s="2">
        <v>100388</v>
      </c>
      <c r="B390" s="1">
        <v>45473</v>
      </c>
      <c r="C390" s="1">
        <v>45475</v>
      </c>
      <c r="D390" s="1">
        <v>45485</v>
      </c>
      <c r="E390" t="s">
        <v>1196</v>
      </c>
      <c r="F390" t="s">
        <v>25</v>
      </c>
      <c r="G390" t="s">
        <v>26</v>
      </c>
      <c r="H390" t="s">
        <v>1197</v>
      </c>
      <c r="I390" t="s">
        <v>416</v>
      </c>
      <c r="J390" t="s">
        <v>80</v>
      </c>
      <c r="K390" t="s">
        <v>1198</v>
      </c>
      <c r="L390" t="s">
        <v>44</v>
      </c>
      <c r="M390" t="s">
        <v>32</v>
      </c>
      <c r="N390" t="s">
        <v>92</v>
      </c>
      <c r="O390" t="s">
        <v>93</v>
      </c>
      <c r="P390" t="s">
        <v>35</v>
      </c>
      <c r="Q390">
        <v>369</v>
      </c>
      <c r="R390">
        <v>116.53</v>
      </c>
      <c r="S390">
        <v>42999.57</v>
      </c>
      <c r="T390">
        <v>22.94</v>
      </c>
      <c r="U390">
        <v>10</v>
      </c>
      <c r="V390">
        <v>394</v>
      </c>
      <c r="W390" t="s">
        <v>36</v>
      </c>
      <c r="X390">
        <v>8071.3</v>
      </c>
    </row>
    <row r="391" spans="1:24" x14ac:dyDescent="0.25">
      <c r="A391" s="2">
        <v>100389</v>
      </c>
      <c r="B391" s="1">
        <v>45339</v>
      </c>
      <c r="C391" s="1">
        <v>45341</v>
      </c>
      <c r="D391" s="1">
        <v>45351</v>
      </c>
      <c r="E391" t="s">
        <v>1199</v>
      </c>
      <c r="F391" t="s">
        <v>25</v>
      </c>
      <c r="G391" t="s">
        <v>233</v>
      </c>
      <c r="H391" t="s">
        <v>1200</v>
      </c>
      <c r="I391" t="s">
        <v>191</v>
      </c>
      <c r="J391" t="s">
        <v>62</v>
      </c>
      <c r="K391" t="s">
        <v>1201</v>
      </c>
      <c r="L391" t="s">
        <v>98</v>
      </c>
      <c r="M391" t="s">
        <v>32</v>
      </c>
      <c r="N391" t="s">
        <v>107</v>
      </c>
      <c r="O391" t="s">
        <v>108</v>
      </c>
      <c r="P391" t="s">
        <v>123</v>
      </c>
      <c r="Q391">
        <v>283</v>
      </c>
      <c r="R391">
        <v>17.75</v>
      </c>
      <c r="S391">
        <v>5023.25</v>
      </c>
      <c r="T391">
        <v>17.57</v>
      </c>
      <c r="U391">
        <v>10</v>
      </c>
      <c r="V391">
        <v>2079</v>
      </c>
      <c r="W391" t="s">
        <v>36</v>
      </c>
      <c r="X391">
        <v>486.61</v>
      </c>
    </row>
    <row r="392" spans="1:24" x14ac:dyDescent="0.25">
      <c r="A392" s="2">
        <v>100390</v>
      </c>
      <c r="B392" s="1">
        <v>45912</v>
      </c>
      <c r="C392" s="1">
        <v>45912</v>
      </c>
      <c r="D392" s="1">
        <v>45917</v>
      </c>
      <c r="E392" t="s">
        <v>1202</v>
      </c>
      <c r="F392" t="s">
        <v>65</v>
      </c>
      <c r="G392" t="s">
        <v>154</v>
      </c>
      <c r="H392" t="s">
        <v>1203</v>
      </c>
      <c r="I392" t="s">
        <v>139</v>
      </c>
      <c r="J392" t="s">
        <v>42</v>
      </c>
      <c r="K392" t="s">
        <v>844</v>
      </c>
      <c r="L392" t="s">
        <v>122</v>
      </c>
      <c r="M392" t="s">
        <v>25</v>
      </c>
      <c r="N392" t="s">
        <v>203</v>
      </c>
      <c r="O392" t="s">
        <v>204</v>
      </c>
      <c r="P392" t="s">
        <v>35</v>
      </c>
      <c r="Q392">
        <v>317</v>
      </c>
      <c r="R392">
        <v>335.74</v>
      </c>
      <c r="S392">
        <v>106429.58</v>
      </c>
      <c r="T392">
        <v>21.46</v>
      </c>
      <c r="U392">
        <v>5</v>
      </c>
      <c r="V392">
        <v>1334</v>
      </c>
      <c r="W392" t="s">
        <v>36</v>
      </c>
      <c r="X392">
        <v>18611.09</v>
      </c>
    </row>
    <row r="393" spans="1:24" x14ac:dyDescent="0.25">
      <c r="A393" s="2">
        <v>100391</v>
      </c>
      <c r="B393" s="1">
        <v>45912</v>
      </c>
      <c r="C393" s="1">
        <v>45913</v>
      </c>
      <c r="D393" s="1">
        <v>45918</v>
      </c>
      <c r="E393" t="s">
        <v>1204</v>
      </c>
      <c r="F393" t="s">
        <v>32</v>
      </c>
      <c r="G393" t="s">
        <v>137</v>
      </c>
      <c r="H393" t="s">
        <v>1205</v>
      </c>
      <c r="I393" t="s">
        <v>41</v>
      </c>
      <c r="J393" t="s">
        <v>42</v>
      </c>
      <c r="K393" t="s">
        <v>1037</v>
      </c>
      <c r="L393" t="s">
        <v>187</v>
      </c>
      <c r="M393" t="s">
        <v>32</v>
      </c>
      <c r="N393" t="s">
        <v>92</v>
      </c>
      <c r="O393" t="s">
        <v>93</v>
      </c>
      <c r="P393" t="s">
        <v>68</v>
      </c>
      <c r="Q393">
        <v>265</v>
      </c>
      <c r="R393">
        <v>409.98</v>
      </c>
      <c r="S393">
        <v>108644.7</v>
      </c>
      <c r="T393">
        <v>33.840000000000003</v>
      </c>
      <c r="U393">
        <v>5</v>
      </c>
      <c r="V393">
        <v>1190</v>
      </c>
      <c r="W393" t="s">
        <v>47</v>
      </c>
      <c r="X393">
        <v>-109.9</v>
      </c>
    </row>
    <row r="394" spans="1:24" x14ac:dyDescent="0.25">
      <c r="A394" s="2">
        <v>100392</v>
      </c>
      <c r="B394" s="1">
        <v>45840</v>
      </c>
      <c r="C394" s="1">
        <v>45841</v>
      </c>
      <c r="D394" s="1">
        <v>45853</v>
      </c>
      <c r="E394" t="s">
        <v>1206</v>
      </c>
      <c r="F394" t="s">
        <v>32</v>
      </c>
      <c r="G394" t="s">
        <v>110</v>
      </c>
      <c r="H394" t="s">
        <v>1207</v>
      </c>
      <c r="I394" t="s">
        <v>116</v>
      </c>
      <c r="J394" t="s">
        <v>62</v>
      </c>
      <c r="K394" t="s">
        <v>1208</v>
      </c>
      <c r="L394" t="s">
        <v>113</v>
      </c>
      <c r="M394" t="s">
        <v>25</v>
      </c>
      <c r="N394" t="s">
        <v>151</v>
      </c>
      <c r="O394" t="s">
        <v>152</v>
      </c>
      <c r="P394" t="s">
        <v>35</v>
      </c>
      <c r="Q394">
        <v>305</v>
      </c>
      <c r="R394">
        <v>41.17</v>
      </c>
      <c r="S394">
        <v>12556.85</v>
      </c>
      <c r="T394">
        <v>21.12</v>
      </c>
      <c r="U394">
        <v>12</v>
      </c>
      <c r="V394">
        <v>1474</v>
      </c>
      <c r="W394" t="s">
        <v>188</v>
      </c>
      <c r="X394">
        <v>1217.1500000000001</v>
      </c>
    </row>
    <row r="395" spans="1:24" x14ac:dyDescent="0.25">
      <c r="A395" s="2">
        <v>100393</v>
      </c>
      <c r="B395" s="1">
        <v>45380</v>
      </c>
      <c r="C395" s="1">
        <v>45381</v>
      </c>
      <c r="D395" s="1">
        <v>45385</v>
      </c>
      <c r="E395" t="s">
        <v>1209</v>
      </c>
      <c r="F395" t="s">
        <v>25</v>
      </c>
      <c r="G395" t="s">
        <v>59</v>
      </c>
      <c r="H395" t="s">
        <v>1210</v>
      </c>
      <c r="I395" t="s">
        <v>230</v>
      </c>
      <c r="J395" t="s">
        <v>80</v>
      </c>
      <c r="K395" t="s">
        <v>570</v>
      </c>
      <c r="L395" t="s">
        <v>113</v>
      </c>
      <c r="M395" t="s">
        <v>25</v>
      </c>
      <c r="N395" t="s">
        <v>45</v>
      </c>
      <c r="O395" t="s">
        <v>46</v>
      </c>
      <c r="P395" t="s">
        <v>68</v>
      </c>
      <c r="Q395">
        <v>22</v>
      </c>
      <c r="R395">
        <v>172.74</v>
      </c>
      <c r="S395">
        <v>3800.28</v>
      </c>
      <c r="T395">
        <v>22.18</v>
      </c>
      <c r="U395">
        <v>4</v>
      </c>
      <c r="V395">
        <v>781</v>
      </c>
      <c r="W395" t="s">
        <v>36</v>
      </c>
      <c r="X395">
        <v>623.67999999999995</v>
      </c>
    </row>
    <row r="396" spans="1:24" x14ac:dyDescent="0.25">
      <c r="A396" s="2">
        <v>100394</v>
      </c>
      <c r="B396" s="1">
        <v>45483</v>
      </c>
      <c r="C396" s="1">
        <v>45487</v>
      </c>
      <c r="D396" s="1">
        <v>45493</v>
      </c>
      <c r="E396" t="s">
        <v>435</v>
      </c>
      <c r="F396" t="s">
        <v>25</v>
      </c>
      <c r="G396" t="s">
        <v>26</v>
      </c>
      <c r="H396" t="s">
        <v>1211</v>
      </c>
      <c r="I396" t="s">
        <v>41</v>
      </c>
      <c r="J396" t="s">
        <v>42</v>
      </c>
      <c r="K396" t="s">
        <v>1212</v>
      </c>
      <c r="L396" t="s">
        <v>64</v>
      </c>
      <c r="M396" t="s">
        <v>65</v>
      </c>
      <c r="N396" t="s">
        <v>107</v>
      </c>
      <c r="O396" t="s">
        <v>108</v>
      </c>
      <c r="P396" t="s">
        <v>123</v>
      </c>
      <c r="Q396">
        <v>327</v>
      </c>
      <c r="R396">
        <v>365.52</v>
      </c>
      <c r="S396">
        <v>119525.04</v>
      </c>
      <c r="T396">
        <v>18.64</v>
      </c>
      <c r="U396">
        <v>6</v>
      </c>
      <c r="V396">
        <v>265</v>
      </c>
      <c r="W396" t="s">
        <v>36</v>
      </c>
      <c r="X396">
        <v>14960.51</v>
      </c>
    </row>
    <row r="397" spans="1:24" x14ac:dyDescent="0.25">
      <c r="A397" s="2">
        <v>100395</v>
      </c>
      <c r="B397" s="1">
        <v>45561</v>
      </c>
      <c r="C397" s="1">
        <v>45561</v>
      </c>
      <c r="D397" s="1">
        <v>45573</v>
      </c>
      <c r="E397" t="s">
        <v>1213</v>
      </c>
      <c r="F397" t="s">
        <v>54</v>
      </c>
      <c r="G397" t="s">
        <v>193</v>
      </c>
      <c r="H397" t="s">
        <v>1214</v>
      </c>
      <c r="I397" t="s">
        <v>89</v>
      </c>
      <c r="J397" t="s">
        <v>62</v>
      </c>
      <c r="K397" t="s">
        <v>1215</v>
      </c>
      <c r="L397" t="s">
        <v>118</v>
      </c>
      <c r="M397" t="s">
        <v>38</v>
      </c>
      <c r="N397" t="s">
        <v>151</v>
      </c>
      <c r="O397" t="s">
        <v>152</v>
      </c>
      <c r="P397" t="s">
        <v>76</v>
      </c>
      <c r="Q397">
        <v>482</v>
      </c>
      <c r="R397">
        <v>45.65</v>
      </c>
      <c r="S397">
        <v>22003.3</v>
      </c>
      <c r="T397">
        <v>16.8</v>
      </c>
      <c r="U397">
        <v>12</v>
      </c>
      <c r="V397">
        <v>4627</v>
      </c>
      <c r="W397" t="s">
        <v>57</v>
      </c>
      <c r="X397">
        <v>2799.53</v>
      </c>
    </row>
    <row r="398" spans="1:24" x14ac:dyDescent="0.25">
      <c r="A398" s="2">
        <v>100396</v>
      </c>
      <c r="B398" s="1">
        <v>45564</v>
      </c>
      <c r="C398" s="1">
        <v>45568</v>
      </c>
      <c r="D398" s="1">
        <v>45590</v>
      </c>
      <c r="E398" t="s">
        <v>1216</v>
      </c>
      <c r="F398" t="s">
        <v>54</v>
      </c>
      <c r="G398" t="s">
        <v>165</v>
      </c>
      <c r="H398" t="s">
        <v>1217</v>
      </c>
      <c r="I398" t="s">
        <v>191</v>
      </c>
      <c r="J398" t="s">
        <v>62</v>
      </c>
      <c r="K398" t="s">
        <v>1218</v>
      </c>
      <c r="L398" t="s">
        <v>91</v>
      </c>
      <c r="M398" t="s">
        <v>38</v>
      </c>
      <c r="N398" t="s">
        <v>92</v>
      </c>
      <c r="O398" t="s">
        <v>93</v>
      </c>
      <c r="P398" t="s">
        <v>76</v>
      </c>
      <c r="Q398">
        <v>143</v>
      </c>
      <c r="R398">
        <v>35.71</v>
      </c>
      <c r="S398">
        <v>5106.53</v>
      </c>
      <c r="T398">
        <v>10.63</v>
      </c>
      <c r="U398">
        <v>22</v>
      </c>
      <c r="V398">
        <v>1762</v>
      </c>
      <c r="W398" t="s">
        <v>36</v>
      </c>
      <c r="X398">
        <v>583.64</v>
      </c>
    </row>
    <row r="399" spans="1:24" x14ac:dyDescent="0.25">
      <c r="A399" s="2">
        <v>100397</v>
      </c>
      <c r="B399" s="1">
        <v>45773</v>
      </c>
      <c r="C399" s="1">
        <v>45776</v>
      </c>
      <c r="D399" s="1">
        <v>45788</v>
      </c>
      <c r="E399" t="s">
        <v>1085</v>
      </c>
      <c r="F399" t="s">
        <v>25</v>
      </c>
      <c r="G399" t="s">
        <v>172</v>
      </c>
      <c r="H399" t="s">
        <v>1219</v>
      </c>
      <c r="I399" t="s">
        <v>89</v>
      </c>
      <c r="J399" t="s">
        <v>62</v>
      </c>
      <c r="K399" t="s">
        <v>1220</v>
      </c>
      <c r="L399" t="s">
        <v>212</v>
      </c>
      <c r="M399" t="s">
        <v>54</v>
      </c>
      <c r="N399" t="s">
        <v>74</v>
      </c>
      <c r="O399" t="s">
        <v>75</v>
      </c>
      <c r="P399" t="s">
        <v>76</v>
      </c>
      <c r="Q399">
        <v>185</v>
      </c>
      <c r="R399">
        <v>19.8</v>
      </c>
      <c r="S399">
        <v>3663</v>
      </c>
      <c r="T399">
        <v>11.39</v>
      </c>
      <c r="U399">
        <v>12</v>
      </c>
      <c r="V399">
        <v>1507</v>
      </c>
      <c r="W399" t="s">
        <v>36</v>
      </c>
      <c r="X399">
        <v>586.64</v>
      </c>
    </row>
    <row r="400" spans="1:24" x14ac:dyDescent="0.25">
      <c r="A400" s="2">
        <v>100398</v>
      </c>
      <c r="B400" s="1">
        <v>46017</v>
      </c>
      <c r="C400" s="1">
        <v>46019</v>
      </c>
      <c r="D400" s="1">
        <v>46029</v>
      </c>
      <c r="E400" t="s">
        <v>1221</v>
      </c>
      <c r="F400" t="s">
        <v>65</v>
      </c>
      <c r="G400" t="s">
        <v>70</v>
      </c>
      <c r="H400" t="s">
        <v>1222</v>
      </c>
      <c r="I400" t="s">
        <v>238</v>
      </c>
      <c r="J400" t="s">
        <v>62</v>
      </c>
      <c r="K400" t="s">
        <v>1223</v>
      </c>
      <c r="L400" t="s">
        <v>44</v>
      </c>
      <c r="M400" t="s">
        <v>32</v>
      </c>
      <c r="N400" t="s">
        <v>102</v>
      </c>
      <c r="O400" t="s">
        <v>103</v>
      </c>
      <c r="P400" t="s">
        <v>123</v>
      </c>
      <c r="Q400">
        <v>209</v>
      </c>
      <c r="R400">
        <v>35.5</v>
      </c>
      <c r="S400">
        <v>7419.5</v>
      </c>
      <c r="T400">
        <v>15.77</v>
      </c>
      <c r="U400">
        <v>10</v>
      </c>
      <c r="V400">
        <v>3406</v>
      </c>
      <c r="W400" t="s">
        <v>36</v>
      </c>
      <c r="X400">
        <v>406.94</v>
      </c>
    </row>
    <row r="401" spans="1:24" x14ac:dyDescent="0.25">
      <c r="A401" s="2">
        <v>100399</v>
      </c>
      <c r="B401" s="1">
        <v>46022</v>
      </c>
      <c r="C401" s="1">
        <v>46027</v>
      </c>
      <c r="D401" s="1">
        <v>46031</v>
      </c>
      <c r="E401" t="s">
        <v>1224</v>
      </c>
      <c r="F401" t="s">
        <v>25</v>
      </c>
      <c r="G401" t="s">
        <v>59</v>
      </c>
      <c r="H401" t="s">
        <v>1225</v>
      </c>
      <c r="I401" t="s">
        <v>28</v>
      </c>
      <c r="J401" t="s">
        <v>29</v>
      </c>
      <c r="K401" t="s">
        <v>1153</v>
      </c>
      <c r="L401" t="s">
        <v>118</v>
      </c>
      <c r="M401" t="s">
        <v>38</v>
      </c>
      <c r="N401" t="s">
        <v>102</v>
      </c>
      <c r="O401" t="s">
        <v>103</v>
      </c>
      <c r="P401" t="s">
        <v>68</v>
      </c>
      <c r="Q401">
        <v>426</v>
      </c>
      <c r="R401">
        <v>30.81</v>
      </c>
      <c r="S401">
        <v>13125.06</v>
      </c>
      <c r="T401">
        <v>56.12</v>
      </c>
      <c r="U401">
        <v>4</v>
      </c>
      <c r="V401">
        <v>1657</v>
      </c>
      <c r="W401" t="s">
        <v>36</v>
      </c>
      <c r="X401">
        <v>2509.04</v>
      </c>
    </row>
    <row r="402" spans="1:24" x14ac:dyDescent="0.25">
      <c r="A402" s="2">
        <v>100400</v>
      </c>
      <c r="B402" s="1">
        <v>45851</v>
      </c>
      <c r="C402" s="1">
        <v>45853</v>
      </c>
      <c r="D402" s="1">
        <v>45866</v>
      </c>
      <c r="E402" t="s">
        <v>1226</v>
      </c>
      <c r="F402" t="s">
        <v>54</v>
      </c>
      <c r="G402" t="s">
        <v>165</v>
      </c>
      <c r="H402" t="s">
        <v>1227</v>
      </c>
      <c r="I402" t="s">
        <v>126</v>
      </c>
      <c r="J402" t="s">
        <v>42</v>
      </c>
      <c r="K402" t="s">
        <v>1228</v>
      </c>
      <c r="L402" t="s">
        <v>113</v>
      </c>
      <c r="M402" t="s">
        <v>54</v>
      </c>
      <c r="N402" t="s">
        <v>33</v>
      </c>
      <c r="O402" t="s">
        <v>34</v>
      </c>
      <c r="P402" t="s">
        <v>76</v>
      </c>
      <c r="Q402">
        <v>456</v>
      </c>
      <c r="R402">
        <v>335.2</v>
      </c>
      <c r="S402">
        <v>152851.20000000001</v>
      </c>
      <c r="T402">
        <v>12.1</v>
      </c>
      <c r="U402">
        <v>13</v>
      </c>
      <c r="V402">
        <v>1390</v>
      </c>
      <c r="W402" t="s">
        <v>36</v>
      </c>
      <c r="X402">
        <v>27738.34</v>
      </c>
    </row>
    <row r="403" spans="1:24" x14ac:dyDescent="0.25">
      <c r="A403" s="2">
        <v>100401</v>
      </c>
      <c r="B403" s="1">
        <v>45341</v>
      </c>
      <c r="C403" s="1">
        <v>45346</v>
      </c>
      <c r="D403" s="1">
        <v>45369</v>
      </c>
      <c r="E403" t="s">
        <v>1229</v>
      </c>
      <c r="F403" t="s">
        <v>54</v>
      </c>
      <c r="G403" t="s">
        <v>225</v>
      </c>
      <c r="H403" t="s">
        <v>1230</v>
      </c>
      <c r="I403" t="s">
        <v>149</v>
      </c>
      <c r="J403" t="s">
        <v>42</v>
      </c>
      <c r="K403" t="s">
        <v>1231</v>
      </c>
      <c r="L403" t="s">
        <v>187</v>
      </c>
      <c r="M403" t="s">
        <v>65</v>
      </c>
      <c r="N403" t="s">
        <v>74</v>
      </c>
      <c r="O403" t="s">
        <v>75</v>
      </c>
      <c r="P403" t="s">
        <v>76</v>
      </c>
      <c r="Q403">
        <v>59</v>
      </c>
      <c r="R403">
        <v>306.24</v>
      </c>
      <c r="S403">
        <v>18068.16</v>
      </c>
      <c r="T403">
        <v>9.09</v>
      </c>
      <c r="U403">
        <v>23</v>
      </c>
      <c r="V403">
        <v>1664</v>
      </c>
      <c r="W403" t="s">
        <v>36</v>
      </c>
      <c r="X403">
        <v>2190.86</v>
      </c>
    </row>
    <row r="404" spans="1:24" x14ac:dyDescent="0.25">
      <c r="A404" s="2">
        <v>100402</v>
      </c>
      <c r="B404" s="1">
        <v>45643</v>
      </c>
      <c r="C404" s="1">
        <v>45647</v>
      </c>
      <c r="D404" s="1">
        <v>45672</v>
      </c>
      <c r="E404" t="s">
        <v>1232</v>
      </c>
      <c r="F404" t="s">
        <v>54</v>
      </c>
      <c r="G404" t="s">
        <v>225</v>
      </c>
      <c r="H404" t="s">
        <v>1233</v>
      </c>
      <c r="I404" t="s">
        <v>207</v>
      </c>
      <c r="J404" t="s">
        <v>80</v>
      </c>
      <c r="K404" t="s">
        <v>1234</v>
      </c>
      <c r="L404" t="s">
        <v>118</v>
      </c>
      <c r="M404" t="s">
        <v>32</v>
      </c>
      <c r="N404" t="s">
        <v>92</v>
      </c>
      <c r="O404" t="s">
        <v>93</v>
      </c>
      <c r="P404" t="s">
        <v>76</v>
      </c>
      <c r="Q404">
        <v>10</v>
      </c>
      <c r="R404">
        <v>57.41</v>
      </c>
      <c r="S404">
        <v>574.1</v>
      </c>
      <c r="T404">
        <v>8.1999999999999993</v>
      </c>
      <c r="U404">
        <v>25</v>
      </c>
      <c r="V404">
        <v>128</v>
      </c>
      <c r="W404" t="s">
        <v>36</v>
      </c>
      <c r="X404">
        <v>108.51</v>
      </c>
    </row>
    <row r="405" spans="1:24" x14ac:dyDescent="0.25">
      <c r="A405" s="2">
        <v>100403</v>
      </c>
      <c r="B405" s="1">
        <v>45768</v>
      </c>
      <c r="C405" s="1">
        <v>45772</v>
      </c>
      <c r="D405" s="1">
        <v>45782</v>
      </c>
      <c r="E405" t="s">
        <v>1235</v>
      </c>
      <c r="F405" t="s">
        <v>25</v>
      </c>
      <c r="G405" t="s">
        <v>221</v>
      </c>
      <c r="H405" t="s">
        <v>1236</v>
      </c>
      <c r="I405" t="s">
        <v>41</v>
      </c>
      <c r="J405" t="s">
        <v>42</v>
      </c>
      <c r="K405" t="s">
        <v>1237</v>
      </c>
      <c r="L405" t="s">
        <v>98</v>
      </c>
      <c r="M405" t="s">
        <v>32</v>
      </c>
      <c r="N405" t="s">
        <v>151</v>
      </c>
      <c r="O405" t="s">
        <v>152</v>
      </c>
      <c r="P405" t="s">
        <v>35</v>
      </c>
      <c r="Q405">
        <v>218</v>
      </c>
      <c r="R405">
        <v>235.99</v>
      </c>
      <c r="S405">
        <v>51445.82</v>
      </c>
      <c r="T405">
        <v>18.649999999999999</v>
      </c>
      <c r="U405">
        <v>10</v>
      </c>
      <c r="V405">
        <v>1674</v>
      </c>
      <c r="W405" t="s">
        <v>36</v>
      </c>
      <c r="X405">
        <v>7137.82</v>
      </c>
    </row>
    <row r="406" spans="1:24" x14ac:dyDescent="0.25">
      <c r="A406" s="2">
        <v>100404</v>
      </c>
      <c r="B406" s="1">
        <v>45582</v>
      </c>
      <c r="C406" s="1">
        <v>45586</v>
      </c>
      <c r="D406" s="1">
        <v>45589</v>
      </c>
      <c r="E406" t="s">
        <v>1238</v>
      </c>
      <c r="F406" t="s">
        <v>54</v>
      </c>
      <c r="G406" t="s">
        <v>225</v>
      </c>
      <c r="H406" t="s">
        <v>1239</v>
      </c>
      <c r="I406" t="s">
        <v>368</v>
      </c>
      <c r="J406" t="s">
        <v>29</v>
      </c>
      <c r="K406" t="s">
        <v>1240</v>
      </c>
      <c r="L406" t="s">
        <v>91</v>
      </c>
      <c r="M406" t="s">
        <v>54</v>
      </c>
      <c r="N406" t="s">
        <v>203</v>
      </c>
      <c r="O406" t="s">
        <v>204</v>
      </c>
      <c r="P406" t="s">
        <v>35</v>
      </c>
      <c r="Q406">
        <v>345</v>
      </c>
      <c r="R406">
        <v>38.229999999999997</v>
      </c>
      <c r="S406">
        <v>13189.35</v>
      </c>
      <c r="T406">
        <v>16.48</v>
      </c>
      <c r="U406">
        <v>3</v>
      </c>
      <c r="V406">
        <v>279</v>
      </c>
      <c r="W406" t="s">
        <v>36</v>
      </c>
      <c r="X406">
        <v>3271.26</v>
      </c>
    </row>
    <row r="407" spans="1:24" x14ac:dyDescent="0.25">
      <c r="A407" s="2">
        <v>100405</v>
      </c>
      <c r="B407" s="1">
        <v>45616</v>
      </c>
      <c r="C407" s="1">
        <v>45620</v>
      </c>
      <c r="D407" s="1">
        <v>45629</v>
      </c>
      <c r="E407" t="s">
        <v>346</v>
      </c>
      <c r="F407" t="s">
        <v>38</v>
      </c>
      <c r="G407" t="s">
        <v>147</v>
      </c>
      <c r="H407" t="s">
        <v>1241</v>
      </c>
      <c r="I407" t="s">
        <v>85</v>
      </c>
      <c r="J407" t="s">
        <v>52</v>
      </c>
      <c r="K407" t="s">
        <v>1242</v>
      </c>
      <c r="L407" t="s">
        <v>98</v>
      </c>
      <c r="M407" t="s">
        <v>25</v>
      </c>
      <c r="N407" t="s">
        <v>107</v>
      </c>
      <c r="O407" t="s">
        <v>108</v>
      </c>
      <c r="P407" t="s">
        <v>35</v>
      </c>
      <c r="Q407">
        <v>331</v>
      </c>
      <c r="R407">
        <v>8.02</v>
      </c>
      <c r="S407">
        <v>2654.62</v>
      </c>
      <c r="T407">
        <v>21.86</v>
      </c>
      <c r="U407">
        <v>9</v>
      </c>
      <c r="V407">
        <v>2859</v>
      </c>
      <c r="W407" t="s">
        <v>36</v>
      </c>
      <c r="X407">
        <v>447.71</v>
      </c>
    </row>
    <row r="408" spans="1:24" x14ac:dyDescent="0.25">
      <c r="A408" s="2">
        <v>100406</v>
      </c>
      <c r="B408" s="1">
        <v>45542</v>
      </c>
      <c r="C408" s="1">
        <v>45547</v>
      </c>
      <c r="D408" s="1">
        <v>45549</v>
      </c>
      <c r="E408" t="s">
        <v>1243</v>
      </c>
      <c r="F408" t="s">
        <v>38</v>
      </c>
      <c r="G408" t="s">
        <v>49</v>
      </c>
      <c r="H408" t="s">
        <v>1244</v>
      </c>
      <c r="I408" t="s">
        <v>116</v>
      </c>
      <c r="J408" t="s">
        <v>62</v>
      </c>
      <c r="K408" t="s">
        <v>1245</v>
      </c>
      <c r="L408" t="s">
        <v>64</v>
      </c>
      <c r="M408" t="s">
        <v>54</v>
      </c>
      <c r="N408" t="s">
        <v>55</v>
      </c>
      <c r="O408" t="s">
        <v>56</v>
      </c>
      <c r="P408" t="s">
        <v>35</v>
      </c>
      <c r="Q408">
        <v>269</v>
      </c>
      <c r="R408">
        <v>15.9</v>
      </c>
      <c r="S408">
        <v>4277.1000000000004</v>
      </c>
      <c r="T408">
        <v>20.100000000000001</v>
      </c>
      <c r="U408">
        <v>2</v>
      </c>
      <c r="V408">
        <v>2006</v>
      </c>
      <c r="W408" t="s">
        <v>36</v>
      </c>
      <c r="X408">
        <v>324.14</v>
      </c>
    </row>
    <row r="409" spans="1:24" x14ac:dyDescent="0.25">
      <c r="A409" s="2">
        <v>100407</v>
      </c>
      <c r="B409" s="1">
        <v>45991</v>
      </c>
      <c r="C409" s="1">
        <v>45996</v>
      </c>
      <c r="D409" s="1">
        <v>46002</v>
      </c>
      <c r="E409" t="s">
        <v>1246</v>
      </c>
      <c r="F409" t="s">
        <v>65</v>
      </c>
      <c r="G409" t="s">
        <v>142</v>
      </c>
      <c r="H409" t="s">
        <v>1247</v>
      </c>
      <c r="I409" t="s">
        <v>230</v>
      </c>
      <c r="J409" t="s">
        <v>80</v>
      </c>
      <c r="K409" t="s">
        <v>1248</v>
      </c>
      <c r="L409" t="s">
        <v>187</v>
      </c>
      <c r="M409" t="s">
        <v>32</v>
      </c>
      <c r="N409" t="s">
        <v>33</v>
      </c>
      <c r="O409" t="s">
        <v>34</v>
      </c>
      <c r="P409" t="s">
        <v>35</v>
      </c>
      <c r="Q409">
        <v>22</v>
      </c>
      <c r="R409">
        <v>65.16</v>
      </c>
      <c r="S409">
        <v>1433.52</v>
      </c>
      <c r="T409">
        <v>13.1</v>
      </c>
      <c r="U409">
        <v>6</v>
      </c>
      <c r="V409">
        <v>278</v>
      </c>
      <c r="W409" t="s">
        <v>36</v>
      </c>
      <c r="X409">
        <v>360.18</v>
      </c>
    </row>
    <row r="410" spans="1:24" x14ac:dyDescent="0.25">
      <c r="A410" s="2">
        <v>100408</v>
      </c>
      <c r="B410" s="1">
        <v>45473</v>
      </c>
      <c r="C410" s="1">
        <v>45475</v>
      </c>
      <c r="D410" s="1">
        <v>45488</v>
      </c>
      <c r="E410" t="s">
        <v>1249</v>
      </c>
      <c r="F410" t="s">
        <v>25</v>
      </c>
      <c r="G410" t="s">
        <v>233</v>
      </c>
      <c r="H410" t="s">
        <v>1250</v>
      </c>
      <c r="I410" t="s">
        <v>144</v>
      </c>
      <c r="J410" t="s">
        <v>52</v>
      </c>
      <c r="K410" t="s">
        <v>1251</v>
      </c>
      <c r="L410" t="s">
        <v>187</v>
      </c>
      <c r="M410" t="s">
        <v>65</v>
      </c>
      <c r="N410" t="s">
        <v>66</v>
      </c>
      <c r="O410" t="s">
        <v>67</v>
      </c>
      <c r="P410" t="s">
        <v>123</v>
      </c>
      <c r="Q410">
        <v>257</v>
      </c>
      <c r="R410">
        <v>34.299999999999997</v>
      </c>
      <c r="S410">
        <v>8815.1</v>
      </c>
      <c r="T410">
        <v>16.940000000000001</v>
      </c>
      <c r="U410">
        <v>13</v>
      </c>
      <c r="V410">
        <v>3777</v>
      </c>
      <c r="W410" t="s">
        <v>36</v>
      </c>
      <c r="X410">
        <v>1582.82</v>
      </c>
    </row>
    <row r="411" spans="1:24" x14ac:dyDescent="0.25">
      <c r="A411" s="2">
        <v>100409</v>
      </c>
      <c r="B411" s="1">
        <v>45765</v>
      </c>
      <c r="C411" s="1">
        <v>45770</v>
      </c>
      <c r="D411" s="1">
        <v>45785</v>
      </c>
      <c r="E411" t="s">
        <v>1252</v>
      </c>
      <c r="F411" t="s">
        <v>25</v>
      </c>
      <c r="G411" t="s">
        <v>26</v>
      </c>
      <c r="H411" t="s">
        <v>1253</v>
      </c>
      <c r="I411" t="s">
        <v>89</v>
      </c>
      <c r="J411" t="s">
        <v>62</v>
      </c>
      <c r="K411" t="s">
        <v>1254</v>
      </c>
      <c r="L411" t="s">
        <v>122</v>
      </c>
      <c r="M411" t="s">
        <v>54</v>
      </c>
      <c r="N411" t="s">
        <v>74</v>
      </c>
      <c r="O411" t="s">
        <v>75</v>
      </c>
      <c r="P411" t="s">
        <v>35</v>
      </c>
      <c r="Q411">
        <v>188</v>
      </c>
      <c r="R411">
        <v>5.82</v>
      </c>
      <c r="S411">
        <v>1094.1600000000001</v>
      </c>
      <c r="T411">
        <v>17.8</v>
      </c>
      <c r="U411">
        <v>15</v>
      </c>
      <c r="V411">
        <v>2879</v>
      </c>
      <c r="W411" t="s">
        <v>188</v>
      </c>
      <c r="X411">
        <v>36.99</v>
      </c>
    </row>
    <row r="412" spans="1:24" x14ac:dyDescent="0.25">
      <c r="A412" s="2">
        <v>100410</v>
      </c>
      <c r="B412" s="1">
        <v>45532</v>
      </c>
      <c r="C412" s="1">
        <v>45532</v>
      </c>
      <c r="D412" s="1">
        <v>45535</v>
      </c>
      <c r="E412" t="s">
        <v>1255</v>
      </c>
      <c r="F412" t="s">
        <v>32</v>
      </c>
      <c r="G412" t="s">
        <v>95</v>
      </c>
      <c r="H412" t="s">
        <v>1256</v>
      </c>
      <c r="I412" t="s">
        <v>238</v>
      </c>
      <c r="J412" t="s">
        <v>62</v>
      </c>
      <c r="K412" t="s">
        <v>486</v>
      </c>
      <c r="L412" t="s">
        <v>44</v>
      </c>
      <c r="M412" t="s">
        <v>25</v>
      </c>
      <c r="N412" t="s">
        <v>74</v>
      </c>
      <c r="O412" t="s">
        <v>75</v>
      </c>
      <c r="P412" t="s">
        <v>68</v>
      </c>
      <c r="Q412">
        <v>108</v>
      </c>
      <c r="R412">
        <v>21.35</v>
      </c>
      <c r="S412">
        <v>2305.8000000000002</v>
      </c>
      <c r="T412">
        <v>35.51</v>
      </c>
      <c r="U412">
        <v>3</v>
      </c>
      <c r="V412">
        <v>3905</v>
      </c>
      <c r="W412" t="s">
        <v>36</v>
      </c>
      <c r="X412">
        <v>300.82</v>
      </c>
    </row>
    <row r="413" spans="1:24" x14ac:dyDescent="0.25">
      <c r="A413" s="2">
        <v>100411</v>
      </c>
      <c r="B413" s="1">
        <v>45834</v>
      </c>
      <c r="C413" s="1">
        <v>45839</v>
      </c>
      <c r="D413" s="1">
        <v>45844</v>
      </c>
      <c r="E413" t="s">
        <v>1257</v>
      </c>
      <c r="F413" t="s">
        <v>65</v>
      </c>
      <c r="G413" t="s">
        <v>142</v>
      </c>
      <c r="H413" t="s">
        <v>1258</v>
      </c>
      <c r="I413" t="s">
        <v>139</v>
      </c>
      <c r="J413" t="s">
        <v>42</v>
      </c>
      <c r="K413" t="s">
        <v>1259</v>
      </c>
      <c r="L413" t="s">
        <v>212</v>
      </c>
      <c r="M413" t="s">
        <v>25</v>
      </c>
      <c r="N413" t="s">
        <v>92</v>
      </c>
      <c r="O413" t="s">
        <v>93</v>
      </c>
      <c r="P413" t="s">
        <v>123</v>
      </c>
      <c r="Q413">
        <v>119</v>
      </c>
      <c r="R413">
        <v>417.16</v>
      </c>
      <c r="S413">
        <v>49642.04</v>
      </c>
      <c r="T413">
        <v>13.58</v>
      </c>
      <c r="U413">
        <v>5</v>
      </c>
      <c r="V413">
        <v>1641</v>
      </c>
      <c r="W413" t="s">
        <v>36</v>
      </c>
      <c r="X413">
        <v>4102.05</v>
      </c>
    </row>
    <row r="414" spans="1:24" x14ac:dyDescent="0.25">
      <c r="A414" s="2">
        <v>100412</v>
      </c>
      <c r="B414" s="1">
        <v>45768</v>
      </c>
      <c r="C414" s="1">
        <v>45773</v>
      </c>
      <c r="D414" s="1">
        <v>45781</v>
      </c>
      <c r="E414" t="s">
        <v>1260</v>
      </c>
      <c r="F414" t="s">
        <v>38</v>
      </c>
      <c r="G414" t="s">
        <v>83</v>
      </c>
      <c r="H414" t="s">
        <v>1261</v>
      </c>
      <c r="I414" t="s">
        <v>72</v>
      </c>
      <c r="J414" t="s">
        <v>42</v>
      </c>
      <c r="K414" t="s">
        <v>1262</v>
      </c>
      <c r="L414" t="s">
        <v>212</v>
      </c>
      <c r="M414" t="s">
        <v>32</v>
      </c>
      <c r="N414" t="s">
        <v>74</v>
      </c>
      <c r="O414" t="s">
        <v>75</v>
      </c>
      <c r="P414" t="s">
        <v>123</v>
      </c>
      <c r="Q414">
        <v>70</v>
      </c>
      <c r="R414">
        <v>248.31</v>
      </c>
      <c r="S414">
        <v>17381.7</v>
      </c>
      <c r="T414">
        <v>12.39</v>
      </c>
      <c r="U414">
        <v>8</v>
      </c>
      <c r="V414">
        <v>587</v>
      </c>
      <c r="W414" t="s">
        <v>36</v>
      </c>
      <c r="X414">
        <v>3652.91</v>
      </c>
    </row>
    <row r="415" spans="1:24" x14ac:dyDescent="0.25">
      <c r="A415" s="2">
        <v>100413</v>
      </c>
      <c r="B415" s="1">
        <v>45990</v>
      </c>
      <c r="C415" s="1">
        <v>45993</v>
      </c>
      <c r="D415" s="1">
        <v>46007</v>
      </c>
      <c r="E415" t="s">
        <v>1263</v>
      </c>
      <c r="F415" t="s">
        <v>65</v>
      </c>
      <c r="G415" t="s">
        <v>70</v>
      </c>
      <c r="H415" t="s">
        <v>1264</v>
      </c>
      <c r="I415" t="s">
        <v>198</v>
      </c>
      <c r="J415" t="s">
        <v>52</v>
      </c>
      <c r="K415" t="s">
        <v>1265</v>
      </c>
      <c r="L415" t="s">
        <v>31</v>
      </c>
      <c r="M415" t="s">
        <v>38</v>
      </c>
      <c r="N415" t="s">
        <v>151</v>
      </c>
      <c r="O415" t="s">
        <v>152</v>
      </c>
      <c r="P415" t="s">
        <v>76</v>
      </c>
      <c r="Q415">
        <v>215</v>
      </c>
      <c r="R415">
        <v>52.65</v>
      </c>
      <c r="S415">
        <v>11319.75</v>
      </c>
      <c r="T415">
        <v>11.94</v>
      </c>
      <c r="U415">
        <v>14</v>
      </c>
      <c r="V415">
        <v>526</v>
      </c>
      <c r="W415" t="s">
        <v>36</v>
      </c>
      <c r="X415">
        <v>1066.33</v>
      </c>
    </row>
    <row r="416" spans="1:24" x14ac:dyDescent="0.25">
      <c r="A416" s="2">
        <v>100414</v>
      </c>
      <c r="B416" s="1">
        <v>45943</v>
      </c>
      <c r="C416" s="1">
        <v>45948</v>
      </c>
      <c r="D416" s="1">
        <v>45955</v>
      </c>
      <c r="E416" t="s">
        <v>1266</v>
      </c>
      <c r="F416" t="s">
        <v>25</v>
      </c>
      <c r="G416" t="s">
        <v>244</v>
      </c>
      <c r="H416" t="s">
        <v>1267</v>
      </c>
      <c r="I416" t="s">
        <v>72</v>
      </c>
      <c r="J416" t="s">
        <v>42</v>
      </c>
      <c r="K416" t="s">
        <v>1268</v>
      </c>
      <c r="L416" t="s">
        <v>64</v>
      </c>
      <c r="M416" t="s">
        <v>54</v>
      </c>
      <c r="N416" t="s">
        <v>66</v>
      </c>
      <c r="O416" t="s">
        <v>67</v>
      </c>
      <c r="P416" t="s">
        <v>35</v>
      </c>
      <c r="Q416">
        <v>67</v>
      </c>
      <c r="R416">
        <v>94.1</v>
      </c>
      <c r="S416">
        <v>6304.7</v>
      </c>
      <c r="T416">
        <v>14.37</v>
      </c>
      <c r="U416">
        <v>7</v>
      </c>
      <c r="V416">
        <v>951</v>
      </c>
      <c r="W416" t="s">
        <v>57</v>
      </c>
      <c r="X416">
        <v>731.84</v>
      </c>
    </row>
    <row r="417" spans="1:24" x14ac:dyDescent="0.25">
      <c r="A417" s="2">
        <v>100415</v>
      </c>
      <c r="B417" s="1">
        <v>45335</v>
      </c>
      <c r="C417" s="1">
        <v>45337</v>
      </c>
      <c r="D417" s="1">
        <v>45356</v>
      </c>
      <c r="E417" t="s">
        <v>1269</v>
      </c>
      <c r="F417" t="s">
        <v>25</v>
      </c>
      <c r="G417" t="s">
        <v>221</v>
      </c>
      <c r="H417" t="s">
        <v>1270</v>
      </c>
      <c r="I417" t="s">
        <v>230</v>
      </c>
      <c r="J417" t="s">
        <v>80</v>
      </c>
      <c r="K417" t="s">
        <v>748</v>
      </c>
      <c r="L417" t="s">
        <v>64</v>
      </c>
      <c r="M417" t="s">
        <v>32</v>
      </c>
      <c r="N417" t="s">
        <v>203</v>
      </c>
      <c r="O417" t="s">
        <v>204</v>
      </c>
      <c r="P417" t="s">
        <v>76</v>
      </c>
      <c r="Q417">
        <v>201</v>
      </c>
      <c r="R417">
        <v>75.91</v>
      </c>
      <c r="S417">
        <v>15257.91</v>
      </c>
      <c r="T417">
        <v>11.68</v>
      </c>
      <c r="U417">
        <v>19</v>
      </c>
      <c r="V417">
        <v>1640</v>
      </c>
      <c r="W417" t="s">
        <v>36</v>
      </c>
      <c r="X417">
        <v>3333.44</v>
      </c>
    </row>
    <row r="418" spans="1:24" x14ac:dyDescent="0.25">
      <c r="A418" s="2">
        <v>100416</v>
      </c>
      <c r="B418" s="1">
        <v>45445</v>
      </c>
      <c r="C418" s="1">
        <v>45447</v>
      </c>
      <c r="D418" s="1">
        <v>45450</v>
      </c>
      <c r="E418" t="s">
        <v>1271</v>
      </c>
      <c r="F418" t="s">
        <v>65</v>
      </c>
      <c r="G418" t="s">
        <v>70</v>
      </c>
      <c r="H418" t="s">
        <v>1272</v>
      </c>
      <c r="I418" t="s">
        <v>134</v>
      </c>
      <c r="J418" t="s">
        <v>52</v>
      </c>
      <c r="K418" t="s">
        <v>1273</v>
      </c>
      <c r="L418" t="s">
        <v>44</v>
      </c>
      <c r="M418" t="s">
        <v>38</v>
      </c>
      <c r="N418" t="s">
        <v>151</v>
      </c>
      <c r="O418" t="s">
        <v>152</v>
      </c>
      <c r="P418" t="s">
        <v>68</v>
      </c>
      <c r="Q418">
        <v>160</v>
      </c>
      <c r="R418">
        <v>69.150000000000006</v>
      </c>
      <c r="S418">
        <v>11064</v>
      </c>
      <c r="T418">
        <v>38.880000000000003</v>
      </c>
      <c r="U418">
        <v>3</v>
      </c>
      <c r="V418">
        <v>2279</v>
      </c>
      <c r="W418" t="s">
        <v>36</v>
      </c>
      <c r="X418">
        <v>1915.49</v>
      </c>
    </row>
    <row r="419" spans="1:24" x14ac:dyDescent="0.25">
      <c r="A419" s="2">
        <v>100417</v>
      </c>
      <c r="B419" s="1">
        <v>45471</v>
      </c>
      <c r="C419" s="1">
        <v>45476</v>
      </c>
      <c r="D419" s="1">
        <v>45492</v>
      </c>
      <c r="E419" t="s">
        <v>1274</v>
      </c>
      <c r="F419" t="s">
        <v>32</v>
      </c>
      <c r="G419" t="s">
        <v>180</v>
      </c>
      <c r="H419" t="s">
        <v>1275</v>
      </c>
      <c r="I419" t="s">
        <v>198</v>
      </c>
      <c r="J419" t="s">
        <v>52</v>
      </c>
      <c r="K419" t="s">
        <v>150</v>
      </c>
      <c r="L419" t="s">
        <v>91</v>
      </c>
      <c r="M419" t="s">
        <v>25</v>
      </c>
      <c r="N419" t="s">
        <v>92</v>
      </c>
      <c r="O419" t="s">
        <v>93</v>
      </c>
      <c r="P419" t="s">
        <v>76</v>
      </c>
      <c r="Q419">
        <v>237</v>
      </c>
      <c r="R419">
        <v>53.26</v>
      </c>
      <c r="S419">
        <v>12622.62</v>
      </c>
      <c r="T419">
        <v>12.34</v>
      </c>
      <c r="U419">
        <v>16</v>
      </c>
      <c r="V419">
        <v>3368</v>
      </c>
      <c r="W419" t="s">
        <v>36</v>
      </c>
      <c r="X419">
        <v>1363.36</v>
      </c>
    </row>
    <row r="420" spans="1:24" x14ac:dyDescent="0.25">
      <c r="A420" s="2">
        <v>100418</v>
      </c>
      <c r="B420" s="1">
        <v>45347</v>
      </c>
      <c r="C420" s="1">
        <v>45347</v>
      </c>
      <c r="D420" s="1">
        <v>45350</v>
      </c>
      <c r="E420" t="s">
        <v>1276</v>
      </c>
      <c r="F420" t="s">
        <v>65</v>
      </c>
      <c r="G420" t="s">
        <v>154</v>
      </c>
      <c r="H420" t="s">
        <v>1277</v>
      </c>
      <c r="I420" t="s">
        <v>149</v>
      </c>
      <c r="J420" t="s">
        <v>42</v>
      </c>
      <c r="K420" t="s">
        <v>928</v>
      </c>
      <c r="L420" t="s">
        <v>113</v>
      </c>
      <c r="M420" t="s">
        <v>25</v>
      </c>
      <c r="N420" t="s">
        <v>74</v>
      </c>
      <c r="O420" t="s">
        <v>75</v>
      </c>
      <c r="P420" t="s">
        <v>68</v>
      </c>
      <c r="Q420">
        <v>139</v>
      </c>
      <c r="R420">
        <v>207.51</v>
      </c>
      <c r="S420">
        <v>28843.89</v>
      </c>
      <c r="T420">
        <v>37.520000000000003</v>
      </c>
      <c r="U420">
        <v>3</v>
      </c>
      <c r="V420">
        <v>163</v>
      </c>
      <c r="W420" t="s">
        <v>36</v>
      </c>
      <c r="X420">
        <v>3746.4</v>
      </c>
    </row>
    <row r="421" spans="1:24" x14ac:dyDescent="0.25">
      <c r="A421" s="2">
        <v>100419</v>
      </c>
      <c r="B421" s="1">
        <v>46006</v>
      </c>
      <c r="C421" s="1">
        <v>46007</v>
      </c>
      <c r="D421" s="1">
        <v>46025</v>
      </c>
      <c r="E421" t="s">
        <v>1278</v>
      </c>
      <c r="F421" t="s">
        <v>65</v>
      </c>
      <c r="G421" t="s">
        <v>142</v>
      </c>
      <c r="H421" t="s">
        <v>1279</v>
      </c>
      <c r="I421" t="s">
        <v>368</v>
      </c>
      <c r="J421" t="s">
        <v>29</v>
      </c>
      <c r="K421" t="s">
        <v>1280</v>
      </c>
      <c r="L421" t="s">
        <v>31</v>
      </c>
      <c r="M421" t="s">
        <v>54</v>
      </c>
      <c r="N421" t="s">
        <v>74</v>
      </c>
      <c r="O421" t="s">
        <v>75</v>
      </c>
      <c r="P421" t="s">
        <v>76</v>
      </c>
      <c r="Q421">
        <v>50</v>
      </c>
      <c r="R421">
        <v>18.86</v>
      </c>
      <c r="S421">
        <v>943</v>
      </c>
      <c r="T421">
        <v>8.93</v>
      </c>
      <c r="U421">
        <v>18</v>
      </c>
      <c r="V421">
        <v>515</v>
      </c>
      <c r="W421" t="s">
        <v>57</v>
      </c>
      <c r="X421">
        <v>188.9</v>
      </c>
    </row>
    <row r="422" spans="1:24" x14ac:dyDescent="0.25">
      <c r="A422" s="2">
        <v>100420</v>
      </c>
      <c r="B422" s="1">
        <v>45609</v>
      </c>
      <c r="C422" s="1">
        <v>45609</v>
      </c>
      <c r="D422" s="1">
        <v>45616</v>
      </c>
      <c r="E422" t="s">
        <v>1281</v>
      </c>
      <c r="F422" t="s">
        <v>32</v>
      </c>
      <c r="G422" t="s">
        <v>255</v>
      </c>
      <c r="H422" t="s">
        <v>1282</v>
      </c>
      <c r="I422" t="s">
        <v>85</v>
      </c>
      <c r="J422" t="s">
        <v>52</v>
      </c>
      <c r="K422" t="s">
        <v>1283</v>
      </c>
      <c r="L422" t="s">
        <v>122</v>
      </c>
      <c r="M422" t="s">
        <v>25</v>
      </c>
      <c r="N422" t="s">
        <v>203</v>
      </c>
      <c r="O422" t="s">
        <v>204</v>
      </c>
      <c r="P422" t="s">
        <v>123</v>
      </c>
      <c r="Q422">
        <v>103</v>
      </c>
      <c r="R422">
        <v>24.88</v>
      </c>
      <c r="S422">
        <v>2562.64</v>
      </c>
      <c r="T422">
        <v>13.19</v>
      </c>
      <c r="U422">
        <v>7</v>
      </c>
      <c r="V422">
        <v>1938</v>
      </c>
      <c r="W422" t="s">
        <v>36</v>
      </c>
      <c r="X422">
        <v>260.26</v>
      </c>
    </row>
    <row r="423" spans="1:24" x14ac:dyDescent="0.25">
      <c r="A423" s="2">
        <v>100421</v>
      </c>
      <c r="B423" s="1">
        <v>45565</v>
      </c>
      <c r="C423" s="1">
        <v>45566</v>
      </c>
      <c r="D423" s="1">
        <v>45571</v>
      </c>
      <c r="E423" t="s">
        <v>1284</v>
      </c>
      <c r="F423" t="s">
        <v>32</v>
      </c>
      <c r="G423" t="s">
        <v>110</v>
      </c>
      <c r="H423" t="s">
        <v>1285</v>
      </c>
      <c r="I423" t="s">
        <v>246</v>
      </c>
      <c r="J423" t="s">
        <v>29</v>
      </c>
      <c r="K423" t="s">
        <v>1286</v>
      </c>
      <c r="L423" t="s">
        <v>64</v>
      </c>
      <c r="M423" t="s">
        <v>25</v>
      </c>
      <c r="N423" t="s">
        <v>203</v>
      </c>
      <c r="O423" t="s">
        <v>204</v>
      </c>
      <c r="P423" t="s">
        <v>35</v>
      </c>
      <c r="Q423">
        <v>442</v>
      </c>
      <c r="R423">
        <v>22.64</v>
      </c>
      <c r="S423">
        <v>10006.879999999999</v>
      </c>
      <c r="T423">
        <v>25</v>
      </c>
      <c r="U423">
        <v>5</v>
      </c>
      <c r="V423">
        <v>2329</v>
      </c>
      <c r="W423" t="s">
        <v>36</v>
      </c>
      <c r="X423">
        <v>2171.37</v>
      </c>
    </row>
    <row r="424" spans="1:24" x14ac:dyDescent="0.25">
      <c r="A424" s="2">
        <v>100422</v>
      </c>
      <c r="B424" s="1">
        <v>45556</v>
      </c>
      <c r="C424" s="1">
        <v>45560</v>
      </c>
      <c r="D424" s="1">
        <v>45563</v>
      </c>
      <c r="E424" t="s">
        <v>1287</v>
      </c>
      <c r="F424" t="s">
        <v>25</v>
      </c>
      <c r="G424" t="s">
        <v>244</v>
      </c>
      <c r="H424" t="s">
        <v>1288</v>
      </c>
      <c r="I424" t="s">
        <v>85</v>
      </c>
      <c r="J424" t="s">
        <v>52</v>
      </c>
      <c r="K424" t="s">
        <v>1289</v>
      </c>
      <c r="L424" t="s">
        <v>91</v>
      </c>
      <c r="M424" t="s">
        <v>54</v>
      </c>
      <c r="N424" t="s">
        <v>151</v>
      </c>
      <c r="O424" t="s">
        <v>152</v>
      </c>
      <c r="P424" t="s">
        <v>68</v>
      </c>
      <c r="Q424">
        <v>355</v>
      </c>
      <c r="R424">
        <v>83.38</v>
      </c>
      <c r="S424">
        <v>29599.9</v>
      </c>
      <c r="T424">
        <v>51.52</v>
      </c>
      <c r="U424">
        <v>3</v>
      </c>
      <c r="V424">
        <v>1377</v>
      </c>
      <c r="W424" t="s">
        <v>36</v>
      </c>
      <c r="X424">
        <v>3732.26</v>
      </c>
    </row>
    <row r="425" spans="1:24" x14ac:dyDescent="0.25">
      <c r="A425" s="2">
        <v>100423</v>
      </c>
      <c r="B425" s="1">
        <v>45741</v>
      </c>
      <c r="C425" s="1">
        <v>45741</v>
      </c>
      <c r="D425" s="1">
        <v>45760</v>
      </c>
      <c r="E425" t="s">
        <v>1290</v>
      </c>
      <c r="F425" t="s">
        <v>65</v>
      </c>
      <c r="G425" t="s">
        <v>70</v>
      </c>
      <c r="H425" t="s">
        <v>1291</v>
      </c>
      <c r="I425" t="s">
        <v>126</v>
      </c>
      <c r="J425" t="s">
        <v>42</v>
      </c>
      <c r="K425" t="s">
        <v>1292</v>
      </c>
      <c r="L425" t="s">
        <v>118</v>
      </c>
      <c r="M425" t="s">
        <v>54</v>
      </c>
      <c r="N425" t="s">
        <v>74</v>
      </c>
      <c r="O425" t="s">
        <v>75</v>
      </c>
      <c r="P425" t="s">
        <v>76</v>
      </c>
      <c r="Q425">
        <v>193</v>
      </c>
      <c r="R425">
        <v>193.32</v>
      </c>
      <c r="S425">
        <v>37310.76</v>
      </c>
      <c r="T425">
        <v>11.54</v>
      </c>
      <c r="U425">
        <v>19</v>
      </c>
      <c r="V425">
        <v>1122</v>
      </c>
      <c r="W425" t="s">
        <v>36</v>
      </c>
      <c r="X425">
        <v>7120.45</v>
      </c>
    </row>
    <row r="426" spans="1:24" x14ac:dyDescent="0.25">
      <c r="A426" s="2">
        <v>100424</v>
      </c>
      <c r="B426" s="1">
        <v>45337</v>
      </c>
      <c r="C426" s="1">
        <v>45342</v>
      </c>
      <c r="D426" s="1">
        <v>45349</v>
      </c>
      <c r="E426" t="s">
        <v>1293</v>
      </c>
      <c r="F426" t="s">
        <v>25</v>
      </c>
      <c r="G426" t="s">
        <v>221</v>
      </c>
      <c r="H426" t="s">
        <v>1294</v>
      </c>
      <c r="I426" t="s">
        <v>149</v>
      </c>
      <c r="J426" t="s">
        <v>42</v>
      </c>
      <c r="K426" t="s">
        <v>1295</v>
      </c>
      <c r="L426" t="s">
        <v>122</v>
      </c>
      <c r="M426" t="s">
        <v>54</v>
      </c>
      <c r="N426" t="s">
        <v>33</v>
      </c>
      <c r="O426" t="s">
        <v>34</v>
      </c>
      <c r="P426" t="s">
        <v>123</v>
      </c>
      <c r="Q426">
        <v>138</v>
      </c>
      <c r="R426">
        <v>79.989999999999995</v>
      </c>
      <c r="S426">
        <v>11038.62</v>
      </c>
      <c r="T426">
        <v>14.05</v>
      </c>
      <c r="U426">
        <v>7</v>
      </c>
      <c r="V426">
        <v>1339</v>
      </c>
      <c r="W426" t="s">
        <v>36</v>
      </c>
      <c r="X426">
        <v>1770.66</v>
      </c>
    </row>
    <row r="427" spans="1:24" x14ac:dyDescent="0.25">
      <c r="A427" s="2">
        <v>100425</v>
      </c>
      <c r="B427" s="1">
        <v>45425</v>
      </c>
      <c r="C427" s="1">
        <v>45428</v>
      </c>
      <c r="D427" s="1">
        <v>45436</v>
      </c>
      <c r="E427" t="s">
        <v>1296</v>
      </c>
      <c r="F427" t="s">
        <v>54</v>
      </c>
      <c r="G427" t="s">
        <v>193</v>
      </c>
      <c r="H427" t="s">
        <v>1297</v>
      </c>
      <c r="I427" t="s">
        <v>238</v>
      </c>
      <c r="J427" t="s">
        <v>62</v>
      </c>
      <c r="K427" t="s">
        <v>939</v>
      </c>
      <c r="L427" t="s">
        <v>98</v>
      </c>
      <c r="M427" t="s">
        <v>65</v>
      </c>
      <c r="N427" t="s">
        <v>203</v>
      </c>
      <c r="O427" t="s">
        <v>204</v>
      </c>
      <c r="P427" t="s">
        <v>35</v>
      </c>
      <c r="Q427">
        <v>35</v>
      </c>
      <c r="R427">
        <v>6.21</v>
      </c>
      <c r="S427">
        <v>217.35</v>
      </c>
      <c r="T427">
        <v>13.47</v>
      </c>
      <c r="U427">
        <v>8</v>
      </c>
      <c r="V427">
        <v>1023</v>
      </c>
      <c r="W427" t="s">
        <v>36</v>
      </c>
      <c r="X427">
        <v>17.600000000000001</v>
      </c>
    </row>
    <row r="428" spans="1:24" x14ac:dyDescent="0.25">
      <c r="A428" s="2">
        <v>100426</v>
      </c>
      <c r="B428" s="1">
        <v>45689</v>
      </c>
      <c r="C428" s="1">
        <v>45692</v>
      </c>
      <c r="D428" s="1">
        <v>45693</v>
      </c>
      <c r="E428" t="s">
        <v>1298</v>
      </c>
      <c r="F428" t="s">
        <v>65</v>
      </c>
      <c r="G428" t="s">
        <v>154</v>
      </c>
      <c r="H428" t="s">
        <v>1299</v>
      </c>
      <c r="I428" t="s">
        <v>28</v>
      </c>
      <c r="J428" t="s">
        <v>29</v>
      </c>
      <c r="K428" t="s">
        <v>1234</v>
      </c>
      <c r="L428" t="s">
        <v>44</v>
      </c>
      <c r="M428" t="s">
        <v>32</v>
      </c>
      <c r="N428" t="s">
        <v>66</v>
      </c>
      <c r="O428" t="s">
        <v>67</v>
      </c>
      <c r="P428" t="s">
        <v>68</v>
      </c>
      <c r="Q428">
        <v>87</v>
      </c>
      <c r="R428">
        <v>37.74</v>
      </c>
      <c r="S428">
        <v>3283.38</v>
      </c>
      <c r="T428">
        <v>34.15</v>
      </c>
      <c r="U428">
        <v>1</v>
      </c>
      <c r="V428">
        <v>2807</v>
      </c>
      <c r="W428" t="s">
        <v>36</v>
      </c>
      <c r="X428">
        <v>629.73</v>
      </c>
    </row>
    <row r="429" spans="1:24" x14ac:dyDescent="0.25">
      <c r="A429" s="2">
        <v>100427</v>
      </c>
      <c r="B429" s="1">
        <v>45869</v>
      </c>
      <c r="C429" s="1">
        <v>45870</v>
      </c>
      <c r="D429" s="1">
        <v>45880</v>
      </c>
      <c r="E429" t="s">
        <v>1300</v>
      </c>
      <c r="F429" t="s">
        <v>32</v>
      </c>
      <c r="G429" t="s">
        <v>364</v>
      </c>
      <c r="H429" t="s">
        <v>1301</v>
      </c>
      <c r="I429" t="s">
        <v>61</v>
      </c>
      <c r="J429" t="s">
        <v>62</v>
      </c>
      <c r="K429" t="s">
        <v>1302</v>
      </c>
      <c r="L429" t="s">
        <v>113</v>
      </c>
      <c r="M429" t="s">
        <v>65</v>
      </c>
      <c r="N429" t="s">
        <v>203</v>
      </c>
      <c r="O429" t="s">
        <v>204</v>
      </c>
      <c r="P429" t="s">
        <v>35</v>
      </c>
      <c r="Q429">
        <v>263</v>
      </c>
      <c r="R429">
        <v>11.23</v>
      </c>
      <c r="S429">
        <v>2953.49</v>
      </c>
      <c r="T429">
        <v>19.93</v>
      </c>
      <c r="U429">
        <v>10</v>
      </c>
      <c r="V429">
        <v>1599</v>
      </c>
      <c r="W429" t="s">
        <v>36</v>
      </c>
      <c r="X429">
        <v>408.51</v>
      </c>
    </row>
    <row r="430" spans="1:24" x14ac:dyDescent="0.25">
      <c r="A430" s="2">
        <v>100428</v>
      </c>
      <c r="B430" s="1">
        <v>45903</v>
      </c>
      <c r="C430" s="1">
        <v>45908</v>
      </c>
      <c r="D430" s="1">
        <v>45912</v>
      </c>
      <c r="E430" t="s">
        <v>1303</v>
      </c>
      <c r="F430" t="s">
        <v>38</v>
      </c>
      <c r="G430" t="s">
        <v>83</v>
      </c>
      <c r="H430" t="s">
        <v>1304</v>
      </c>
      <c r="I430" t="s">
        <v>61</v>
      </c>
      <c r="J430" t="s">
        <v>62</v>
      </c>
      <c r="K430" t="s">
        <v>1305</v>
      </c>
      <c r="L430" t="s">
        <v>98</v>
      </c>
      <c r="M430" t="s">
        <v>54</v>
      </c>
      <c r="N430" t="s">
        <v>107</v>
      </c>
      <c r="O430" t="s">
        <v>108</v>
      </c>
      <c r="P430" t="s">
        <v>35</v>
      </c>
      <c r="Q430">
        <v>365</v>
      </c>
      <c r="R430">
        <v>10.37</v>
      </c>
      <c r="S430">
        <v>3785.05</v>
      </c>
      <c r="T430">
        <v>22.82</v>
      </c>
      <c r="U430">
        <v>4</v>
      </c>
      <c r="V430">
        <v>823</v>
      </c>
      <c r="W430" t="s">
        <v>36</v>
      </c>
      <c r="X430">
        <v>326.76</v>
      </c>
    </row>
    <row r="431" spans="1:24" x14ac:dyDescent="0.25">
      <c r="A431" s="2">
        <v>100429</v>
      </c>
      <c r="B431" s="1">
        <v>45771</v>
      </c>
      <c r="C431" s="1">
        <v>45773</v>
      </c>
      <c r="D431" s="1">
        <v>45780</v>
      </c>
      <c r="E431" t="s">
        <v>1306</v>
      </c>
      <c r="F431" t="s">
        <v>25</v>
      </c>
      <c r="G431" t="s">
        <v>244</v>
      </c>
      <c r="H431" t="s">
        <v>1307</v>
      </c>
      <c r="I431" t="s">
        <v>368</v>
      </c>
      <c r="J431" t="s">
        <v>29</v>
      </c>
      <c r="K431" t="s">
        <v>1308</v>
      </c>
      <c r="L431" t="s">
        <v>187</v>
      </c>
      <c r="M431" t="s">
        <v>32</v>
      </c>
      <c r="N431" t="s">
        <v>74</v>
      </c>
      <c r="O431" t="s">
        <v>75</v>
      </c>
      <c r="P431" t="s">
        <v>35</v>
      </c>
      <c r="Q431">
        <v>452</v>
      </c>
      <c r="R431">
        <v>84.84</v>
      </c>
      <c r="S431">
        <v>38347.68</v>
      </c>
      <c r="T431">
        <v>25.29</v>
      </c>
      <c r="U431">
        <v>7</v>
      </c>
      <c r="V431">
        <v>292</v>
      </c>
      <c r="W431" t="s">
        <v>36</v>
      </c>
      <c r="X431">
        <v>9228.7999999999993</v>
      </c>
    </row>
    <row r="432" spans="1:24" x14ac:dyDescent="0.25">
      <c r="A432" s="2">
        <v>100430</v>
      </c>
      <c r="B432" s="1">
        <v>45562</v>
      </c>
      <c r="C432" s="1">
        <v>45564</v>
      </c>
      <c r="D432" s="1">
        <v>45586</v>
      </c>
      <c r="E432" t="s">
        <v>1309</v>
      </c>
      <c r="F432" t="s">
        <v>25</v>
      </c>
      <c r="G432" t="s">
        <v>26</v>
      </c>
      <c r="H432" t="s">
        <v>1310</v>
      </c>
      <c r="I432" t="s">
        <v>238</v>
      </c>
      <c r="J432" t="s">
        <v>62</v>
      </c>
      <c r="K432" t="s">
        <v>844</v>
      </c>
      <c r="L432" t="s">
        <v>91</v>
      </c>
      <c r="M432" t="s">
        <v>38</v>
      </c>
      <c r="N432" t="s">
        <v>151</v>
      </c>
      <c r="O432" t="s">
        <v>152</v>
      </c>
      <c r="P432" t="s">
        <v>76</v>
      </c>
      <c r="Q432">
        <v>276</v>
      </c>
      <c r="R432">
        <v>36.700000000000003</v>
      </c>
      <c r="S432">
        <v>10129.200000000001</v>
      </c>
      <c r="T432">
        <v>13.05</v>
      </c>
      <c r="U432">
        <v>22</v>
      </c>
      <c r="V432">
        <v>1941</v>
      </c>
      <c r="W432" t="s">
        <v>36</v>
      </c>
      <c r="X432">
        <v>1748.47</v>
      </c>
    </row>
    <row r="433" spans="1:24" x14ac:dyDescent="0.25">
      <c r="A433" s="2">
        <v>100431</v>
      </c>
      <c r="B433" s="1">
        <v>45943</v>
      </c>
      <c r="C433" s="1">
        <v>45948</v>
      </c>
      <c r="D433" s="1">
        <v>45955</v>
      </c>
      <c r="E433" t="s">
        <v>825</v>
      </c>
      <c r="F433" t="s">
        <v>65</v>
      </c>
      <c r="G433" t="s">
        <v>70</v>
      </c>
      <c r="H433" t="s">
        <v>1311</v>
      </c>
      <c r="I433" t="s">
        <v>72</v>
      </c>
      <c r="J433" t="s">
        <v>42</v>
      </c>
      <c r="K433" t="s">
        <v>1312</v>
      </c>
      <c r="L433" t="s">
        <v>113</v>
      </c>
      <c r="M433" t="s">
        <v>38</v>
      </c>
      <c r="N433" t="s">
        <v>102</v>
      </c>
      <c r="O433" t="s">
        <v>103</v>
      </c>
      <c r="P433" t="s">
        <v>68</v>
      </c>
      <c r="Q433">
        <v>410</v>
      </c>
      <c r="R433">
        <v>107.31</v>
      </c>
      <c r="S433">
        <v>43997.1</v>
      </c>
      <c r="T433">
        <v>55.08</v>
      </c>
      <c r="U433">
        <v>7</v>
      </c>
      <c r="V433">
        <v>1007</v>
      </c>
      <c r="W433" t="s">
        <v>36</v>
      </c>
      <c r="X433">
        <v>3817.7</v>
      </c>
    </row>
    <row r="434" spans="1:24" x14ac:dyDescent="0.25">
      <c r="A434" s="2">
        <v>100432</v>
      </c>
      <c r="B434" s="1">
        <v>45397</v>
      </c>
      <c r="C434" s="1">
        <v>45401</v>
      </c>
      <c r="D434" s="1">
        <v>45416</v>
      </c>
      <c r="E434" t="s">
        <v>1313</v>
      </c>
      <c r="F434" t="s">
        <v>25</v>
      </c>
      <c r="G434" t="s">
        <v>233</v>
      </c>
      <c r="H434" t="s">
        <v>1314</v>
      </c>
      <c r="I434" t="s">
        <v>126</v>
      </c>
      <c r="J434" t="s">
        <v>42</v>
      </c>
      <c r="K434" t="s">
        <v>1315</v>
      </c>
      <c r="L434" t="s">
        <v>44</v>
      </c>
      <c r="M434" t="s">
        <v>25</v>
      </c>
      <c r="N434" t="s">
        <v>151</v>
      </c>
      <c r="O434" t="s">
        <v>152</v>
      </c>
      <c r="P434" t="s">
        <v>76</v>
      </c>
      <c r="Q434">
        <v>339</v>
      </c>
      <c r="R434">
        <v>290.77</v>
      </c>
      <c r="S434">
        <v>98571.03</v>
      </c>
      <c r="T434">
        <v>10.52</v>
      </c>
      <c r="U434">
        <v>15</v>
      </c>
      <c r="V434">
        <v>441</v>
      </c>
      <c r="W434" t="s">
        <v>36</v>
      </c>
      <c r="X434">
        <v>8216.92</v>
      </c>
    </row>
    <row r="435" spans="1:24" x14ac:dyDescent="0.25">
      <c r="A435" s="2">
        <v>100433</v>
      </c>
      <c r="B435" s="1">
        <v>45293</v>
      </c>
      <c r="C435" s="1">
        <v>45294</v>
      </c>
      <c r="D435" s="1">
        <v>45314</v>
      </c>
      <c r="E435" t="s">
        <v>1316</v>
      </c>
      <c r="F435" t="s">
        <v>32</v>
      </c>
      <c r="G435" t="s">
        <v>273</v>
      </c>
      <c r="H435" t="s">
        <v>1317</v>
      </c>
      <c r="I435" t="s">
        <v>207</v>
      </c>
      <c r="J435" t="s">
        <v>80</v>
      </c>
      <c r="K435" t="s">
        <v>1318</v>
      </c>
      <c r="L435" t="s">
        <v>44</v>
      </c>
      <c r="M435" t="s">
        <v>38</v>
      </c>
      <c r="N435" t="s">
        <v>55</v>
      </c>
      <c r="O435" t="s">
        <v>56</v>
      </c>
      <c r="P435" t="s">
        <v>76</v>
      </c>
      <c r="Q435">
        <v>221</v>
      </c>
      <c r="R435">
        <v>119.82</v>
      </c>
      <c r="S435">
        <v>26480.22</v>
      </c>
      <c r="T435">
        <v>12.05</v>
      </c>
      <c r="U435">
        <v>20</v>
      </c>
      <c r="V435">
        <v>923</v>
      </c>
      <c r="W435" t="s">
        <v>36</v>
      </c>
      <c r="X435">
        <v>5020.1099999999997</v>
      </c>
    </row>
    <row r="436" spans="1:24" x14ac:dyDescent="0.25">
      <c r="A436" s="2">
        <v>100434</v>
      </c>
      <c r="B436" s="1">
        <v>45952</v>
      </c>
      <c r="C436" s="1">
        <v>45955</v>
      </c>
      <c r="D436" s="1">
        <v>45962</v>
      </c>
      <c r="E436" t="s">
        <v>1319</v>
      </c>
      <c r="F436" t="s">
        <v>25</v>
      </c>
      <c r="G436" t="s">
        <v>172</v>
      </c>
      <c r="H436" t="s">
        <v>1320</v>
      </c>
      <c r="I436" t="s">
        <v>126</v>
      </c>
      <c r="J436" t="s">
        <v>42</v>
      </c>
      <c r="K436" t="s">
        <v>581</v>
      </c>
      <c r="L436" t="s">
        <v>113</v>
      </c>
      <c r="M436" t="s">
        <v>32</v>
      </c>
      <c r="N436" t="s">
        <v>33</v>
      </c>
      <c r="O436" t="s">
        <v>34</v>
      </c>
      <c r="P436" t="s">
        <v>68</v>
      </c>
      <c r="Q436">
        <v>419</v>
      </c>
      <c r="R436">
        <v>347.48</v>
      </c>
      <c r="S436">
        <v>145594.12</v>
      </c>
      <c r="T436">
        <v>55.66</v>
      </c>
      <c r="U436">
        <v>7</v>
      </c>
      <c r="V436">
        <v>1319</v>
      </c>
      <c r="W436" t="s">
        <v>36</v>
      </c>
      <c r="X436">
        <v>12281.86</v>
      </c>
    </row>
    <row r="437" spans="1:24" x14ac:dyDescent="0.25">
      <c r="A437" s="2">
        <v>100435</v>
      </c>
      <c r="B437" s="1">
        <v>45342</v>
      </c>
      <c r="C437" s="1">
        <v>45343</v>
      </c>
      <c r="D437" s="1">
        <v>45352</v>
      </c>
      <c r="E437" t="s">
        <v>1321</v>
      </c>
      <c r="F437" t="s">
        <v>25</v>
      </c>
      <c r="G437" t="s">
        <v>172</v>
      </c>
      <c r="H437" t="s">
        <v>1322</v>
      </c>
      <c r="I437" t="s">
        <v>416</v>
      </c>
      <c r="J437" t="s">
        <v>80</v>
      </c>
      <c r="K437" t="s">
        <v>723</v>
      </c>
      <c r="L437" t="s">
        <v>122</v>
      </c>
      <c r="M437" t="s">
        <v>38</v>
      </c>
      <c r="N437" t="s">
        <v>203</v>
      </c>
      <c r="O437" t="s">
        <v>204</v>
      </c>
      <c r="P437" t="s">
        <v>68</v>
      </c>
      <c r="Q437">
        <v>66</v>
      </c>
      <c r="R437">
        <v>113.35</v>
      </c>
      <c r="S437">
        <v>7481.1</v>
      </c>
      <c r="T437">
        <v>32.79</v>
      </c>
      <c r="U437">
        <v>9</v>
      </c>
      <c r="V437">
        <v>2057</v>
      </c>
      <c r="W437" t="s">
        <v>36</v>
      </c>
      <c r="X437">
        <v>1762.86</v>
      </c>
    </row>
    <row r="438" spans="1:24" x14ac:dyDescent="0.25">
      <c r="A438" s="2">
        <v>100436</v>
      </c>
      <c r="B438" s="1">
        <v>45589</v>
      </c>
      <c r="C438" s="1">
        <v>45591</v>
      </c>
      <c r="D438" s="1">
        <v>45604</v>
      </c>
      <c r="E438" t="s">
        <v>1323</v>
      </c>
      <c r="F438" t="s">
        <v>54</v>
      </c>
      <c r="G438" t="s">
        <v>158</v>
      </c>
      <c r="H438" t="s">
        <v>1324</v>
      </c>
      <c r="I438" t="s">
        <v>182</v>
      </c>
      <c r="J438" t="s">
        <v>80</v>
      </c>
      <c r="K438" t="s">
        <v>637</v>
      </c>
      <c r="L438" t="s">
        <v>122</v>
      </c>
      <c r="M438" t="s">
        <v>65</v>
      </c>
      <c r="N438" t="s">
        <v>45</v>
      </c>
      <c r="O438" t="s">
        <v>46</v>
      </c>
      <c r="P438" t="s">
        <v>123</v>
      </c>
      <c r="Q438">
        <v>243</v>
      </c>
      <c r="R438">
        <v>218.81</v>
      </c>
      <c r="S438">
        <v>53170.83</v>
      </c>
      <c r="T438">
        <v>16.600000000000001</v>
      </c>
      <c r="U438">
        <v>13</v>
      </c>
      <c r="V438">
        <v>892</v>
      </c>
      <c r="W438" t="s">
        <v>36</v>
      </c>
      <c r="X438">
        <v>9979.1200000000008</v>
      </c>
    </row>
    <row r="439" spans="1:24" x14ac:dyDescent="0.25">
      <c r="A439" s="2">
        <v>100437</v>
      </c>
      <c r="B439" s="1">
        <v>45867</v>
      </c>
      <c r="C439" s="1">
        <v>45867</v>
      </c>
      <c r="D439" s="1">
        <v>45881</v>
      </c>
      <c r="E439" t="s">
        <v>1325</v>
      </c>
      <c r="F439" t="s">
        <v>65</v>
      </c>
      <c r="G439" t="s">
        <v>154</v>
      </c>
      <c r="H439" t="s">
        <v>1326</v>
      </c>
      <c r="I439" t="s">
        <v>230</v>
      </c>
      <c r="J439" t="s">
        <v>80</v>
      </c>
      <c r="K439" t="s">
        <v>1327</v>
      </c>
      <c r="L439" t="s">
        <v>187</v>
      </c>
      <c r="M439" t="s">
        <v>38</v>
      </c>
      <c r="N439" t="s">
        <v>55</v>
      </c>
      <c r="O439" t="s">
        <v>56</v>
      </c>
      <c r="P439" t="s">
        <v>76</v>
      </c>
      <c r="Q439">
        <v>93</v>
      </c>
      <c r="R439">
        <v>179.21</v>
      </c>
      <c r="S439">
        <v>16666.53</v>
      </c>
      <c r="T439">
        <v>9.7100000000000009</v>
      </c>
      <c r="U439">
        <v>14</v>
      </c>
      <c r="V439">
        <v>931</v>
      </c>
      <c r="W439" t="s">
        <v>36</v>
      </c>
      <c r="X439">
        <v>2924.13</v>
      </c>
    </row>
    <row r="440" spans="1:24" x14ac:dyDescent="0.25">
      <c r="A440" s="2">
        <v>100438</v>
      </c>
      <c r="B440" s="1">
        <v>45833</v>
      </c>
      <c r="C440" s="1">
        <v>45836</v>
      </c>
      <c r="D440" s="1">
        <v>45855</v>
      </c>
      <c r="E440" t="s">
        <v>1328</v>
      </c>
      <c r="F440" t="s">
        <v>65</v>
      </c>
      <c r="G440" t="s">
        <v>154</v>
      </c>
      <c r="H440" t="s">
        <v>1329</v>
      </c>
      <c r="I440" t="s">
        <v>79</v>
      </c>
      <c r="J440" t="s">
        <v>80</v>
      </c>
      <c r="K440" t="s">
        <v>646</v>
      </c>
      <c r="L440" t="s">
        <v>113</v>
      </c>
      <c r="M440" t="s">
        <v>25</v>
      </c>
      <c r="N440" t="s">
        <v>33</v>
      </c>
      <c r="O440" t="s">
        <v>34</v>
      </c>
      <c r="P440" t="s">
        <v>76</v>
      </c>
      <c r="Q440">
        <v>173</v>
      </c>
      <c r="R440">
        <v>200.15</v>
      </c>
      <c r="S440">
        <v>34625.949999999997</v>
      </c>
      <c r="T440">
        <v>11.17</v>
      </c>
      <c r="U440">
        <v>19</v>
      </c>
      <c r="V440">
        <v>574</v>
      </c>
      <c r="W440" t="s">
        <v>188</v>
      </c>
      <c r="X440">
        <v>5724.03</v>
      </c>
    </row>
    <row r="441" spans="1:24" x14ac:dyDescent="0.25">
      <c r="A441" s="2">
        <v>100439</v>
      </c>
      <c r="B441" s="1">
        <v>45566</v>
      </c>
      <c r="C441" s="1">
        <v>45567</v>
      </c>
      <c r="D441" s="1">
        <v>45570</v>
      </c>
      <c r="E441" t="s">
        <v>1330</v>
      </c>
      <c r="F441" t="s">
        <v>54</v>
      </c>
      <c r="G441" t="s">
        <v>193</v>
      </c>
      <c r="H441" t="s">
        <v>1331</v>
      </c>
      <c r="I441" t="s">
        <v>230</v>
      </c>
      <c r="J441" t="s">
        <v>80</v>
      </c>
      <c r="K441" t="s">
        <v>1332</v>
      </c>
      <c r="L441" t="s">
        <v>118</v>
      </c>
      <c r="M441" t="s">
        <v>32</v>
      </c>
      <c r="N441" t="s">
        <v>102</v>
      </c>
      <c r="O441" t="s">
        <v>103</v>
      </c>
      <c r="P441" t="s">
        <v>68</v>
      </c>
      <c r="Q441">
        <v>318</v>
      </c>
      <c r="R441">
        <v>75.12</v>
      </c>
      <c r="S441">
        <v>23888.16</v>
      </c>
      <c r="T441">
        <v>49.12</v>
      </c>
      <c r="U441">
        <v>3</v>
      </c>
      <c r="V441">
        <v>1603</v>
      </c>
      <c r="W441" t="s">
        <v>36</v>
      </c>
      <c r="X441">
        <v>4905.88</v>
      </c>
    </row>
    <row r="442" spans="1:24" x14ac:dyDescent="0.25">
      <c r="A442" s="2">
        <v>100440</v>
      </c>
      <c r="B442" s="1">
        <v>45550</v>
      </c>
      <c r="C442" s="1">
        <v>45551</v>
      </c>
      <c r="D442" s="1">
        <v>45560</v>
      </c>
      <c r="E442" t="s">
        <v>1333</v>
      </c>
      <c r="F442" t="s">
        <v>54</v>
      </c>
      <c r="G442" t="s">
        <v>165</v>
      </c>
      <c r="H442" t="s">
        <v>1334</v>
      </c>
      <c r="I442" t="s">
        <v>79</v>
      </c>
      <c r="J442" t="s">
        <v>80</v>
      </c>
      <c r="K442" t="s">
        <v>1335</v>
      </c>
      <c r="L442" t="s">
        <v>113</v>
      </c>
      <c r="M442" t="s">
        <v>65</v>
      </c>
      <c r="N442" t="s">
        <v>55</v>
      </c>
      <c r="O442" t="s">
        <v>56</v>
      </c>
      <c r="P442" t="s">
        <v>35</v>
      </c>
      <c r="Q442">
        <v>468</v>
      </c>
      <c r="R442">
        <v>270.45999999999998</v>
      </c>
      <c r="S442">
        <v>126575.28</v>
      </c>
      <c r="T442">
        <v>25.74</v>
      </c>
      <c r="U442">
        <v>9</v>
      </c>
      <c r="V442">
        <v>1331</v>
      </c>
      <c r="W442" t="s">
        <v>47</v>
      </c>
      <c r="X442">
        <v>-93.01</v>
      </c>
    </row>
    <row r="443" spans="1:24" x14ac:dyDescent="0.25">
      <c r="A443" s="2">
        <v>100441</v>
      </c>
      <c r="B443" s="1">
        <v>45442</v>
      </c>
      <c r="C443" s="1">
        <v>45447</v>
      </c>
      <c r="D443" s="1">
        <v>45451</v>
      </c>
      <c r="E443" t="s">
        <v>1336</v>
      </c>
      <c r="F443" t="s">
        <v>54</v>
      </c>
      <c r="G443" t="s">
        <v>165</v>
      </c>
      <c r="H443" t="s">
        <v>1337</v>
      </c>
      <c r="I443" t="s">
        <v>89</v>
      </c>
      <c r="J443" t="s">
        <v>62</v>
      </c>
      <c r="K443" t="s">
        <v>515</v>
      </c>
      <c r="L443" t="s">
        <v>64</v>
      </c>
      <c r="M443" t="s">
        <v>38</v>
      </c>
      <c r="N443" t="s">
        <v>45</v>
      </c>
      <c r="O443" t="s">
        <v>46</v>
      </c>
      <c r="P443" t="s">
        <v>68</v>
      </c>
      <c r="Q443">
        <v>468</v>
      </c>
      <c r="R443">
        <v>45.47</v>
      </c>
      <c r="S443">
        <v>21279.96</v>
      </c>
      <c r="T443">
        <v>58.84</v>
      </c>
      <c r="U443">
        <v>4</v>
      </c>
      <c r="V443">
        <v>3192</v>
      </c>
      <c r="W443" t="s">
        <v>36</v>
      </c>
      <c r="X443">
        <v>3342.68</v>
      </c>
    </row>
    <row r="444" spans="1:24" x14ac:dyDescent="0.25">
      <c r="A444" s="2">
        <v>100442</v>
      </c>
      <c r="B444" s="1">
        <v>45331</v>
      </c>
      <c r="C444" s="1">
        <v>45334</v>
      </c>
      <c r="D444" s="1">
        <v>45338</v>
      </c>
      <c r="E444" t="s">
        <v>1338</v>
      </c>
      <c r="F444" t="s">
        <v>65</v>
      </c>
      <c r="G444" t="s">
        <v>70</v>
      </c>
      <c r="H444" t="s">
        <v>1339</v>
      </c>
      <c r="I444" t="s">
        <v>79</v>
      </c>
      <c r="J444" t="s">
        <v>80</v>
      </c>
      <c r="K444" t="s">
        <v>723</v>
      </c>
      <c r="L444" t="s">
        <v>64</v>
      </c>
      <c r="M444" t="s">
        <v>38</v>
      </c>
      <c r="N444" t="s">
        <v>45</v>
      </c>
      <c r="O444" t="s">
        <v>46</v>
      </c>
      <c r="P444" t="s">
        <v>35</v>
      </c>
      <c r="Q444">
        <v>207</v>
      </c>
      <c r="R444">
        <v>186.99</v>
      </c>
      <c r="S444">
        <v>38706.93</v>
      </c>
      <c r="T444">
        <v>18.34</v>
      </c>
      <c r="U444">
        <v>4</v>
      </c>
      <c r="V444">
        <v>2108</v>
      </c>
      <c r="W444" t="s">
        <v>36</v>
      </c>
      <c r="X444">
        <v>10791.8</v>
      </c>
    </row>
    <row r="445" spans="1:24" x14ac:dyDescent="0.25">
      <c r="A445" s="2">
        <v>100443</v>
      </c>
      <c r="B445" s="1">
        <v>45528</v>
      </c>
      <c r="C445" s="1">
        <v>45532</v>
      </c>
      <c r="D445" s="1">
        <v>45542</v>
      </c>
      <c r="E445" t="s">
        <v>1340</v>
      </c>
      <c r="F445" t="s">
        <v>25</v>
      </c>
      <c r="G445" t="s">
        <v>244</v>
      </c>
      <c r="H445" t="s">
        <v>1341</v>
      </c>
      <c r="I445" t="s">
        <v>238</v>
      </c>
      <c r="J445" t="s">
        <v>62</v>
      </c>
      <c r="K445" t="s">
        <v>1342</v>
      </c>
      <c r="L445" t="s">
        <v>118</v>
      </c>
      <c r="M445" t="s">
        <v>25</v>
      </c>
      <c r="N445" t="s">
        <v>45</v>
      </c>
      <c r="O445" t="s">
        <v>46</v>
      </c>
      <c r="P445" t="s">
        <v>76</v>
      </c>
      <c r="Q445">
        <v>153</v>
      </c>
      <c r="R445">
        <v>20.38</v>
      </c>
      <c r="S445">
        <v>3118.14</v>
      </c>
      <c r="T445">
        <v>8.01</v>
      </c>
      <c r="U445">
        <v>10</v>
      </c>
      <c r="V445">
        <v>554</v>
      </c>
      <c r="W445" t="s">
        <v>36</v>
      </c>
      <c r="X445">
        <v>-40.130000000000003</v>
      </c>
    </row>
    <row r="446" spans="1:24" x14ac:dyDescent="0.25">
      <c r="A446" s="2">
        <v>100444</v>
      </c>
      <c r="B446" s="1">
        <v>45648</v>
      </c>
      <c r="C446" s="1">
        <v>45648</v>
      </c>
      <c r="D446" s="1">
        <v>45660</v>
      </c>
      <c r="E446" t="s">
        <v>1343</v>
      </c>
      <c r="F446" t="s">
        <v>65</v>
      </c>
      <c r="G446" t="s">
        <v>70</v>
      </c>
      <c r="H446" t="s">
        <v>1344</v>
      </c>
      <c r="I446" t="s">
        <v>191</v>
      </c>
      <c r="J446" t="s">
        <v>62</v>
      </c>
      <c r="K446" t="s">
        <v>661</v>
      </c>
      <c r="L446" t="s">
        <v>212</v>
      </c>
      <c r="M446" t="s">
        <v>65</v>
      </c>
      <c r="N446" t="s">
        <v>74</v>
      </c>
      <c r="O446" t="s">
        <v>75</v>
      </c>
      <c r="P446" t="s">
        <v>123</v>
      </c>
      <c r="Q446">
        <v>321</v>
      </c>
      <c r="R446">
        <v>10.43</v>
      </c>
      <c r="S446">
        <v>3348.03</v>
      </c>
      <c r="T446">
        <v>13.7</v>
      </c>
      <c r="U446">
        <v>12</v>
      </c>
      <c r="V446">
        <v>2829</v>
      </c>
      <c r="W446" t="s">
        <v>36</v>
      </c>
      <c r="X446">
        <v>563.41</v>
      </c>
    </row>
    <row r="447" spans="1:24" x14ac:dyDescent="0.25">
      <c r="A447" s="2">
        <v>100445</v>
      </c>
      <c r="B447" s="1">
        <v>45881</v>
      </c>
      <c r="C447" s="1">
        <v>45883</v>
      </c>
      <c r="D447" s="1">
        <v>45890</v>
      </c>
      <c r="E447" t="s">
        <v>1345</v>
      </c>
      <c r="F447" t="s">
        <v>65</v>
      </c>
      <c r="G447" t="s">
        <v>142</v>
      </c>
      <c r="H447" t="s">
        <v>1346</v>
      </c>
      <c r="I447" t="s">
        <v>85</v>
      </c>
      <c r="J447" t="s">
        <v>52</v>
      </c>
      <c r="K447" t="s">
        <v>1347</v>
      </c>
      <c r="L447" t="s">
        <v>212</v>
      </c>
      <c r="M447" t="s">
        <v>32</v>
      </c>
      <c r="N447" t="s">
        <v>92</v>
      </c>
      <c r="O447" t="s">
        <v>93</v>
      </c>
      <c r="P447" t="s">
        <v>35</v>
      </c>
      <c r="Q447">
        <v>114</v>
      </c>
      <c r="R447">
        <v>70.760000000000005</v>
      </c>
      <c r="S447">
        <v>8066.64</v>
      </c>
      <c r="T447">
        <v>15.71</v>
      </c>
      <c r="U447">
        <v>7</v>
      </c>
      <c r="V447">
        <v>967</v>
      </c>
      <c r="W447" t="s">
        <v>57</v>
      </c>
      <c r="X447">
        <v>796.01</v>
      </c>
    </row>
    <row r="448" spans="1:24" x14ac:dyDescent="0.25">
      <c r="A448" s="2">
        <v>100446</v>
      </c>
      <c r="B448" s="1">
        <v>45512</v>
      </c>
      <c r="C448" s="1">
        <v>45514</v>
      </c>
      <c r="D448" s="1">
        <v>45517</v>
      </c>
      <c r="E448" t="s">
        <v>1348</v>
      </c>
      <c r="F448" t="s">
        <v>32</v>
      </c>
      <c r="G448" t="s">
        <v>137</v>
      </c>
      <c r="H448" t="s">
        <v>1349</v>
      </c>
      <c r="I448" t="s">
        <v>41</v>
      </c>
      <c r="J448" t="s">
        <v>42</v>
      </c>
      <c r="K448" t="s">
        <v>1079</v>
      </c>
      <c r="L448" t="s">
        <v>187</v>
      </c>
      <c r="M448" t="s">
        <v>32</v>
      </c>
      <c r="N448" t="s">
        <v>55</v>
      </c>
      <c r="O448" t="s">
        <v>56</v>
      </c>
      <c r="P448" t="s">
        <v>68</v>
      </c>
      <c r="Q448">
        <v>224</v>
      </c>
      <c r="R448">
        <v>207.11</v>
      </c>
      <c r="S448">
        <v>46392.639999999999</v>
      </c>
      <c r="T448">
        <v>31.87</v>
      </c>
      <c r="U448">
        <v>3</v>
      </c>
      <c r="V448">
        <v>1493</v>
      </c>
      <c r="W448" t="s">
        <v>36</v>
      </c>
      <c r="X448">
        <v>9203.5400000000009</v>
      </c>
    </row>
    <row r="449" spans="1:24" x14ac:dyDescent="0.25">
      <c r="A449" s="2">
        <v>100447</v>
      </c>
      <c r="B449" s="1">
        <v>45801</v>
      </c>
      <c r="C449" s="1">
        <v>45801</v>
      </c>
      <c r="D449" s="1">
        <v>45817</v>
      </c>
      <c r="E449" t="s">
        <v>1350</v>
      </c>
      <c r="F449" t="s">
        <v>25</v>
      </c>
      <c r="G449" t="s">
        <v>221</v>
      </c>
      <c r="H449" t="s">
        <v>1351</v>
      </c>
      <c r="I449" t="s">
        <v>416</v>
      </c>
      <c r="J449" t="s">
        <v>80</v>
      </c>
      <c r="K449" t="s">
        <v>1352</v>
      </c>
      <c r="L449" t="s">
        <v>64</v>
      </c>
      <c r="M449" t="s">
        <v>38</v>
      </c>
      <c r="N449" t="s">
        <v>45</v>
      </c>
      <c r="O449" t="s">
        <v>46</v>
      </c>
      <c r="P449" t="s">
        <v>76</v>
      </c>
      <c r="Q449">
        <v>434</v>
      </c>
      <c r="R449">
        <v>81.34</v>
      </c>
      <c r="S449">
        <v>35301.56</v>
      </c>
      <c r="T449">
        <v>15.93</v>
      </c>
      <c r="U449">
        <v>16</v>
      </c>
      <c r="V449">
        <v>483</v>
      </c>
      <c r="W449" t="s">
        <v>36</v>
      </c>
      <c r="X449">
        <v>4550.4399999999996</v>
      </c>
    </row>
    <row r="450" spans="1:24" x14ac:dyDescent="0.25">
      <c r="A450" s="2">
        <v>100448</v>
      </c>
      <c r="B450" s="1">
        <v>45804</v>
      </c>
      <c r="C450" s="1">
        <v>45805</v>
      </c>
      <c r="D450" s="1">
        <v>45815</v>
      </c>
      <c r="E450" t="s">
        <v>1353</v>
      </c>
      <c r="F450" t="s">
        <v>65</v>
      </c>
      <c r="G450" t="s">
        <v>142</v>
      </c>
      <c r="H450" t="s">
        <v>1354</v>
      </c>
      <c r="I450" t="s">
        <v>238</v>
      </c>
      <c r="J450" t="s">
        <v>62</v>
      </c>
      <c r="K450" t="s">
        <v>1355</v>
      </c>
      <c r="L450" t="s">
        <v>187</v>
      </c>
      <c r="M450" t="s">
        <v>25</v>
      </c>
      <c r="N450" t="s">
        <v>66</v>
      </c>
      <c r="O450" t="s">
        <v>67</v>
      </c>
      <c r="P450" t="s">
        <v>76</v>
      </c>
      <c r="Q450">
        <v>255</v>
      </c>
      <c r="R450">
        <v>11.83</v>
      </c>
      <c r="S450">
        <v>3016.65</v>
      </c>
      <c r="T450">
        <v>12.67</v>
      </c>
      <c r="U450">
        <v>10</v>
      </c>
      <c r="V450">
        <v>4956</v>
      </c>
      <c r="W450" t="s">
        <v>36</v>
      </c>
      <c r="X450">
        <v>168.55</v>
      </c>
    </row>
    <row r="451" spans="1:24" x14ac:dyDescent="0.25">
      <c r="A451" s="2">
        <v>100449</v>
      </c>
      <c r="B451" s="1">
        <v>45490</v>
      </c>
      <c r="C451" s="1">
        <v>45491</v>
      </c>
      <c r="D451" s="1">
        <v>45501</v>
      </c>
      <c r="E451" t="s">
        <v>1356</v>
      </c>
      <c r="F451" t="s">
        <v>25</v>
      </c>
      <c r="G451" t="s">
        <v>59</v>
      </c>
      <c r="H451" t="s">
        <v>1357</v>
      </c>
      <c r="I451" t="s">
        <v>134</v>
      </c>
      <c r="J451" t="s">
        <v>52</v>
      </c>
      <c r="K451" t="s">
        <v>1358</v>
      </c>
      <c r="L451" t="s">
        <v>44</v>
      </c>
      <c r="M451" t="s">
        <v>65</v>
      </c>
      <c r="N451" t="s">
        <v>203</v>
      </c>
      <c r="O451" t="s">
        <v>204</v>
      </c>
      <c r="P451" t="s">
        <v>76</v>
      </c>
      <c r="Q451">
        <v>424</v>
      </c>
      <c r="R451">
        <v>69.53</v>
      </c>
      <c r="S451">
        <v>29480.720000000001</v>
      </c>
      <c r="T451">
        <v>15.75</v>
      </c>
      <c r="U451">
        <v>10</v>
      </c>
      <c r="V451">
        <v>2807</v>
      </c>
      <c r="W451" t="s">
        <v>36</v>
      </c>
      <c r="X451">
        <v>5535.2</v>
      </c>
    </row>
    <row r="452" spans="1:24" x14ac:dyDescent="0.25">
      <c r="A452" s="2">
        <v>100450</v>
      </c>
      <c r="B452" s="1">
        <v>45371</v>
      </c>
      <c r="C452" s="1">
        <v>45371</v>
      </c>
      <c r="D452" s="1">
        <v>45376</v>
      </c>
      <c r="E452" t="s">
        <v>1359</v>
      </c>
      <c r="F452" t="s">
        <v>65</v>
      </c>
      <c r="G452" t="s">
        <v>154</v>
      </c>
      <c r="H452" t="s">
        <v>1360</v>
      </c>
      <c r="I452" t="s">
        <v>28</v>
      </c>
      <c r="J452" t="s">
        <v>29</v>
      </c>
      <c r="K452" t="s">
        <v>885</v>
      </c>
      <c r="L452" t="s">
        <v>122</v>
      </c>
      <c r="M452" t="s">
        <v>54</v>
      </c>
      <c r="N452" t="s">
        <v>92</v>
      </c>
      <c r="O452" t="s">
        <v>93</v>
      </c>
      <c r="P452" t="s">
        <v>35</v>
      </c>
      <c r="Q452">
        <v>204</v>
      </c>
      <c r="R452">
        <v>86.69</v>
      </c>
      <c r="S452">
        <v>17684.759999999998</v>
      </c>
      <c r="T452">
        <v>18.260000000000002</v>
      </c>
      <c r="U452">
        <v>5</v>
      </c>
      <c r="V452">
        <v>3051</v>
      </c>
      <c r="W452" t="s">
        <v>36</v>
      </c>
      <c r="X452">
        <v>3259.99</v>
      </c>
    </row>
    <row r="453" spans="1:24" x14ac:dyDescent="0.25">
      <c r="A453" s="2">
        <v>100451</v>
      </c>
      <c r="B453" s="1">
        <v>45760</v>
      </c>
      <c r="C453" s="1">
        <v>45763</v>
      </c>
      <c r="D453" s="1">
        <v>45767</v>
      </c>
      <c r="E453" t="s">
        <v>1361</v>
      </c>
      <c r="F453" t="s">
        <v>32</v>
      </c>
      <c r="G453" t="s">
        <v>255</v>
      </c>
      <c r="H453" t="s">
        <v>1362</v>
      </c>
      <c r="I453" t="s">
        <v>144</v>
      </c>
      <c r="J453" t="s">
        <v>52</v>
      </c>
      <c r="K453" t="s">
        <v>855</v>
      </c>
      <c r="L453" t="s">
        <v>64</v>
      </c>
      <c r="M453" t="s">
        <v>32</v>
      </c>
      <c r="N453" t="s">
        <v>55</v>
      </c>
      <c r="O453" t="s">
        <v>56</v>
      </c>
      <c r="P453" t="s">
        <v>68</v>
      </c>
      <c r="Q453">
        <v>216</v>
      </c>
      <c r="R453">
        <v>75.459999999999994</v>
      </c>
      <c r="S453">
        <v>16299.36</v>
      </c>
      <c r="T453">
        <v>31.49</v>
      </c>
      <c r="U453">
        <v>4</v>
      </c>
      <c r="V453">
        <v>364</v>
      </c>
      <c r="W453" t="s">
        <v>36</v>
      </c>
      <c r="X453">
        <v>2888.2</v>
      </c>
    </row>
    <row r="454" spans="1:24" x14ac:dyDescent="0.25">
      <c r="A454" s="2">
        <v>100452</v>
      </c>
      <c r="B454" s="1">
        <v>45336</v>
      </c>
      <c r="C454" s="1">
        <v>45337</v>
      </c>
      <c r="D454" s="1">
        <v>45360</v>
      </c>
      <c r="E454" t="s">
        <v>1363</v>
      </c>
      <c r="F454" t="s">
        <v>54</v>
      </c>
      <c r="G454" t="s">
        <v>165</v>
      </c>
      <c r="H454" t="s">
        <v>1364</v>
      </c>
      <c r="I454" t="s">
        <v>28</v>
      </c>
      <c r="J454" t="s">
        <v>29</v>
      </c>
      <c r="K454" t="s">
        <v>1365</v>
      </c>
      <c r="L454" t="s">
        <v>122</v>
      </c>
      <c r="M454" t="s">
        <v>25</v>
      </c>
      <c r="N454" t="s">
        <v>55</v>
      </c>
      <c r="O454" t="s">
        <v>56</v>
      </c>
      <c r="P454" t="s">
        <v>76</v>
      </c>
      <c r="Q454">
        <v>28</v>
      </c>
      <c r="R454">
        <v>61.88</v>
      </c>
      <c r="S454">
        <v>1732.64</v>
      </c>
      <c r="T454">
        <v>8.5299999999999994</v>
      </c>
      <c r="U454">
        <v>23</v>
      </c>
      <c r="V454">
        <v>3228</v>
      </c>
      <c r="W454" t="s">
        <v>47</v>
      </c>
      <c r="X454">
        <v>-206.93</v>
      </c>
    </row>
    <row r="455" spans="1:24" x14ac:dyDescent="0.25">
      <c r="A455" s="2">
        <v>100453</v>
      </c>
      <c r="B455" s="1">
        <v>45346</v>
      </c>
      <c r="C455" s="1">
        <v>45347</v>
      </c>
      <c r="D455" s="1">
        <v>45360</v>
      </c>
      <c r="E455" t="s">
        <v>1366</v>
      </c>
      <c r="F455" t="s">
        <v>38</v>
      </c>
      <c r="G455" t="s">
        <v>217</v>
      </c>
      <c r="H455" t="s">
        <v>1367</v>
      </c>
      <c r="I455" t="s">
        <v>116</v>
      </c>
      <c r="J455" t="s">
        <v>62</v>
      </c>
      <c r="K455" t="s">
        <v>1368</v>
      </c>
      <c r="L455" t="s">
        <v>64</v>
      </c>
      <c r="M455" t="s">
        <v>38</v>
      </c>
      <c r="N455" t="s">
        <v>45</v>
      </c>
      <c r="O455" t="s">
        <v>46</v>
      </c>
      <c r="P455" t="s">
        <v>123</v>
      </c>
      <c r="Q455">
        <v>19</v>
      </c>
      <c r="R455">
        <v>36.94</v>
      </c>
      <c r="S455">
        <v>701.86</v>
      </c>
      <c r="T455">
        <v>8.26</v>
      </c>
      <c r="U455">
        <v>13</v>
      </c>
      <c r="V455">
        <v>1767</v>
      </c>
      <c r="W455" t="s">
        <v>36</v>
      </c>
      <c r="X455">
        <v>38.21</v>
      </c>
    </row>
    <row r="456" spans="1:24" x14ac:dyDescent="0.25">
      <c r="A456" s="2">
        <v>100454</v>
      </c>
      <c r="B456" s="1">
        <v>45369</v>
      </c>
      <c r="C456" s="1">
        <v>45373</v>
      </c>
      <c r="D456" s="1">
        <v>45381</v>
      </c>
      <c r="E456" t="s">
        <v>1369</v>
      </c>
      <c r="F456" t="s">
        <v>54</v>
      </c>
      <c r="G456" t="s">
        <v>193</v>
      </c>
      <c r="H456" t="s">
        <v>1370</v>
      </c>
      <c r="I456" t="s">
        <v>246</v>
      </c>
      <c r="J456" t="s">
        <v>29</v>
      </c>
      <c r="K456" t="s">
        <v>1371</v>
      </c>
      <c r="L456" t="s">
        <v>31</v>
      </c>
      <c r="M456" t="s">
        <v>65</v>
      </c>
      <c r="N456" t="s">
        <v>74</v>
      </c>
      <c r="O456" t="s">
        <v>75</v>
      </c>
      <c r="P456" t="s">
        <v>35</v>
      </c>
      <c r="Q456">
        <v>488</v>
      </c>
      <c r="R456">
        <v>55.58</v>
      </c>
      <c r="S456">
        <v>27123.040000000001</v>
      </c>
      <c r="T456">
        <v>26.31</v>
      </c>
      <c r="U456">
        <v>8</v>
      </c>
      <c r="V456">
        <v>1851</v>
      </c>
      <c r="W456" t="s">
        <v>36</v>
      </c>
      <c r="X456">
        <v>5734.27</v>
      </c>
    </row>
    <row r="457" spans="1:24" x14ac:dyDescent="0.25">
      <c r="A457" s="2">
        <v>100455</v>
      </c>
      <c r="B457" s="1">
        <v>45900</v>
      </c>
      <c r="C457" s="1">
        <v>45905</v>
      </c>
      <c r="D457" s="1">
        <v>45927</v>
      </c>
      <c r="E457" t="s">
        <v>1372</v>
      </c>
      <c r="F457" t="s">
        <v>25</v>
      </c>
      <c r="G457" t="s">
        <v>59</v>
      </c>
      <c r="H457" t="s">
        <v>1373</v>
      </c>
      <c r="I457" t="s">
        <v>177</v>
      </c>
      <c r="J457" t="s">
        <v>29</v>
      </c>
      <c r="K457" t="s">
        <v>1374</v>
      </c>
      <c r="L457" t="s">
        <v>187</v>
      </c>
      <c r="M457" t="s">
        <v>65</v>
      </c>
      <c r="N457" t="s">
        <v>45</v>
      </c>
      <c r="O457" t="s">
        <v>46</v>
      </c>
      <c r="P457" t="s">
        <v>76</v>
      </c>
      <c r="Q457">
        <v>104</v>
      </c>
      <c r="R457">
        <v>107.62</v>
      </c>
      <c r="S457">
        <v>11192.48</v>
      </c>
      <c r="T457">
        <v>9.91</v>
      </c>
      <c r="U457">
        <v>22</v>
      </c>
      <c r="V457">
        <v>1046</v>
      </c>
      <c r="W457" t="s">
        <v>36</v>
      </c>
      <c r="X457">
        <v>2991.67</v>
      </c>
    </row>
    <row r="458" spans="1:24" x14ac:dyDescent="0.25">
      <c r="A458" s="2">
        <v>100456</v>
      </c>
      <c r="B458" s="1">
        <v>45663</v>
      </c>
      <c r="C458" s="1">
        <v>45666</v>
      </c>
      <c r="D458" s="1">
        <v>45681</v>
      </c>
      <c r="E458" t="s">
        <v>1375</v>
      </c>
      <c r="F458" t="s">
        <v>25</v>
      </c>
      <c r="G458" t="s">
        <v>169</v>
      </c>
      <c r="H458" t="s">
        <v>1376</v>
      </c>
      <c r="I458" t="s">
        <v>246</v>
      </c>
      <c r="J458" t="s">
        <v>29</v>
      </c>
      <c r="K458" t="s">
        <v>1377</v>
      </c>
      <c r="L458" t="s">
        <v>187</v>
      </c>
      <c r="M458" t="s">
        <v>25</v>
      </c>
      <c r="N458" t="s">
        <v>203</v>
      </c>
      <c r="O458" t="s">
        <v>204</v>
      </c>
      <c r="P458" t="s">
        <v>76</v>
      </c>
      <c r="Q458">
        <v>440</v>
      </c>
      <c r="R458">
        <v>41.08</v>
      </c>
      <c r="S458">
        <v>18075.2</v>
      </c>
      <c r="T458">
        <v>11.88</v>
      </c>
      <c r="U458">
        <v>15</v>
      </c>
      <c r="V458">
        <v>1778</v>
      </c>
      <c r="W458" t="s">
        <v>36</v>
      </c>
      <c r="X458">
        <v>3919.94</v>
      </c>
    </row>
    <row r="459" spans="1:24" x14ac:dyDescent="0.25">
      <c r="A459" s="2">
        <v>100457</v>
      </c>
      <c r="B459" s="1">
        <v>45518</v>
      </c>
      <c r="C459" s="1">
        <v>45518</v>
      </c>
      <c r="D459" s="1">
        <v>45529</v>
      </c>
      <c r="E459" t="s">
        <v>1378</v>
      </c>
      <c r="F459" t="s">
        <v>54</v>
      </c>
      <c r="G459" t="s">
        <v>193</v>
      </c>
      <c r="H459" t="s">
        <v>1379</v>
      </c>
      <c r="I459" t="s">
        <v>182</v>
      </c>
      <c r="J459" t="s">
        <v>80</v>
      </c>
      <c r="K459" t="s">
        <v>833</v>
      </c>
      <c r="L459" t="s">
        <v>91</v>
      </c>
      <c r="M459" t="s">
        <v>65</v>
      </c>
      <c r="N459" t="s">
        <v>102</v>
      </c>
      <c r="O459" t="s">
        <v>103</v>
      </c>
      <c r="P459" t="s">
        <v>123</v>
      </c>
      <c r="Q459">
        <v>181</v>
      </c>
      <c r="R459">
        <v>66.959999999999994</v>
      </c>
      <c r="S459">
        <v>12119.76</v>
      </c>
      <c r="T459">
        <v>15.09</v>
      </c>
      <c r="U459">
        <v>11</v>
      </c>
      <c r="V459">
        <v>1257</v>
      </c>
      <c r="W459" t="s">
        <v>36</v>
      </c>
      <c r="X459">
        <v>2088.66</v>
      </c>
    </row>
    <row r="460" spans="1:24" x14ac:dyDescent="0.25">
      <c r="A460" s="2">
        <v>100458</v>
      </c>
      <c r="B460" s="1">
        <v>45890</v>
      </c>
      <c r="C460" s="1">
        <v>45890</v>
      </c>
      <c r="D460" s="1">
        <v>45894</v>
      </c>
      <c r="E460" t="s">
        <v>1380</v>
      </c>
      <c r="F460" t="s">
        <v>25</v>
      </c>
      <c r="G460" t="s">
        <v>59</v>
      </c>
      <c r="H460" t="s">
        <v>1381</v>
      </c>
      <c r="I460" t="s">
        <v>79</v>
      </c>
      <c r="J460" t="s">
        <v>80</v>
      </c>
      <c r="K460" t="s">
        <v>1382</v>
      </c>
      <c r="L460" t="s">
        <v>31</v>
      </c>
      <c r="M460" t="s">
        <v>32</v>
      </c>
      <c r="N460" t="s">
        <v>92</v>
      </c>
      <c r="O460" t="s">
        <v>93</v>
      </c>
      <c r="P460" t="s">
        <v>123</v>
      </c>
      <c r="Q460">
        <v>200</v>
      </c>
      <c r="R460">
        <v>229.16</v>
      </c>
      <c r="S460">
        <v>45832</v>
      </c>
      <c r="T460">
        <v>15.55</v>
      </c>
      <c r="U460">
        <v>4</v>
      </c>
      <c r="V460">
        <v>364</v>
      </c>
      <c r="W460" t="s">
        <v>57</v>
      </c>
      <c r="X460">
        <v>7373.54</v>
      </c>
    </row>
    <row r="461" spans="1:24" x14ac:dyDescent="0.25">
      <c r="A461" s="2">
        <v>100459</v>
      </c>
      <c r="B461" s="1">
        <v>45903</v>
      </c>
      <c r="C461" s="1">
        <v>45905</v>
      </c>
      <c r="D461" s="1">
        <v>45907</v>
      </c>
      <c r="E461" t="s">
        <v>1383</v>
      </c>
      <c r="F461" t="s">
        <v>25</v>
      </c>
      <c r="G461" t="s">
        <v>169</v>
      </c>
      <c r="H461" t="s">
        <v>1384</v>
      </c>
      <c r="I461" t="s">
        <v>139</v>
      </c>
      <c r="J461" t="s">
        <v>42</v>
      </c>
      <c r="K461" t="s">
        <v>1385</v>
      </c>
      <c r="L461" t="s">
        <v>98</v>
      </c>
      <c r="M461" t="s">
        <v>25</v>
      </c>
      <c r="N461" t="s">
        <v>33</v>
      </c>
      <c r="O461" t="s">
        <v>34</v>
      </c>
      <c r="P461" t="s">
        <v>35</v>
      </c>
      <c r="Q461">
        <v>260</v>
      </c>
      <c r="R461">
        <v>152.32</v>
      </c>
      <c r="S461">
        <v>39603.199999999997</v>
      </c>
      <c r="T461">
        <v>14.7</v>
      </c>
      <c r="U461">
        <v>2</v>
      </c>
      <c r="V461">
        <v>1624</v>
      </c>
      <c r="W461" t="s">
        <v>36</v>
      </c>
      <c r="X461">
        <v>8573.01</v>
      </c>
    </row>
    <row r="462" spans="1:24" x14ac:dyDescent="0.25">
      <c r="A462" s="2">
        <v>100460</v>
      </c>
      <c r="B462" s="1">
        <v>45495</v>
      </c>
      <c r="C462" s="1">
        <v>45498</v>
      </c>
      <c r="D462" s="1">
        <v>45503</v>
      </c>
      <c r="E462" t="s">
        <v>1386</v>
      </c>
      <c r="F462" t="s">
        <v>32</v>
      </c>
      <c r="G462" t="s">
        <v>137</v>
      </c>
      <c r="H462" t="s">
        <v>1387</v>
      </c>
      <c r="I462" t="s">
        <v>89</v>
      </c>
      <c r="J462" t="s">
        <v>62</v>
      </c>
      <c r="K462" t="s">
        <v>1388</v>
      </c>
      <c r="L462" t="s">
        <v>118</v>
      </c>
      <c r="M462" t="s">
        <v>25</v>
      </c>
      <c r="N462" t="s">
        <v>74</v>
      </c>
      <c r="O462" t="s">
        <v>75</v>
      </c>
      <c r="P462" t="s">
        <v>68</v>
      </c>
      <c r="Q462">
        <v>435</v>
      </c>
      <c r="R462">
        <v>49.56</v>
      </c>
      <c r="S462">
        <v>21558.6</v>
      </c>
      <c r="T462">
        <v>56.7</v>
      </c>
      <c r="U462">
        <v>5</v>
      </c>
      <c r="V462">
        <v>1079</v>
      </c>
      <c r="W462" t="s">
        <v>36</v>
      </c>
      <c r="X462">
        <v>2828.31</v>
      </c>
    </row>
    <row r="463" spans="1:24" x14ac:dyDescent="0.25">
      <c r="A463" s="2">
        <v>100461</v>
      </c>
      <c r="B463" s="1">
        <v>45579</v>
      </c>
      <c r="C463" s="1">
        <v>45582</v>
      </c>
      <c r="D463" s="1">
        <v>45594</v>
      </c>
      <c r="E463" t="s">
        <v>1141</v>
      </c>
      <c r="F463" t="s">
        <v>25</v>
      </c>
      <c r="G463" t="s">
        <v>233</v>
      </c>
      <c r="H463" t="s">
        <v>1389</v>
      </c>
      <c r="I463" t="s">
        <v>116</v>
      </c>
      <c r="J463" t="s">
        <v>62</v>
      </c>
      <c r="K463" t="s">
        <v>1390</v>
      </c>
      <c r="L463" t="s">
        <v>91</v>
      </c>
      <c r="M463" t="s">
        <v>32</v>
      </c>
      <c r="N463" t="s">
        <v>151</v>
      </c>
      <c r="O463" t="s">
        <v>152</v>
      </c>
      <c r="P463" t="s">
        <v>123</v>
      </c>
      <c r="Q463">
        <v>223</v>
      </c>
      <c r="R463">
        <v>40.85</v>
      </c>
      <c r="S463">
        <v>9109.5499999999993</v>
      </c>
      <c r="T463">
        <v>16.11</v>
      </c>
      <c r="U463">
        <v>12</v>
      </c>
      <c r="V463">
        <v>1399</v>
      </c>
      <c r="W463" t="s">
        <v>36</v>
      </c>
      <c r="X463">
        <v>1328.26</v>
      </c>
    </row>
    <row r="464" spans="1:24" x14ac:dyDescent="0.25">
      <c r="A464" s="2">
        <v>100462</v>
      </c>
      <c r="B464" s="1">
        <v>45670</v>
      </c>
      <c r="C464" s="1">
        <v>45672</v>
      </c>
      <c r="D464" s="1">
        <v>45680</v>
      </c>
      <c r="E464" t="s">
        <v>1391</v>
      </c>
      <c r="F464" t="s">
        <v>65</v>
      </c>
      <c r="G464" t="s">
        <v>70</v>
      </c>
      <c r="H464" t="s">
        <v>1392</v>
      </c>
      <c r="I464" t="s">
        <v>61</v>
      </c>
      <c r="J464" t="s">
        <v>62</v>
      </c>
      <c r="K464" t="s">
        <v>1377</v>
      </c>
      <c r="L464" t="s">
        <v>118</v>
      </c>
      <c r="M464" t="s">
        <v>38</v>
      </c>
      <c r="N464" t="s">
        <v>107</v>
      </c>
      <c r="O464" t="s">
        <v>108</v>
      </c>
      <c r="P464" t="s">
        <v>35</v>
      </c>
      <c r="Q464">
        <v>176</v>
      </c>
      <c r="R464">
        <v>44.26</v>
      </c>
      <c r="S464">
        <v>7789.76</v>
      </c>
      <c r="T464">
        <v>17.46</v>
      </c>
      <c r="U464">
        <v>8</v>
      </c>
      <c r="V464">
        <v>2775</v>
      </c>
      <c r="W464" t="s">
        <v>36</v>
      </c>
      <c r="X464">
        <v>1040.3800000000001</v>
      </c>
    </row>
    <row r="465" spans="1:24" x14ac:dyDescent="0.25">
      <c r="A465" s="2">
        <v>100463</v>
      </c>
      <c r="B465" s="1">
        <v>45799</v>
      </c>
      <c r="C465" s="1">
        <v>45804</v>
      </c>
      <c r="D465" s="1">
        <v>45807</v>
      </c>
      <c r="E465" t="s">
        <v>1393</v>
      </c>
      <c r="F465" t="s">
        <v>65</v>
      </c>
      <c r="G465" t="s">
        <v>70</v>
      </c>
      <c r="H465" t="s">
        <v>1394</v>
      </c>
      <c r="I465" t="s">
        <v>41</v>
      </c>
      <c r="J465" t="s">
        <v>42</v>
      </c>
      <c r="K465" t="s">
        <v>374</v>
      </c>
      <c r="L465" t="s">
        <v>91</v>
      </c>
      <c r="M465" t="s">
        <v>38</v>
      </c>
      <c r="N465" t="s">
        <v>102</v>
      </c>
      <c r="O465" t="s">
        <v>103</v>
      </c>
      <c r="P465" t="s">
        <v>68</v>
      </c>
      <c r="Q465">
        <v>264</v>
      </c>
      <c r="R465">
        <v>293.83999999999997</v>
      </c>
      <c r="S465">
        <v>77573.759999999995</v>
      </c>
      <c r="T465">
        <v>45.62</v>
      </c>
      <c r="U465">
        <v>3</v>
      </c>
      <c r="V465">
        <v>643</v>
      </c>
      <c r="W465" t="s">
        <v>36</v>
      </c>
      <c r="X465">
        <v>15886.31</v>
      </c>
    </row>
    <row r="466" spans="1:24" x14ac:dyDescent="0.25">
      <c r="A466" s="2">
        <v>100464</v>
      </c>
      <c r="B466" s="1">
        <v>45700</v>
      </c>
      <c r="C466" s="1">
        <v>45703</v>
      </c>
      <c r="D466" s="1">
        <v>45708</v>
      </c>
      <c r="E466" t="s">
        <v>1395</v>
      </c>
      <c r="F466" t="s">
        <v>32</v>
      </c>
      <c r="G466" t="s">
        <v>364</v>
      </c>
      <c r="H466" t="s">
        <v>1396</v>
      </c>
      <c r="I466" t="s">
        <v>246</v>
      </c>
      <c r="J466" t="s">
        <v>29</v>
      </c>
      <c r="K466" t="s">
        <v>1094</v>
      </c>
      <c r="L466" t="s">
        <v>91</v>
      </c>
      <c r="M466" t="s">
        <v>25</v>
      </c>
      <c r="N466" t="s">
        <v>107</v>
      </c>
      <c r="O466" t="s">
        <v>108</v>
      </c>
      <c r="P466" t="s">
        <v>123</v>
      </c>
      <c r="Q466">
        <v>320</v>
      </c>
      <c r="R466">
        <v>15.42</v>
      </c>
      <c r="S466">
        <v>4934.3999999999996</v>
      </c>
      <c r="T466">
        <v>18.47</v>
      </c>
      <c r="U466">
        <v>5</v>
      </c>
      <c r="V466">
        <v>237</v>
      </c>
      <c r="W466" t="s">
        <v>36</v>
      </c>
      <c r="X466">
        <v>522.26</v>
      </c>
    </row>
    <row r="467" spans="1:24" x14ac:dyDescent="0.25">
      <c r="A467" s="2">
        <v>100465</v>
      </c>
      <c r="B467" s="1">
        <v>45911</v>
      </c>
      <c r="C467" s="1">
        <v>45912</v>
      </c>
      <c r="D467" s="1">
        <v>45925</v>
      </c>
      <c r="E467" t="s">
        <v>1397</v>
      </c>
      <c r="F467" t="s">
        <v>32</v>
      </c>
      <c r="G467" t="s">
        <v>364</v>
      </c>
      <c r="H467" t="s">
        <v>1398</v>
      </c>
      <c r="I467" t="s">
        <v>126</v>
      </c>
      <c r="J467" t="s">
        <v>42</v>
      </c>
      <c r="K467" t="s">
        <v>1399</v>
      </c>
      <c r="L467" t="s">
        <v>122</v>
      </c>
      <c r="M467" t="s">
        <v>65</v>
      </c>
      <c r="N467" t="s">
        <v>33</v>
      </c>
      <c r="O467" t="s">
        <v>34</v>
      </c>
      <c r="P467" t="s">
        <v>123</v>
      </c>
      <c r="Q467">
        <v>459</v>
      </c>
      <c r="R467">
        <v>233.44</v>
      </c>
      <c r="S467">
        <v>107148.96</v>
      </c>
      <c r="T467">
        <v>21.85</v>
      </c>
      <c r="U467">
        <v>13</v>
      </c>
      <c r="V467">
        <v>1039</v>
      </c>
      <c r="W467" t="s">
        <v>36</v>
      </c>
      <c r="X467">
        <v>11764.2</v>
      </c>
    </row>
    <row r="468" spans="1:24" x14ac:dyDescent="0.25">
      <c r="A468" s="2">
        <v>100466</v>
      </c>
      <c r="B468" s="1">
        <v>45794</v>
      </c>
      <c r="C468" s="1">
        <v>45795</v>
      </c>
      <c r="D468" s="1">
        <v>45804</v>
      </c>
      <c r="E468" t="s">
        <v>1400</v>
      </c>
      <c r="F468" t="s">
        <v>25</v>
      </c>
      <c r="G468" t="s">
        <v>169</v>
      </c>
      <c r="H468" t="s">
        <v>1401</v>
      </c>
      <c r="I468" t="s">
        <v>182</v>
      </c>
      <c r="J468" t="s">
        <v>80</v>
      </c>
      <c r="K468" t="s">
        <v>1402</v>
      </c>
      <c r="L468" t="s">
        <v>113</v>
      </c>
      <c r="M468" t="s">
        <v>65</v>
      </c>
      <c r="N468" t="s">
        <v>33</v>
      </c>
      <c r="O468" t="s">
        <v>34</v>
      </c>
      <c r="P468" t="s">
        <v>123</v>
      </c>
      <c r="Q468">
        <v>53</v>
      </c>
      <c r="R468">
        <v>253.03</v>
      </c>
      <c r="S468">
        <v>13410.59</v>
      </c>
      <c r="T468">
        <v>11.98</v>
      </c>
      <c r="U468">
        <v>9</v>
      </c>
      <c r="V468">
        <v>375</v>
      </c>
      <c r="W468" t="s">
        <v>36</v>
      </c>
      <c r="X468">
        <v>2064.17</v>
      </c>
    </row>
    <row r="469" spans="1:24" x14ac:dyDescent="0.25">
      <c r="A469" s="2">
        <v>100467</v>
      </c>
      <c r="B469" s="1">
        <v>45365</v>
      </c>
      <c r="C469" s="1">
        <v>45367</v>
      </c>
      <c r="D469" s="1">
        <v>45379</v>
      </c>
      <c r="E469" t="s">
        <v>1403</v>
      </c>
      <c r="F469" t="s">
        <v>32</v>
      </c>
      <c r="G469" t="s">
        <v>95</v>
      </c>
      <c r="H469" t="s">
        <v>1404</v>
      </c>
      <c r="I469" t="s">
        <v>207</v>
      </c>
      <c r="J469" t="s">
        <v>80</v>
      </c>
      <c r="K469" t="s">
        <v>1405</v>
      </c>
      <c r="L469" t="s">
        <v>122</v>
      </c>
      <c r="M469" t="s">
        <v>54</v>
      </c>
      <c r="N469" t="s">
        <v>151</v>
      </c>
      <c r="O469" t="s">
        <v>152</v>
      </c>
      <c r="P469" t="s">
        <v>123</v>
      </c>
      <c r="Q469">
        <v>331</v>
      </c>
      <c r="R469">
        <v>78.95</v>
      </c>
      <c r="S469">
        <v>26132.45</v>
      </c>
      <c r="T469">
        <v>18.739999999999998</v>
      </c>
      <c r="U469">
        <v>12</v>
      </c>
      <c r="V469">
        <v>1602</v>
      </c>
      <c r="W469" t="s">
        <v>188</v>
      </c>
      <c r="X469">
        <v>6296.23</v>
      </c>
    </row>
    <row r="470" spans="1:24" x14ac:dyDescent="0.25">
      <c r="A470" s="2">
        <v>100468</v>
      </c>
      <c r="B470" s="1">
        <v>46022</v>
      </c>
      <c r="C470" s="1">
        <v>46026</v>
      </c>
      <c r="D470" s="1">
        <v>46029</v>
      </c>
      <c r="E470" t="s">
        <v>1406</v>
      </c>
      <c r="F470" t="s">
        <v>54</v>
      </c>
      <c r="G470" t="s">
        <v>129</v>
      </c>
      <c r="H470" t="s">
        <v>1407</v>
      </c>
      <c r="I470" t="s">
        <v>28</v>
      </c>
      <c r="J470" t="s">
        <v>29</v>
      </c>
      <c r="K470" t="s">
        <v>1408</v>
      </c>
      <c r="L470" t="s">
        <v>98</v>
      </c>
      <c r="M470" t="s">
        <v>38</v>
      </c>
      <c r="N470" t="s">
        <v>151</v>
      </c>
      <c r="O470" t="s">
        <v>152</v>
      </c>
      <c r="P470" t="s">
        <v>68</v>
      </c>
      <c r="Q470">
        <v>452</v>
      </c>
      <c r="R470">
        <v>56.02</v>
      </c>
      <c r="S470">
        <v>25321.040000000001</v>
      </c>
      <c r="T470">
        <v>57.8</v>
      </c>
      <c r="U470">
        <v>3</v>
      </c>
      <c r="V470">
        <v>2521</v>
      </c>
      <c r="W470" t="s">
        <v>57</v>
      </c>
      <c r="X470">
        <v>4079.17</v>
      </c>
    </row>
    <row r="471" spans="1:24" x14ac:dyDescent="0.25">
      <c r="A471" s="2">
        <v>100469</v>
      </c>
      <c r="B471" s="1">
        <v>45911</v>
      </c>
      <c r="C471" s="1">
        <v>45911</v>
      </c>
      <c r="D471" s="1">
        <v>45935</v>
      </c>
      <c r="E471" t="s">
        <v>1409</v>
      </c>
      <c r="F471" t="s">
        <v>25</v>
      </c>
      <c r="G471" t="s">
        <v>172</v>
      </c>
      <c r="H471" t="s">
        <v>1410</v>
      </c>
      <c r="I471" t="s">
        <v>368</v>
      </c>
      <c r="J471" t="s">
        <v>29</v>
      </c>
      <c r="K471" t="s">
        <v>971</v>
      </c>
      <c r="L471" t="s">
        <v>91</v>
      </c>
      <c r="M471" t="s">
        <v>38</v>
      </c>
      <c r="N471" t="s">
        <v>45</v>
      </c>
      <c r="O471" t="s">
        <v>46</v>
      </c>
      <c r="P471" t="s">
        <v>76</v>
      </c>
      <c r="Q471">
        <v>429</v>
      </c>
      <c r="R471">
        <v>44.41</v>
      </c>
      <c r="S471">
        <v>19051.89</v>
      </c>
      <c r="T471">
        <v>15.84</v>
      </c>
      <c r="U471">
        <v>24</v>
      </c>
      <c r="V471">
        <v>504</v>
      </c>
      <c r="W471" t="s">
        <v>188</v>
      </c>
      <c r="X471">
        <v>5672.84</v>
      </c>
    </row>
    <row r="472" spans="1:24" x14ac:dyDescent="0.25">
      <c r="A472" s="2">
        <v>100470</v>
      </c>
      <c r="B472" s="1">
        <v>45357</v>
      </c>
      <c r="C472" s="1">
        <v>45360</v>
      </c>
      <c r="D472" s="1">
        <v>45367</v>
      </c>
      <c r="E472" t="s">
        <v>1411</v>
      </c>
      <c r="F472" t="s">
        <v>54</v>
      </c>
      <c r="G472" t="s">
        <v>225</v>
      </c>
      <c r="H472" t="s">
        <v>1412</v>
      </c>
      <c r="I472" t="s">
        <v>79</v>
      </c>
      <c r="J472" t="s">
        <v>80</v>
      </c>
      <c r="K472" t="s">
        <v>1413</v>
      </c>
      <c r="L472" t="s">
        <v>113</v>
      </c>
      <c r="M472" t="s">
        <v>38</v>
      </c>
      <c r="N472" t="s">
        <v>45</v>
      </c>
      <c r="O472" t="s">
        <v>46</v>
      </c>
      <c r="P472" t="s">
        <v>35</v>
      </c>
      <c r="Q472">
        <v>451</v>
      </c>
      <c r="R472">
        <v>345.01</v>
      </c>
      <c r="S472">
        <v>155599.51</v>
      </c>
      <c r="T472">
        <v>25.26</v>
      </c>
      <c r="U472">
        <v>7</v>
      </c>
      <c r="V472">
        <v>1654</v>
      </c>
      <c r="W472" t="s">
        <v>36</v>
      </c>
      <c r="X472">
        <v>24252.27</v>
      </c>
    </row>
    <row r="473" spans="1:24" x14ac:dyDescent="0.25">
      <c r="A473" s="2">
        <v>100471</v>
      </c>
      <c r="B473" s="1">
        <v>45559</v>
      </c>
      <c r="C473" s="1">
        <v>45563</v>
      </c>
      <c r="D473" s="1">
        <v>45574</v>
      </c>
      <c r="E473" t="s">
        <v>1414</v>
      </c>
      <c r="F473" t="s">
        <v>65</v>
      </c>
      <c r="G473" t="s">
        <v>70</v>
      </c>
      <c r="H473" t="s">
        <v>1415</v>
      </c>
      <c r="I473" t="s">
        <v>416</v>
      </c>
      <c r="J473" t="s">
        <v>80</v>
      </c>
      <c r="K473" t="s">
        <v>1416</v>
      </c>
      <c r="L473" t="s">
        <v>118</v>
      </c>
      <c r="M473" t="s">
        <v>38</v>
      </c>
      <c r="N473" t="s">
        <v>102</v>
      </c>
      <c r="O473" t="s">
        <v>103</v>
      </c>
      <c r="P473" t="s">
        <v>123</v>
      </c>
      <c r="Q473">
        <v>182</v>
      </c>
      <c r="R473">
        <v>40.64</v>
      </c>
      <c r="S473">
        <v>7396.48</v>
      </c>
      <c r="T473">
        <v>15.11</v>
      </c>
      <c r="U473">
        <v>11</v>
      </c>
      <c r="V473">
        <v>566</v>
      </c>
      <c r="W473" t="s">
        <v>36</v>
      </c>
      <c r="X473">
        <v>1078.57</v>
      </c>
    </row>
    <row r="474" spans="1:24" x14ac:dyDescent="0.25">
      <c r="A474" s="2">
        <v>100472</v>
      </c>
      <c r="B474" s="1">
        <v>45407</v>
      </c>
      <c r="C474" s="1">
        <v>45408</v>
      </c>
      <c r="D474" s="1">
        <v>45424</v>
      </c>
      <c r="E474" t="s">
        <v>1417</v>
      </c>
      <c r="F474" t="s">
        <v>25</v>
      </c>
      <c r="G474" t="s">
        <v>59</v>
      </c>
      <c r="H474" t="s">
        <v>1418</v>
      </c>
      <c r="I474" t="s">
        <v>230</v>
      </c>
      <c r="J474" t="s">
        <v>80</v>
      </c>
      <c r="K474" t="s">
        <v>1419</v>
      </c>
      <c r="L474" t="s">
        <v>122</v>
      </c>
      <c r="M474" t="s">
        <v>32</v>
      </c>
      <c r="N474" t="s">
        <v>45</v>
      </c>
      <c r="O474" t="s">
        <v>46</v>
      </c>
      <c r="P474" t="s">
        <v>76</v>
      </c>
      <c r="Q474">
        <v>425</v>
      </c>
      <c r="R474">
        <v>242.27</v>
      </c>
      <c r="S474">
        <v>102964.75</v>
      </c>
      <c r="T474">
        <v>15.76</v>
      </c>
      <c r="U474">
        <v>16</v>
      </c>
      <c r="V474">
        <v>2019</v>
      </c>
      <c r="W474" t="s">
        <v>188</v>
      </c>
      <c r="X474">
        <v>21466.47</v>
      </c>
    </row>
    <row r="475" spans="1:24" x14ac:dyDescent="0.25">
      <c r="A475" s="2">
        <v>100473</v>
      </c>
      <c r="B475" s="1">
        <v>45848</v>
      </c>
      <c r="C475" s="1">
        <v>45850</v>
      </c>
      <c r="D475" s="1">
        <v>45865</v>
      </c>
      <c r="E475" t="s">
        <v>1420</v>
      </c>
      <c r="F475" t="s">
        <v>25</v>
      </c>
      <c r="G475" t="s">
        <v>233</v>
      </c>
      <c r="H475" t="s">
        <v>1421</v>
      </c>
      <c r="I475" t="s">
        <v>72</v>
      </c>
      <c r="J475" t="s">
        <v>42</v>
      </c>
      <c r="K475" t="s">
        <v>587</v>
      </c>
      <c r="L475" t="s">
        <v>31</v>
      </c>
      <c r="M475" t="s">
        <v>32</v>
      </c>
      <c r="N475" t="s">
        <v>55</v>
      </c>
      <c r="O475" t="s">
        <v>56</v>
      </c>
      <c r="P475" t="s">
        <v>76</v>
      </c>
      <c r="Q475">
        <v>175</v>
      </c>
      <c r="R475">
        <v>375.1</v>
      </c>
      <c r="S475">
        <v>65642.5</v>
      </c>
      <c r="T475">
        <v>11.21</v>
      </c>
      <c r="U475">
        <v>15</v>
      </c>
      <c r="V475">
        <v>263</v>
      </c>
      <c r="W475" t="s">
        <v>36</v>
      </c>
      <c r="X475">
        <v>5596.36</v>
      </c>
    </row>
    <row r="476" spans="1:24" x14ac:dyDescent="0.25">
      <c r="A476" s="2">
        <v>100474</v>
      </c>
      <c r="B476" s="1">
        <v>45340</v>
      </c>
      <c r="C476" s="1">
        <v>45343</v>
      </c>
      <c r="D476" s="1">
        <v>45344</v>
      </c>
      <c r="E476" t="s">
        <v>1422</v>
      </c>
      <c r="F476" t="s">
        <v>65</v>
      </c>
      <c r="G476" t="s">
        <v>142</v>
      </c>
      <c r="H476" t="s">
        <v>1423</v>
      </c>
      <c r="I476" t="s">
        <v>41</v>
      </c>
      <c r="J476" t="s">
        <v>42</v>
      </c>
      <c r="K476" t="s">
        <v>1424</v>
      </c>
      <c r="L476" t="s">
        <v>91</v>
      </c>
      <c r="M476" t="s">
        <v>38</v>
      </c>
      <c r="N476" t="s">
        <v>203</v>
      </c>
      <c r="O476" t="s">
        <v>204</v>
      </c>
      <c r="P476" t="s">
        <v>68</v>
      </c>
      <c r="Q476">
        <v>175</v>
      </c>
      <c r="R476">
        <v>93.25</v>
      </c>
      <c r="S476">
        <v>16318.75</v>
      </c>
      <c r="T476">
        <v>39.85</v>
      </c>
      <c r="U476">
        <v>1</v>
      </c>
      <c r="V476">
        <v>1551</v>
      </c>
      <c r="W476" t="s">
        <v>36</v>
      </c>
      <c r="X476">
        <v>1943.13</v>
      </c>
    </row>
    <row r="477" spans="1:24" x14ac:dyDescent="0.25">
      <c r="A477" s="2">
        <v>100475</v>
      </c>
      <c r="B477" s="1">
        <v>45926</v>
      </c>
      <c r="C477" s="1">
        <v>45929</v>
      </c>
      <c r="D477" s="1">
        <v>45931</v>
      </c>
      <c r="E477" t="s">
        <v>1425</v>
      </c>
      <c r="F477" t="s">
        <v>65</v>
      </c>
      <c r="G477" t="s">
        <v>142</v>
      </c>
      <c r="H477" t="s">
        <v>1426</v>
      </c>
      <c r="I477" t="s">
        <v>416</v>
      </c>
      <c r="J477" t="s">
        <v>80</v>
      </c>
      <c r="K477" t="s">
        <v>219</v>
      </c>
      <c r="L477" t="s">
        <v>212</v>
      </c>
      <c r="M477" t="s">
        <v>38</v>
      </c>
      <c r="N477" t="s">
        <v>102</v>
      </c>
      <c r="O477" t="s">
        <v>103</v>
      </c>
      <c r="P477" t="s">
        <v>68</v>
      </c>
      <c r="Q477">
        <v>107</v>
      </c>
      <c r="R477">
        <v>311.91000000000003</v>
      </c>
      <c r="S477">
        <v>33374.370000000003</v>
      </c>
      <c r="T477">
        <v>35.450000000000003</v>
      </c>
      <c r="U477">
        <v>2</v>
      </c>
      <c r="V477">
        <v>1982</v>
      </c>
      <c r="W477" t="s">
        <v>36</v>
      </c>
      <c r="X477">
        <v>4539.3</v>
      </c>
    </row>
    <row r="478" spans="1:24" x14ac:dyDescent="0.25">
      <c r="A478" s="2">
        <v>100476</v>
      </c>
      <c r="B478" s="1">
        <v>45472</v>
      </c>
      <c r="C478" s="1">
        <v>45476</v>
      </c>
      <c r="D478" s="1">
        <v>45483</v>
      </c>
      <c r="E478" t="s">
        <v>1427</v>
      </c>
      <c r="F478" t="s">
        <v>25</v>
      </c>
      <c r="G478" t="s">
        <v>233</v>
      </c>
      <c r="H478" t="s">
        <v>1428</v>
      </c>
      <c r="I478" t="s">
        <v>191</v>
      </c>
      <c r="J478" t="s">
        <v>62</v>
      </c>
      <c r="K478" t="s">
        <v>1429</v>
      </c>
      <c r="L478" t="s">
        <v>212</v>
      </c>
      <c r="M478" t="s">
        <v>38</v>
      </c>
      <c r="N478" t="s">
        <v>55</v>
      </c>
      <c r="O478" t="s">
        <v>56</v>
      </c>
      <c r="P478" t="s">
        <v>123</v>
      </c>
      <c r="Q478">
        <v>420</v>
      </c>
      <c r="R478">
        <v>14.89</v>
      </c>
      <c r="S478">
        <v>6253.8</v>
      </c>
      <c r="T478">
        <v>20.9</v>
      </c>
      <c r="U478">
        <v>7</v>
      </c>
      <c r="V478">
        <v>1882</v>
      </c>
      <c r="W478" t="s">
        <v>36</v>
      </c>
      <c r="X478">
        <v>1058.43</v>
      </c>
    </row>
    <row r="479" spans="1:24" x14ac:dyDescent="0.25">
      <c r="A479" s="2">
        <v>100477</v>
      </c>
      <c r="B479" s="1">
        <v>45515</v>
      </c>
      <c r="C479" s="1">
        <v>45516</v>
      </c>
      <c r="D479" s="1">
        <v>45520</v>
      </c>
      <c r="E479" t="s">
        <v>1430</v>
      </c>
      <c r="F479" t="s">
        <v>25</v>
      </c>
      <c r="G479" t="s">
        <v>221</v>
      </c>
      <c r="H479" t="s">
        <v>1431</v>
      </c>
      <c r="I479" t="s">
        <v>139</v>
      </c>
      <c r="J479" t="s">
        <v>42</v>
      </c>
      <c r="K479" t="s">
        <v>1432</v>
      </c>
      <c r="L479" t="s">
        <v>118</v>
      </c>
      <c r="M479" t="s">
        <v>65</v>
      </c>
      <c r="N479" t="s">
        <v>203</v>
      </c>
      <c r="O479" t="s">
        <v>204</v>
      </c>
      <c r="P479" t="s">
        <v>35</v>
      </c>
      <c r="Q479">
        <v>48</v>
      </c>
      <c r="R479">
        <v>449.09</v>
      </c>
      <c r="S479">
        <v>21556.32</v>
      </c>
      <c r="T479">
        <v>13.83</v>
      </c>
      <c r="U479">
        <v>4</v>
      </c>
      <c r="V479">
        <v>1076</v>
      </c>
      <c r="W479" t="s">
        <v>36</v>
      </c>
      <c r="X479">
        <v>3685.04</v>
      </c>
    </row>
    <row r="480" spans="1:24" x14ac:dyDescent="0.25">
      <c r="A480" s="2">
        <v>100478</v>
      </c>
      <c r="B480" s="1">
        <v>45494</v>
      </c>
      <c r="C480" s="1">
        <v>45496</v>
      </c>
      <c r="D480" s="1">
        <v>45497</v>
      </c>
      <c r="E480" t="s">
        <v>1433</v>
      </c>
      <c r="F480" t="s">
        <v>54</v>
      </c>
      <c r="G480" t="s">
        <v>129</v>
      </c>
      <c r="H480" t="s">
        <v>1434</v>
      </c>
      <c r="I480" t="s">
        <v>144</v>
      </c>
      <c r="J480" t="s">
        <v>52</v>
      </c>
      <c r="K480" t="s">
        <v>1435</v>
      </c>
      <c r="L480" t="s">
        <v>113</v>
      </c>
      <c r="M480" t="s">
        <v>25</v>
      </c>
      <c r="N480" t="s">
        <v>66</v>
      </c>
      <c r="O480" t="s">
        <v>67</v>
      </c>
      <c r="P480" t="s">
        <v>68</v>
      </c>
      <c r="Q480">
        <v>75</v>
      </c>
      <c r="R480">
        <v>13.35</v>
      </c>
      <c r="S480">
        <v>1001.25</v>
      </c>
      <c r="T480">
        <v>33.369999999999997</v>
      </c>
      <c r="U480">
        <v>1</v>
      </c>
      <c r="V480">
        <v>4242</v>
      </c>
      <c r="W480" t="s">
        <v>36</v>
      </c>
      <c r="X480">
        <v>151.16999999999999</v>
      </c>
    </row>
    <row r="481" spans="1:24" x14ac:dyDescent="0.25">
      <c r="A481" s="2">
        <v>100479</v>
      </c>
      <c r="B481" s="1">
        <v>45582</v>
      </c>
      <c r="C481" s="1">
        <v>45585</v>
      </c>
      <c r="D481" s="1">
        <v>45586</v>
      </c>
      <c r="E481" t="s">
        <v>1436</v>
      </c>
      <c r="F481" t="s">
        <v>54</v>
      </c>
      <c r="G481" t="s">
        <v>193</v>
      </c>
      <c r="H481" t="s">
        <v>1437</v>
      </c>
      <c r="I481" t="s">
        <v>144</v>
      </c>
      <c r="J481" t="s">
        <v>52</v>
      </c>
      <c r="K481" t="s">
        <v>1438</v>
      </c>
      <c r="L481" t="s">
        <v>91</v>
      </c>
      <c r="M481" t="s">
        <v>25</v>
      </c>
      <c r="N481" t="s">
        <v>203</v>
      </c>
      <c r="O481" t="s">
        <v>204</v>
      </c>
      <c r="P481" t="s">
        <v>68</v>
      </c>
      <c r="Q481">
        <v>60</v>
      </c>
      <c r="R481">
        <v>15.96</v>
      </c>
      <c r="S481">
        <v>957.6</v>
      </c>
      <c r="T481">
        <v>32.4</v>
      </c>
      <c r="U481">
        <v>1</v>
      </c>
      <c r="V481">
        <v>4421</v>
      </c>
      <c r="W481" t="s">
        <v>36</v>
      </c>
      <c r="X481">
        <v>25.2</v>
      </c>
    </row>
    <row r="482" spans="1:24" x14ac:dyDescent="0.25">
      <c r="A482" s="2">
        <v>100480</v>
      </c>
      <c r="B482" s="1">
        <v>45479</v>
      </c>
      <c r="C482" s="1">
        <v>45484</v>
      </c>
      <c r="D482" s="1">
        <v>45489</v>
      </c>
      <c r="E482" t="s">
        <v>1439</v>
      </c>
      <c r="F482" t="s">
        <v>32</v>
      </c>
      <c r="G482" t="s">
        <v>364</v>
      </c>
      <c r="H482" t="s">
        <v>1440</v>
      </c>
      <c r="I482" t="s">
        <v>207</v>
      </c>
      <c r="J482" t="s">
        <v>80</v>
      </c>
      <c r="K482" t="s">
        <v>422</v>
      </c>
      <c r="L482" t="s">
        <v>64</v>
      </c>
      <c r="M482" t="s">
        <v>25</v>
      </c>
      <c r="N482" t="s">
        <v>74</v>
      </c>
      <c r="O482" t="s">
        <v>75</v>
      </c>
      <c r="P482" t="s">
        <v>68</v>
      </c>
      <c r="Q482">
        <v>94</v>
      </c>
      <c r="R482">
        <v>60.48</v>
      </c>
      <c r="S482">
        <v>5685.12</v>
      </c>
      <c r="T482">
        <v>34.6</v>
      </c>
      <c r="U482">
        <v>5</v>
      </c>
      <c r="V482">
        <v>738</v>
      </c>
      <c r="W482" t="s">
        <v>36</v>
      </c>
      <c r="X482">
        <v>1390.67</v>
      </c>
    </row>
    <row r="483" spans="1:24" x14ac:dyDescent="0.25">
      <c r="A483" s="2">
        <v>100481</v>
      </c>
      <c r="B483" s="1">
        <v>45637</v>
      </c>
      <c r="C483" s="1">
        <v>45642</v>
      </c>
      <c r="D483" s="1">
        <v>45652</v>
      </c>
      <c r="E483" t="s">
        <v>1441</v>
      </c>
      <c r="F483" t="s">
        <v>65</v>
      </c>
      <c r="G483" t="s">
        <v>154</v>
      </c>
      <c r="H483" t="s">
        <v>1442</v>
      </c>
      <c r="I483" t="s">
        <v>416</v>
      </c>
      <c r="J483" t="s">
        <v>80</v>
      </c>
      <c r="K483" t="s">
        <v>1443</v>
      </c>
      <c r="L483" t="s">
        <v>31</v>
      </c>
      <c r="M483" t="s">
        <v>32</v>
      </c>
      <c r="N483" t="s">
        <v>107</v>
      </c>
      <c r="O483" t="s">
        <v>108</v>
      </c>
      <c r="P483" t="s">
        <v>68</v>
      </c>
      <c r="Q483">
        <v>153</v>
      </c>
      <c r="R483">
        <v>225.28</v>
      </c>
      <c r="S483">
        <v>34467.839999999997</v>
      </c>
      <c r="T483">
        <v>38.43</v>
      </c>
      <c r="U483">
        <v>10</v>
      </c>
      <c r="V483">
        <v>997</v>
      </c>
      <c r="W483" t="s">
        <v>36</v>
      </c>
      <c r="X483">
        <v>9519.17</v>
      </c>
    </row>
    <row r="484" spans="1:24" x14ac:dyDescent="0.25">
      <c r="A484" s="2">
        <v>100482</v>
      </c>
      <c r="B484" s="1">
        <v>45729</v>
      </c>
      <c r="C484" s="1">
        <v>45731</v>
      </c>
      <c r="D484" s="1">
        <v>45740</v>
      </c>
      <c r="E484" t="s">
        <v>1444</v>
      </c>
      <c r="F484" t="s">
        <v>65</v>
      </c>
      <c r="G484" t="s">
        <v>154</v>
      </c>
      <c r="H484" t="s">
        <v>1445</v>
      </c>
      <c r="I484" t="s">
        <v>79</v>
      </c>
      <c r="J484" t="s">
        <v>80</v>
      </c>
      <c r="K484" t="s">
        <v>1446</v>
      </c>
      <c r="L484" t="s">
        <v>44</v>
      </c>
      <c r="M484" t="s">
        <v>32</v>
      </c>
      <c r="N484" t="s">
        <v>92</v>
      </c>
      <c r="O484" t="s">
        <v>93</v>
      </c>
      <c r="P484" t="s">
        <v>123</v>
      </c>
      <c r="Q484">
        <v>226</v>
      </c>
      <c r="R484">
        <v>311.91000000000003</v>
      </c>
      <c r="S484">
        <v>70491.66</v>
      </c>
      <c r="T484">
        <v>16.18</v>
      </c>
      <c r="U484">
        <v>9</v>
      </c>
      <c r="V484">
        <v>1682</v>
      </c>
      <c r="W484" t="s">
        <v>36</v>
      </c>
      <c r="X484">
        <v>9591.8799999999992</v>
      </c>
    </row>
    <row r="485" spans="1:24" x14ac:dyDescent="0.25">
      <c r="A485" s="2">
        <v>100483</v>
      </c>
      <c r="B485" s="1">
        <v>45739</v>
      </c>
      <c r="C485" s="1">
        <v>45742</v>
      </c>
      <c r="D485" s="1">
        <v>45759</v>
      </c>
      <c r="E485" t="s">
        <v>1447</v>
      </c>
      <c r="F485" t="s">
        <v>54</v>
      </c>
      <c r="G485" t="s">
        <v>129</v>
      </c>
      <c r="H485" t="s">
        <v>1448</v>
      </c>
      <c r="I485" t="s">
        <v>134</v>
      </c>
      <c r="J485" t="s">
        <v>52</v>
      </c>
      <c r="K485" t="s">
        <v>1231</v>
      </c>
      <c r="L485" t="s">
        <v>187</v>
      </c>
      <c r="M485" t="s">
        <v>38</v>
      </c>
      <c r="N485" t="s">
        <v>66</v>
      </c>
      <c r="O485" t="s">
        <v>67</v>
      </c>
      <c r="P485" t="s">
        <v>76</v>
      </c>
      <c r="Q485">
        <v>103</v>
      </c>
      <c r="R485">
        <v>70.05</v>
      </c>
      <c r="S485">
        <v>7215.15</v>
      </c>
      <c r="T485">
        <v>9.9</v>
      </c>
      <c r="U485">
        <v>17</v>
      </c>
      <c r="V485">
        <v>4075</v>
      </c>
      <c r="W485" t="s">
        <v>36</v>
      </c>
      <c r="X485">
        <v>548.63</v>
      </c>
    </row>
    <row r="486" spans="1:24" x14ac:dyDescent="0.25">
      <c r="A486" s="2">
        <v>100484</v>
      </c>
      <c r="B486" s="1">
        <v>45384</v>
      </c>
      <c r="C486" s="1">
        <v>45389</v>
      </c>
      <c r="D486" s="1">
        <v>45396</v>
      </c>
      <c r="E486" t="s">
        <v>1449</v>
      </c>
      <c r="F486" t="s">
        <v>65</v>
      </c>
      <c r="G486" t="s">
        <v>142</v>
      </c>
      <c r="H486" t="s">
        <v>1450</v>
      </c>
      <c r="I486" t="s">
        <v>51</v>
      </c>
      <c r="J486" t="s">
        <v>52</v>
      </c>
      <c r="K486" t="s">
        <v>53</v>
      </c>
      <c r="L486" t="s">
        <v>122</v>
      </c>
      <c r="M486" t="s">
        <v>38</v>
      </c>
      <c r="N486" t="s">
        <v>55</v>
      </c>
      <c r="O486" t="s">
        <v>56</v>
      </c>
      <c r="P486" t="s">
        <v>35</v>
      </c>
      <c r="Q486">
        <v>82</v>
      </c>
      <c r="R486">
        <v>31.29</v>
      </c>
      <c r="S486">
        <v>2565.7800000000002</v>
      </c>
      <c r="T486">
        <v>14.8</v>
      </c>
      <c r="U486">
        <v>7</v>
      </c>
      <c r="V486">
        <v>2196</v>
      </c>
      <c r="W486" t="s">
        <v>47</v>
      </c>
      <c r="X486">
        <v>-149.38</v>
      </c>
    </row>
    <row r="487" spans="1:24" x14ac:dyDescent="0.25">
      <c r="A487" s="2">
        <v>100485</v>
      </c>
      <c r="B487" s="1">
        <v>46018</v>
      </c>
      <c r="C487" s="1">
        <v>46022</v>
      </c>
      <c r="D487" s="1">
        <v>46028</v>
      </c>
      <c r="E487" t="s">
        <v>1451</v>
      </c>
      <c r="F487" t="s">
        <v>32</v>
      </c>
      <c r="G487" t="s">
        <v>273</v>
      </c>
      <c r="H487" t="s">
        <v>1452</v>
      </c>
      <c r="I487" t="s">
        <v>89</v>
      </c>
      <c r="J487" t="s">
        <v>62</v>
      </c>
      <c r="K487" t="s">
        <v>1453</v>
      </c>
      <c r="L487" t="s">
        <v>31</v>
      </c>
      <c r="M487" t="s">
        <v>25</v>
      </c>
      <c r="N487" t="s">
        <v>92</v>
      </c>
      <c r="O487" t="s">
        <v>93</v>
      </c>
      <c r="P487" t="s">
        <v>35</v>
      </c>
      <c r="Q487">
        <v>331</v>
      </c>
      <c r="R487">
        <v>35.43</v>
      </c>
      <c r="S487">
        <v>11727.33</v>
      </c>
      <c r="T487">
        <v>21.86</v>
      </c>
      <c r="U487">
        <v>6</v>
      </c>
      <c r="V487">
        <v>3270</v>
      </c>
      <c r="W487" t="s">
        <v>36</v>
      </c>
      <c r="X487">
        <v>845.18</v>
      </c>
    </row>
    <row r="488" spans="1:24" x14ac:dyDescent="0.25">
      <c r="A488" s="2">
        <v>100486</v>
      </c>
      <c r="B488" s="1">
        <v>45358</v>
      </c>
      <c r="C488" s="1">
        <v>45363</v>
      </c>
      <c r="D488" s="1">
        <v>45370</v>
      </c>
      <c r="E488" t="s">
        <v>1454</v>
      </c>
      <c r="F488" t="s">
        <v>65</v>
      </c>
      <c r="G488" t="s">
        <v>142</v>
      </c>
      <c r="H488" t="s">
        <v>1455</v>
      </c>
      <c r="I488" t="s">
        <v>238</v>
      </c>
      <c r="J488" t="s">
        <v>62</v>
      </c>
      <c r="K488" t="s">
        <v>1456</v>
      </c>
      <c r="L488" t="s">
        <v>64</v>
      </c>
      <c r="M488" t="s">
        <v>54</v>
      </c>
      <c r="N488" t="s">
        <v>102</v>
      </c>
      <c r="O488" t="s">
        <v>103</v>
      </c>
      <c r="P488" t="s">
        <v>35</v>
      </c>
      <c r="Q488">
        <v>302</v>
      </c>
      <c r="R488">
        <v>27.38</v>
      </c>
      <c r="S488">
        <v>8268.76</v>
      </c>
      <c r="T488">
        <v>21.04</v>
      </c>
      <c r="U488">
        <v>7</v>
      </c>
      <c r="V488">
        <v>4931</v>
      </c>
      <c r="W488" t="s">
        <v>36</v>
      </c>
      <c r="X488">
        <v>730.1</v>
      </c>
    </row>
    <row r="489" spans="1:24" x14ac:dyDescent="0.25">
      <c r="A489" s="2">
        <v>100487</v>
      </c>
      <c r="B489" s="1">
        <v>45919</v>
      </c>
      <c r="C489" s="1">
        <v>45923</v>
      </c>
      <c r="D489" s="1">
        <v>45935</v>
      </c>
      <c r="E489" t="s">
        <v>1457</v>
      </c>
      <c r="F489" t="s">
        <v>25</v>
      </c>
      <c r="G489" t="s">
        <v>26</v>
      </c>
      <c r="H489" t="s">
        <v>1458</v>
      </c>
      <c r="I489" t="s">
        <v>126</v>
      </c>
      <c r="J489" t="s">
        <v>42</v>
      </c>
      <c r="K489" t="s">
        <v>1459</v>
      </c>
      <c r="L489" t="s">
        <v>64</v>
      </c>
      <c r="M489" t="s">
        <v>54</v>
      </c>
      <c r="N489" t="s">
        <v>55</v>
      </c>
      <c r="O489" t="s">
        <v>56</v>
      </c>
      <c r="P489" t="s">
        <v>123</v>
      </c>
      <c r="Q489">
        <v>225</v>
      </c>
      <c r="R489">
        <v>151.80000000000001</v>
      </c>
      <c r="S489">
        <v>34155</v>
      </c>
      <c r="T489">
        <v>16.16</v>
      </c>
      <c r="U489">
        <v>12</v>
      </c>
      <c r="V489">
        <v>1565</v>
      </c>
      <c r="W489" t="s">
        <v>36</v>
      </c>
      <c r="X489">
        <v>2786.28</v>
      </c>
    </row>
    <row r="490" spans="1:24" x14ac:dyDescent="0.25">
      <c r="A490" s="2">
        <v>100488</v>
      </c>
      <c r="B490" s="1">
        <v>45827</v>
      </c>
      <c r="C490" s="1">
        <v>45830</v>
      </c>
      <c r="D490" s="1">
        <v>45837</v>
      </c>
      <c r="E490" t="s">
        <v>1460</v>
      </c>
      <c r="F490" t="s">
        <v>32</v>
      </c>
      <c r="G490" t="s">
        <v>180</v>
      </c>
      <c r="H490" t="s">
        <v>1461</v>
      </c>
      <c r="I490" t="s">
        <v>79</v>
      </c>
      <c r="J490" t="s">
        <v>80</v>
      </c>
      <c r="K490" t="s">
        <v>268</v>
      </c>
      <c r="L490" t="s">
        <v>118</v>
      </c>
      <c r="M490" t="s">
        <v>65</v>
      </c>
      <c r="N490" t="s">
        <v>74</v>
      </c>
      <c r="O490" t="s">
        <v>75</v>
      </c>
      <c r="P490" t="s">
        <v>123</v>
      </c>
      <c r="Q490">
        <v>491</v>
      </c>
      <c r="R490">
        <v>224.04</v>
      </c>
      <c r="S490">
        <v>110003.64</v>
      </c>
      <c r="T490">
        <v>22.62</v>
      </c>
      <c r="U490">
        <v>7</v>
      </c>
      <c r="V490">
        <v>1803</v>
      </c>
      <c r="W490" t="s">
        <v>36</v>
      </c>
      <c r="X490">
        <v>20314.349999999999</v>
      </c>
    </row>
    <row r="491" spans="1:24" x14ac:dyDescent="0.25">
      <c r="A491" s="2">
        <v>100489</v>
      </c>
      <c r="B491" s="1">
        <v>45773</v>
      </c>
      <c r="C491" s="1">
        <v>45773</v>
      </c>
      <c r="D491" s="1">
        <v>45796</v>
      </c>
      <c r="E491" t="s">
        <v>1462</v>
      </c>
      <c r="F491" t="s">
        <v>65</v>
      </c>
      <c r="G491" t="s">
        <v>142</v>
      </c>
      <c r="H491" t="s">
        <v>1463</v>
      </c>
      <c r="I491" t="s">
        <v>139</v>
      </c>
      <c r="J491" t="s">
        <v>42</v>
      </c>
      <c r="K491" t="s">
        <v>939</v>
      </c>
      <c r="L491" t="s">
        <v>187</v>
      </c>
      <c r="M491" t="s">
        <v>54</v>
      </c>
      <c r="N491" t="s">
        <v>151</v>
      </c>
      <c r="O491" t="s">
        <v>152</v>
      </c>
      <c r="P491" t="s">
        <v>76</v>
      </c>
      <c r="Q491">
        <v>366</v>
      </c>
      <c r="R491">
        <v>429.45</v>
      </c>
      <c r="S491">
        <v>157178.70000000001</v>
      </c>
      <c r="T491">
        <v>14.69</v>
      </c>
      <c r="U491">
        <v>23</v>
      </c>
      <c r="V491">
        <v>1075</v>
      </c>
      <c r="W491" t="s">
        <v>188</v>
      </c>
      <c r="X491">
        <v>16272.94</v>
      </c>
    </row>
    <row r="492" spans="1:24" x14ac:dyDescent="0.25">
      <c r="A492" s="2">
        <v>100490</v>
      </c>
      <c r="B492" s="1">
        <v>45789</v>
      </c>
      <c r="C492" s="1">
        <v>45793</v>
      </c>
      <c r="D492" s="1">
        <v>45806</v>
      </c>
      <c r="E492" t="s">
        <v>1464</v>
      </c>
      <c r="F492" t="s">
        <v>38</v>
      </c>
      <c r="G492" t="s">
        <v>49</v>
      </c>
      <c r="H492" t="s">
        <v>1465</v>
      </c>
      <c r="I492" t="s">
        <v>191</v>
      </c>
      <c r="J492" t="s">
        <v>62</v>
      </c>
      <c r="K492" t="s">
        <v>1466</v>
      </c>
      <c r="L492" t="s">
        <v>31</v>
      </c>
      <c r="M492" t="s">
        <v>65</v>
      </c>
      <c r="N492" t="s">
        <v>203</v>
      </c>
      <c r="O492" t="s">
        <v>204</v>
      </c>
      <c r="P492" t="s">
        <v>76</v>
      </c>
      <c r="Q492">
        <v>65</v>
      </c>
      <c r="R492">
        <v>8.1999999999999993</v>
      </c>
      <c r="S492">
        <v>533</v>
      </c>
      <c r="T492">
        <v>9.1999999999999993</v>
      </c>
      <c r="U492">
        <v>13</v>
      </c>
      <c r="V492">
        <v>2383</v>
      </c>
      <c r="W492" t="s">
        <v>36</v>
      </c>
      <c r="X492">
        <v>46.76</v>
      </c>
    </row>
    <row r="493" spans="1:24" x14ac:dyDescent="0.25">
      <c r="A493" s="2">
        <v>100491</v>
      </c>
      <c r="B493" s="1">
        <v>45931</v>
      </c>
      <c r="C493" s="1">
        <v>45933</v>
      </c>
      <c r="D493" s="1">
        <v>45940</v>
      </c>
      <c r="E493" t="s">
        <v>816</v>
      </c>
      <c r="F493" t="s">
        <v>25</v>
      </c>
      <c r="G493" t="s">
        <v>233</v>
      </c>
      <c r="H493" t="s">
        <v>1467</v>
      </c>
      <c r="I493" t="s">
        <v>191</v>
      </c>
      <c r="J493" t="s">
        <v>62</v>
      </c>
      <c r="K493" t="s">
        <v>1468</v>
      </c>
      <c r="L493" t="s">
        <v>212</v>
      </c>
      <c r="M493" t="s">
        <v>25</v>
      </c>
      <c r="N493" t="s">
        <v>45</v>
      </c>
      <c r="O493" t="s">
        <v>46</v>
      </c>
      <c r="P493" t="s">
        <v>35</v>
      </c>
      <c r="Q493">
        <v>190</v>
      </c>
      <c r="R493">
        <v>29.52</v>
      </c>
      <c r="S493">
        <v>5608.8</v>
      </c>
      <c r="T493">
        <v>13.23</v>
      </c>
      <c r="U493">
        <v>7</v>
      </c>
      <c r="V493">
        <v>2415</v>
      </c>
      <c r="W493" t="s">
        <v>36</v>
      </c>
      <c r="X493">
        <v>525.37</v>
      </c>
    </row>
    <row r="494" spans="1:24" x14ac:dyDescent="0.25">
      <c r="A494" s="2">
        <v>100492</v>
      </c>
      <c r="B494" s="1">
        <v>45825</v>
      </c>
      <c r="C494" s="1">
        <v>45826</v>
      </c>
      <c r="D494" s="1">
        <v>45831</v>
      </c>
      <c r="E494" t="s">
        <v>1469</v>
      </c>
      <c r="F494" t="s">
        <v>38</v>
      </c>
      <c r="G494" t="s">
        <v>83</v>
      </c>
      <c r="H494" t="s">
        <v>1470</v>
      </c>
      <c r="I494" t="s">
        <v>177</v>
      </c>
      <c r="J494" t="s">
        <v>29</v>
      </c>
      <c r="K494" t="s">
        <v>1471</v>
      </c>
      <c r="L494" t="s">
        <v>91</v>
      </c>
      <c r="M494" t="s">
        <v>65</v>
      </c>
      <c r="N494" t="s">
        <v>92</v>
      </c>
      <c r="O494" t="s">
        <v>93</v>
      </c>
      <c r="P494" t="s">
        <v>68</v>
      </c>
      <c r="Q494">
        <v>48</v>
      </c>
      <c r="R494">
        <v>21.3</v>
      </c>
      <c r="S494">
        <v>1022.4</v>
      </c>
      <c r="T494">
        <v>31.62</v>
      </c>
      <c r="U494">
        <v>5</v>
      </c>
      <c r="V494">
        <v>751</v>
      </c>
      <c r="W494" t="s">
        <v>36</v>
      </c>
      <c r="X494">
        <v>187.07</v>
      </c>
    </row>
    <row r="495" spans="1:24" x14ac:dyDescent="0.25">
      <c r="A495" s="2">
        <v>100493</v>
      </c>
      <c r="B495" s="1">
        <v>45852</v>
      </c>
      <c r="C495" s="1">
        <v>45856</v>
      </c>
      <c r="D495" s="1">
        <v>45858</v>
      </c>
      <c r="E495" t="s">
        <v>1472</v>
      </c>
      <c r="F495" t="s">
        <v>32</v>
      </c>
      <c r="G495" t="s">
        <v>137</v>
      </c>
      <c r="H495" t="s">
        <v>1473</v>
      </c>
      <c r="I495" t="s">
        <v>368</v>
      </c>
      <c r="J495" t="s">
        <v>29</v>
      </c>
      <c r="K495" t="s">
        <v>1474</v>
      </c>
      <c r="L495" t="s">
        <v>212</v>
      </c>
      <c r="M495" t="s">
        <v>54</v>
      </c>
      <c r="N495" t="s">
        <v>55</v>
      </c>
      <c r="O495" t="s">
        <v>56</v>
      </c>
      <c r="P495" t="s">
        <v>68</v>
      </c>
      <c r="Q495">
        <v>362</v>
      </c>
      <c r="R495">
        <v>118.42</v>
      </c>
      <c r="S495">
        <v>42868.04</v>
      </c>
      <c r="T495">
        <v>51.97</v>
      </c>
      <c r="U495">
        <v>2</v>
      </c>
      <c r="V495">
        <v>3068</v>
      </c>
      <c r="W495" t="s">
        <v>36</v>
      </c>
      <c r="X495">
        <v>11839.99</v>
      </c>
    </row>
    <row r="496" spans="1:24" x14ac:dyDescent="0.25">
      <c r="A496" s="2">
        <v>100494</v>
      </c>
      <c r="B496" s="1">
        <v>45588</v>
      </c>
      <c r="C496" s="1">
        <v>45590</v>
      </c>
      <c r="D496" s="1">
        <v>45596</v>
      </c>
      <c r="E496" t="s">
        <v>1475</v>
      </c>
      <c r="F496" t="s">
        <v>25</v>
      </c>
      <c r="G496" t="s">
        <v>221</v>
      </c>
      <c r="H496" t="s">
        <v>1476</v>
      </c>
      <c r="I496" t="s">
        <v>368</v>
      </c>
      <c r="J496" t="s">
        <v>29</v>
      </c>
      <c r="K496" t="s">
        <v>951</v>
      </c>
      <c r="L496" t="s">
        <v>212</v>
      </c>
      <c r="M496" t="s">
        <v>38</v>
      </c>
      <c r="N496" t="s">
        <v>107</v>
      </c>
      <c r="O496" t="s">
        <v>108</v>
      </c>
      <c r="P496" t="s">
        <v>35</v>
      </c>
      <c r="Q496">
        <v>400</v>
      </c>
      <c r="R496">
        <v>33.950000000000003</v>
      </c>
      <c r="S496">
        <v>13580</v>
      </c>
      <c r="T496">
        <v>23.81</v>
      </c>
      <c r="U496">
        <v>6</v>
      </c>
      <c r="V496">
        <v>1185</v>
      </c>
      <c r="W496" t="s">
        <v>36</v>
      </c>
      <c r="X496">
        <v>3876.85</v>
      </c>
    </row>
    <row r="497" spans="1:24" x14ac:dyDescent="0.25">
      <c r="A497" s="2">
        <v>100495</v>
      </c>
      <c r="B497" s="1">
        <v>45360</v>
      </c>
      <c r="C497" s="1">
        <v>45364</v>
      </c>
      <c r="D497" s="1">
        <v>45366</v>
      </c>
      <c r="E497" t="s">
        <v>1477</v>
      </c>
      <c r="F497" t="s">
        <v>25</v>
      </c>
      <c r="G497" t="s">
        <v>233</v>
      </c>
      <c r="H497" t="s">
        <v>1478</v>
      </c>
      <c r="I497" t="s">
        <v>139</v>
      </c>
      <c r="J497" t="s">
        <v>42</v>
      </c>
      <c r="K497" t="s">
        <v>135</v>
      </c>
      <c r="L497" t="s">
        <v>98</v>
      </c>
      <c r="M497" t="s">
        <v>65</v>
      </c>
      <c r="N497" t="s">
        <v>107</v>
      </c>
      <c r="O497" t="s">
        <v>108</v>
      </c>
      <c r="P497" t="s">
        <v>68</v>
      </c>
      <c r="Q497">
        <v>71</v>
      </c>
      <c r="R497">
        <v>415.76</v>
      </c>
      <c r="S497">
        <v>29518.959999999999</v>
      </c>
      <c r="T497">
        <v>33.11</v>
      </c>
      <c r="U497">
        <v>2</v>
      </c>
      <c r="V497">
        <v>1187</v>
      </c>
      <c r="W497" t="s">
        <v>36</v>
      </c>
      <c r="X497">
        <v>3391.13</v>
      </c>
    </row>
    <row r="498" spans="1:24" x14ac:dyDescent="0.25">
      <c r="A498" s="2">
        <v>100496</v>
      </c>
      <c r="B498" s="1">
        <v>45448</v>
      </c>
      <c r="C498" s="1">
        <v>45452</v>
      </c>
      <c r="D498" s="1">
        <v>45456</v>
      </c>
      <c r="E498" t="s">
        <v>1479</v>
      </c>
      <c r="F498" t="s">
        <v>65</v>
      </c>
      <c r="G498" t="s">
        <v>70</v>
      </c>
      <c r="H498" t="s">
        <v>1480</v>
      </c>
      <c r="I498" t="s">
        <v>116</v>
      </c>
      <c r="J498" t="s">
        <v>62</v>
      </c>
      <c r="K498" t="s">
        <v>156</v>
      </c>
      <c r="L498" t="s">
        <v>31</v>
      </c>
      <c r="M498" t="s">
        <v>25</v>
      </c>
      <c r="N498" t="s">
        <v>55</v>
      </c>
      <c r="O498" t="s">
        <v>56</v>
      </c>
      <c r="P498" t="s">
        <v>68</v>
      </c>
      <c r="Q498">
        <v>240</v>
      </c>
      <c r="R498">
        <v>15.58</v>
      </c>
      <c r="S498">
        <v>3739.2</v>
      </c>
      <c r="T498">
        <v>44.06</v>
      </c>
      <c r="U498">
        <v>4</v>
      </c>
      <c r="V498">
        <v>1593</v>
      </c>
      <c r="W498" t="s">
        <v>36</v>
      </c>
      <c r="X498">
        <v>35.6</v>
      </c>
    </row>
    <row r="499" spans="1:24" x14ac:dyDescent="0.25">
      <c r="A499" s="2">
        <v>100497</v>
      </c>
      <c r="B499" s="1">
        <v>45546</v>
      </c>
      <c r="C499" s="1">
        <v>45549</v>
      </c>
      <c r="D499" s="1">
        <v>45564</v>
      </c>
      <c r="E499" t="s">
        <v>1481</v>
      </c>
      <c r="F499" t="s">
        <v>65</v>
      </c>
      <c r="G499" t="s">
        <v>142</v>
      </c>
      <c r="H499" t="s">
        <v>1482</v>
      </c>
      <c r="I499" t="s">
        <v>89</v>
      </c>
      <c r="J499" t="s">
        <v>62</v>
      </c>
      <c r="K499" t="s">
        <v>1483</v>
      </c>
      <c r="L499" t="s">
        <v>113</v>
      </c>
      <c r="M499" t="s">
        <v>65</v>
      </c>
      <c r="N499" t="s">
        <v>107</v>
      </c>
      <c r="O499" t="s">
        <v>108</v>
      </c>
      <c r="P499" t="s">
        <v>123</v>
      </c>
      <c r="Q499">
        <v>384</v>
      </c>
      <c r="R499">
        <v>34.83</v>
      </c>
      <c r="S499">
        <v>13374.72</v>
      </c>
      <c r="T499">
        <v>14.83</v>
      </c>
      <c r="U499">
        <v>15</v>
      </c>
      <c r="V499">
        <v>1415</v>
      </c>
      <c r="W499" t="s">
        <v>188</v>
      </c>
      <c r="X499">
        <v>799.89</v>
      </c>
    </row>
    <row r="500" spans="1:24" x14ac:dyDescent="0.25">
      <c r="A500" s="2">
        <v>100498</v>
      </c>
      <c r="B500" s="1">
        <v>45665</v>
      </c>
      <c r="C500" s="1">
        <v>45669</v>
      </c>
      <c r="D500" s="1">
        <v>45683</v>
      </c>
      <c r="E500" t="s">
        <v>1484</v>
      </c>
      <c r="F500" t="s">
        <v>54</v>
      </c>
      <c r="G500" t="s">
        <v>129</v>
      </c>
      <c r="H500" t="s">
        <v>1485</v>
      </c>
      <c r="I500" t="s">
        <v>149</v>
      </c>
      <c r="J500" t="s">
        <v>42</v>
      </c>
      <c r="K500" t="s">
        <v>1486</v>
      </c>
      <c r="L500" t="s">
        <v>212</v>
      </c>
      <c r="M500" t="s">
        <v>32</v>
      </c>
      <c r="N500" t="s">
        <v>74</v>
      </c>
      <c r="O500" t="s">
        <v>75</v>
      </c>
      <c r="P500" t="s">
        <v>123</v>
      </c>
      <c r="Q500">
        <v>38</v>
      </c>
      <c r="R500">
        <v>378.22</v>
      </c>
      <c r="S500">
        <v>14372.36</v>
      </c>
      <c r="T500">
        <v>11.62</v>
      </c>
      <c r="U500">
        <v>14</v>
      </c>
      <c r="V500">
        <v>746</v>
      </c>
      <c r="W500" t="s">
        <v>188</v>
      </c>
      <c r="X500">
        <v>1324.35</v>
      </c>
    </row>
    <row r="501" spans="1:24" x14ac:dyDescent="0.25">
      <c r="A501" s="2">
        <v>100499</v>
      </c>
      <c r="B501" s="1">
        <v>45806</v>
      </c>
      <c r="C501" s="1">
        <v>45811</v>
      </c>
      <c r="D501" s="1">
        <v>45824</v>
      </c>
      <c r="E501" t="s">
        <v>1487</v>
      </c>
      <c r="F501" t="s">
        <v>38</v>
      </c>
      <c r="G501" t="s">
        <v>39</v>
      </c>
      <c r="H501" t="s">
        <v>1488</v>
      </c>
      <c r="I501" t="s">
        <v>368</v>
      </c>
      <c r="J501" t="s">
        <v>29</v>
      </c>
      <c r="K501" t="s">
        <v>1489</v>
      </c>
      <c r="L501" t="s">
        <v>98</v>
      </c>
      <c r="M501" t="s">
        <v>32</v>
      </c>
      <c r="N501" t="s">
        <v>102</v>
      </c>
      <c r="O501" t="s">
        <v>103</v>
      </c>
      <c r="P501" t="s">
        <v>76</v>
      </c>
      <c r="Q501">
        <v>172</v>
      </c>
      <c r="R501">
        <v>100.29</v>
      </c>
      <c r="S501">
        <v>17249.88</v>
      </c>
      <c r="T501">
        <v>11.15</v>
      </c>
      <c r="U501">
        <v>13</v>
      </c>
      <c r="V501">
        <v>1566</v>
      </c>
      <c r="W501" t="s">
        <v>47</v>
      </c>
      <c r="X501">
        <v>-184.59</v>
      </c>
    </row>
    <row r="502" spans="1:24" x14ac:dyDescent="0.25">
      <c r="A502" s="2">
        <v>100500</v>
      </c>
      <c r="B502" s="1">
        <v>45338</v>
      </c>
      <c r="C502" s="1">
        <v>45339</v>
      </c>
      <c r="D502" s="1">
        <v>45364</v>
      </c>
      <c r="E502" t="s">
        <v>1490</v>
      </c>
      <c r="F502" t="s">
        <v>65</v>
      </c>
      <c r="G502" t="s">
        <v>70</v>
      </c>
      <c r="H502" t="s">
        <v>1491</v>
      </c>
      <c r="I502" t="s">
        <v>230</v>
      </c>
      <c r="J502" t="s">
        <v>80</v>
      </c>
      <c r="K502" t="s">
        <v>1492</v>
      </c>
      <c r="L502" t="s">
        <v>98</v>
      </c>
      <c r="M502" t="s">
        <v>38</v>
      </c>
      <c r="N502" t="s">
        <v>66</v>
      </c>
      <c r="O502" t="s">
        <v>67</v>
      </c>
      <c r="P502" t="s">
        <v>76</v>
      </c>
      <c r="Q502">
        <v>115</v>
      </c>
      <c r="R502">
        <v>259.66000000000003</v>
      </c>
      <c r="S502">
        <v>29860.9</v>
      </c>
      <c r="T502">
        <v>10.11</v>
      </c>
      <c r="U502">
        <v>25</v>
      </c>
      <c r="V502">
        <v>817</v>
      </c>
      <c r="W502" t="s">
        <v>36</v>
      </c>
      <c r="X502">
        <v>7170.11</v>
      </c>
    </row>
    <row r="503" spans="1:24" x14ac:dyDescent="0.25">
      <c r="A503" s="2">
        <v>100501</v>
      </c>
      <c r="B503" s="1">
        <v>45745</v>
      </c>
      <c r="C503" s="1">
        <v>45750</v>
      </c>
      <c r="D503" s="1">
        <v>45753</v>
      </c>
      <c r="E503" t="s">
        <v>1493</v>
      </c>
      <c r="F503" t="s">
        <v>25</v>
      </c>
      <c r="G503" t="s">
        <v>244</v>
      </c>
      <c r="H503" t="s">
        <v>1494</v>
      </c>
      <c r="I503" t="s">
        <v>28</v>
      </c>
      <c r="J503" t="s">
        <v>29</v>
      </c>
      <c r="K503" t="s">
        <v>1495</v>
      </c>
      <c r="L503" t="s">
        <v>98</v>
      </c>
      <c r="M503" t="s">
        <v>54</v>
      </c>
      <c r="N503" t="s">
        <v>74</v>
      </c>
      <c r="O503" t="s">
        <v>75</v>
      </c>
      <c r="P503" t="s">
        <v>68</v>
      </c>
      <c r="Q503">
        <v>417</v>
      </c>
      <c r="R503">
        <v>57.53</v>
      </c>
      <c r="S503">
        <v>23990.01</v>
      </c>
      <c r="T503">
        <v>55.53</v>
      </c>
      <c r="U503">
        <v>3</v>
      </c>
      <c r="V503">
        <v>960</v>
      </c>
      <c r="W503" t="s">
        <v>36</v>
      </c>
      <c r="X503">
        <v>6247.17</v>
      </c>
    </row>
    <row r="504" spans="1:24" x14ac:dyDescent="0.25">
      <c r="A504" s="2">
        <v>100502</v>
      </c>
      <c r="B504" s="1">
        <v>45814</v>
      </c>
      <c r="C504" s="1">
        <v>45815</v>
      </c>
      <c r="D504" s="1">
        <v>45817</v>
      </c>
      <c r="E504" t="s">
        <v>1496</v>
      </c>
      <c r="F504" t="s">
        <v>65</v>
      </c>
      <c r="G504" t="s">
        <v>142</v>
      </c>
      <c r="H504" t="s">
        <v>1497</v>
      </c>
      <c r="I504" t="s">
        <v>177</v>
      </c>
      <c r="J504" t="s">
        <v>29</v>
      </c>
      <c r="K504" t="s">
        <v>1498</v>
      </c>
      <c r="L504" t="s">
        <v>44</v>
      </c>
      <c r="M504" t="s">
        <v>54</v>
      </c>
      <c r="N504" t="s">
        <v>151</v>
      </c>
      <c r="O504" t="s">
        <v>152</v>
      </c>
      <c r="P504" t="s">
        <v>68</v>
      </c>
      <c r="Q504">
        <v>287</v>
      </c>
      <c r="R504">
        <v>40.49</v>
      </c>
      <c r="S504">
        <v>11620.63</v>
      </c>
      <c r="T504">
        <v>47.11</v>
      </c>
      <c r="U504">
        <v>2</v>
      </c>
      <c r="V504">
        <v>2163</v>
      </c>
      <c r="W504" t="s">
        <v>36</v>
      </c>
      <c r="X504">
        <v>2825.59</v>
      </c>
    </row>
    <row r="505" spans="1:24" x14ac:dyDescent="0.25">
      <c r="A505" s="2">
        <v>100503</v>
      </c>
      <c r="B505" s="1">
        <v>45555</v>
      </c>
      <c r="C505" s="1">
        <v>45556</v>
      </c>
      <c r="D505" s="1">
        <v>45566</v>
      </c>
      <c r="E505" t="s">
        <v>1499</v>
      </c>
      <c r="F505" t="s">
        <v>54</v>
      </c>
      <c r="G505" t="s">
        <v>193</v>
      </c>
      <c r="H505" t="s">
        <v>1500</v>
      </c>
      <c r="I505" t="s">
        <v>198</v>
      </c>
      <c r="J505" t="s">
        <v>52</v>
      </c>
      <c r="K505" t="s">
        <v>1501</v>
      </c>
      <c r="L505" t="s">
        <v>91</v>
      </c>
      <c r="M505" t="s">
        <v>38</v>
      </c>
      <c r="N505" t="s">
        <v>107</v>
      </c>
      <c r="O505" t="s">
        <v>108</v>
      </c>
      <c r="P505" t="s">
        <v>35</v>
      </c>
      <c r="Q505">
        <v>290</v>
      </c>
      <c r="R505">
        <v>62.48</v>
      </c>
      <c r="S505">
        <v>18119.2</v>
      </c>
      <c r="T505">
        <v>20.7</v>
      </c>
      <c r="U505">
        <v>10</v>
      </c>
      <c r="V505">
        <v>4167</v>
      </c>
      <c r="W505" t="s">
        <v>57</v>
      </c>
      <c r="X505">
        <v>1294.69</v>
      </c>
    </row>
    <row r="506" spans="1:24" x14ac:dyDescent="0.25">
      <c r="A506" s="2">
        <v>100504</v>
      </c>
      <c r="B506" s="1">
        <v>45993</v>
      </c>
      <c r="C506" s="1">
        <v>45995</v>
      </c>
      <c r="D506" s="1">
        <v>46005</v>
      </c>
      <c r="E506" t="s">
        <v>1502</v>
      </c>
      <c r="F506" t="s">
        <v>25</v>
      </c>
      <c r="G506" t="s">
        <v>59</v>
      </c>
      <c r="H506" t="s">
        <v>1503</v>
      </c>
      <c r="I506" t="s">
        <v>191</v>
      </c>
      <c r="J506" t="s">
        <v>62</v>
      </c>
      <c r="K506" t="s">
        <v>1504</v>
      </c>
      <c r="L506" t="s">
        <v>31</v>
      </c>
      <c r="M506" t="s">
        <v>65</v>
      </c>
      <c r="N506" t="s">
        <v>203</v>
      </c>
      <c r="O506" t="s">
        <v>204</v>
      </c>
      <c r="P506" t="s">
        <v>123</v>
      </c>
      <c r="Q506">
        <v>476</v>
      </c>
      <c r="R506">
        <v>17.11</v>
      </c>
      <c r="S506">
        <v>8144.36</v>
      </c>
      <c r="T506">
        <v>22.26</v>
      </c>
      <c r="U506">
        <v>10</v>
      </c>
      <c r="V506">
        <v>827</v>
      </c>
      <c r="W506" t="s">
        <v>36</v>
      </c>
      <c r="X506">
        <v>608.11</v>
      </c>
    </row>
    <row r="507" spans="1:24" x14ac:dyDescent="0.25">
      <c r="A507" s="2">
        <v>100505</v>
      </c>
      <c r="B507" s="1">
        <v>45980</v>
      </c>
      <c r="C507" s="1">
        <v>45981</v>
      </c>
      <c r="D507" s="1">
        <v>45989</v>
      </c>
      <c r="E507" t="s">
        <v>757</v>
      </c>
      <c r="F507" t="s">
        <v>32</v>
      </c>
      <c r="G507" t="s">
        <v>95</v>
      </c>
      <c r="H507" t="s">
        <v>1505</v>
      </c>
      <c r="I507" t="s">
        <v>89</v>
      </c>
      <c r="J507" t="s">
        <v>62</v>
      </c>
      <c r="K507" t="s">
        <v>1506</v>
      </c>
      <c r="L507" t="s">
        <v>113</v>
      </c>
      <c r="M507" t="s">
        <v>65</v>
      </c>
      <c r="N507" t="s">
        <v>66</v>
      </c>
      <c r="O507" t="s">
        <v>67</v>
      </c>
      <c r="P507" t="s">
        <v>123</v>
      </c>
      <c r="Q507">
        <v>27</v>
      </c>
      <c r="R507">
        <v>14.19</v>
      </c>
      <c r="S507">
        <v>383.13</v>
      </c>
      <c r="T507">
        <v>11.35</v>
      </c>
      <c r="U507">
        <v>8</v>
      </c>
      <c r="V507">
        <v>1097</v>
      </c>
      <c r="W507" t="s">
        <v>36</v>
      </c>
      <c r="X507">
        <v>33.08</v>
      </c>
    </row>
    <row r="508" spans="1:24" x14ac:dyDescent="0.25">
      <c r="A508" s="2">
        <v>100506</v>
      </c>
      <c r="B508" s="1">
        <v>45713</v>
      </c>
      <c r="C508" s="1">
        <v>45714</v>
      </c>
      <c r="D508" s="1">
        <v>45715</v>
      </c>
      <c r="E508" t="s">
        <v>1507</v>
      </c>
      <c r="F508" t="s">
        <v>25</v>
      </c>
      <c r="G508" t="s">
        <v>172</v>
      </c>
      <c r="H508" t="s">
        <v>1508</v>
      </c>
      <c r="I508" t="s">
        <v>207</v>
      </c>
      <c r="J508" t="s">
        <v>80</v>
      </c>
      <c r="K508" t="s">
        <v>1509</v>
      </c>
      <c r="L508" t="s">
        <v>31</v>
      </c>
      <c r="M508" t="s">
        <v>32</v>
      </c>
      <c r="N508" t="s">
        <v>55</v>
      </c>
      <c r="O508" t="s">
        <v>56</v>
      </c>
      <c r="P508" t="s">
        <v>68</v>
      </c>
      <c r="Q508">
        <v>155</v>
      </c>
      <c r="R508">
        <v>221.73</v>
      </c>
      <c r="S508">
        <v>34368.15</v>
      </c>
      <c r="T508">
        <v>38.56</v>
      </c>
      <c r="U508">
        <v>1</v>
      </c>
      <c r="V508">
        <v>1145</v>
      </c>
      <c r="W508" t="s">
        <v>36</v>
      </c>
      <c r="X508">
        <v>4534.7700000000004</v>
      </c>
    </row>
    <row r="509" spans="1:24" x14ac:dyDescent="0.25">
      <c r="A509" s="2">
        <v>100507</v>
      </c>
      <c r="B509" s="1">
        <v>45477</v>
      </c>
      <c r="C509" s="1">
        <v>45482</v>
      </c>
      <c r="D509" s="1">
        <v>45505</v>
      </c>
      <c r="E509" t="s">
        <v>1510</v>
      </c>
      <c r="F509" t="s">
        <v>54</v>
      </c>
      <c r="G509" t="s">
        <v>158</v>
      </c>
      <c r="H509" t="s">
        <v>1511</v>
      </c>
      <c r="I509" t="s">
        <v>116</v>
      </c>
      <c r="J509" t="s">
        <v>62</v>
      </c>
      <c r="K509" t="s">
        <v>1512</v>
      </c>
      <c r="L509" t="s">
        <v>91</v>
      </c>
      <c r="M509" t="s">
        <v>54</v>
      </c>
      <c r="N509" t="s">
        <v>203</v>
      </c>
      <c r="O509" t="s">
        <v>204</v>
      </c>
      <c r="P509" t="s">
        <v>76</v>
      </c>
      <c r="Q509">
        <v>108</v>
      </c>
      <c r="R509">
        <v>33.67</v>
      </c>
      <c r="S509">
        <v>3636.36</v>
      </c>
      <c r="T509">
        <v>7.4</v>
      </c>
      <c r="U509">
        <v>23</v>
      </c>
      <c r="V509">
        <v>1243</v>
      </c>
      <c r="W509" t="s">
        <v>57</v>
      </c>
      <c r="X509">
        <v>468.91</v>
      </c>
    </row>
    <row r="510" spans="1:24" x14ac:dyDescent="0.25">
      <c r="A510" s="2">
        <v>100508</v>
      </c>
      <c r="B510" s="1">
        <v>45792</v>
      </c>
      <c r="C510" s="1">
        <v>45794</v>
      </c>
      <c r="D510" s="1">
        <v>45806</v>
      </c>
      <c r="E510" t="s">
        <v>1513</v>
      </c>
      <c r="F510" t="s">
        <v>54</v>
      </c>
      <c r="G510" t="s">
        <v>129</v>
      </c>
      <c r="H510" t="s">
        <v>1514</v>
      </c>
      <c r="I510" t="s">
        <v>41</v>
      </c>
      <c r="J510" t="s">
        <v>42</v>
      </c>
      <c r="K510" t="s">
        <v>1327</v>
      </c>
      <c r="L510" t="s">
        <v>118</v>
      </c>
      <c r="M510" t="s">
        <v>32</v>
      </c>
      <c r="N510" t="s">
        <v>74</v>
      </c>
      <c r="O510" t="s">
        <v>75</v>
      </c>
      <c r="P510" t="s">
        <v>123</v>
      </c>
      <c r="Q510">
        <v>60</v>
      </c>
      <c r="R510">
        <v>423.71</v>
      </c>
      <c r="S510">
        <v>25422.6</v>
      </c>
      <c r="T510">
        <v>12.15</v>
      </c>
      <c r="U510">
        <v>12</v>
      </c>
      <c r="V510">
        <v>852</v>
      </c>
      <c r="W510" t="s">
        <v>57</v>
      </c>
      <c r="X510">
        <v>5525.93</v>
      </c>
    </row>
    <row r="511" spans="1:24" x14ac:dyDescent="0.25">
      <c r="A511" s="2">
        <v>100509</v>
      </c>
      <c r="B511" s="1">
        <v>45723</v>
      </c>
      <c r="C511" s="1">
        <v>45723</v>
      </c>
      <c r="D511" s="1">
        <v>45729</v>
      </c>
      <c r="E511" t="s">
        <v>1515</v>
      </c>
      <c r="F511" t="s">
        <v>65</v>
      </c>
      <c r="G511" t="s">
        <v>142</v>
      </c>
      <c r="H511" t="s">
        <v>1516</v>
      </c>
      <c r="I511" t="s">
        <v>89</v>
      </c>
      <c r="J511" t="s">
        <v>62</v>
      </c>
      <c r="K511" t="s">
        <v>1517</v>
      </c>
      <c r="L511" t="s">
        <v>187</v>
      </c>
      <c r="M511" t="s">
        <v>32</v>
      </c>
      <c r="N511" t="s">
        <v>45</v>
      </c>
      <c r="O511" t="s">
        <v>46</v>
      </c>
      <c r="P511" t="s">
        <v>35</v>
      </c>
      <c r="Q511">
        <v>148</v>
      </c>
      <c r="R511">
        <v>18.02</v>
      </c>
      <c r="S511">
        <v>2666.96</v>
      </c>
      <c r="T511">
        <v>16.670000000000002</v>
      </c>
      <c r="U511">
        <v>6</v>
      </c>
      <c r="V511">
        <v>1264</v>
      </c>
      <c r="W511" t="s">
        <v>57</v>
      </c>
      <c r="X511">
        <v>259.76</v>
      </c>
    </row>
    <row r="512" spans="1:24" x14ac:dyDescent="0.25">
      <c r="A512" s="2">
        <v>100510</v>
      </c>
      <c r="B512" s="1">
        <v>45588</v>
      </c>
      <c r="C512" s="1">
        <v>45589</v>
      </c>
      <c r="D512" s="1">
        <v>45594</v>
      </c>
      <c r="E512" t="s">
        <v>1518</v>
      </c>
      <c r="F512" t="s">
        <v>65</v>
      </c>
      <c r="G512" t="s">
        <v>70</v>
      </c>
      <c r="H512" t="s">
        <v>1519</v>
      </c>
      <c r="I512" t="s">
        <v>72</v>
      </c>
      <c r="J512" t="s">
        <v>42</v>
      </c>
      <c r="K512" t="s">
        <v>772</v>
      </c>
      <c r="L512" t="s">
        <v>118</v>
      </c>
      <c r="M512" t="s">
        <v>38</v>
      </c>
      <c r="N512" t="s">
        <v>107</v>
      </c>
      <c r="O512" t="s">
        <v>108</v>
      </c>
      <c r="P512" t="s">
        <v>68</v>
      </c>
      <c r="Q512">
        <v>148</v>
      </c>
      <c r="R512">
        <v>327.04000000000002</v>
      </c>
      <c r="S512">
        <v>48401.919999999998</v>
      </c>
      <c r="T512">
        <v>38.1</v>
      </c>
      <c r="U512">
        <v>5</v>
      </c>
      <c r="V512">
        <v>1247</v>
      </c>
      <c r="W512" t="s">
        <v>36</v>
      </c>
      <c r="X512">
        <v>4115.67</v>
      </c>
    </row>
    <row r="513" spans="1:24" x14ac:dyDescent="0.25">
      <c r="A513" s="2">
        <v>100511</v>
      </c>
      <c r="B513" s="1">
        <v>45590</v>
      </c>
      <c r="C513" s="1">
        <v>45591</v>
      </c>
      <c r="D513" s="1">
        <v>45601</v>
      </c>
      <c r="E513" t="s">
        <v>1520</v>
      </c>
      <c r="F513" t="s">
        <v>25</v>
      </c>
      <c r="G513" t="s">
        <v>59</v>
      </c>
      <c r="H513" t="s">
        <v>1521</v>
      </c>
      <c r="I513" t="s">
        <v>139</v>
      </c>
      <c r="J513" t="s">
        <v>42</v>
      </c>
      <c r="K513" t="s">
        <v>1522</v>
      </c>
      <c r="L513" t="s">
        <v>98</v>
      </c>
      <c r="M513" t="s">
        <v>54</v>
      </c>
      <c r="N513" t="s">
        <v>102</v>
      </c>
      <c r="O513" t="s">
        <v>103</v>
      </c>
      <c r="P513" t="s">
        <v>76</v>
      </c>
      <c r="Q513">
        <v>224</v>
      </c>
      <c r="R513">
        <v>449.21</v>
      </c>
      <c r="S513">
        <v>100623.03999999999</v>
      </c>
      <c r="T513">
        <v>12.1</v>
      </c>
      <c r="U513">
        <v>10</v>
      </c>
      <c r="V513">
        <v>1616</v>
      </c>
      <c r="W513" t="s">
        <v>36</v>
      </c>
      <c r="X513">
        <v>10287</v>
      </c>
    </row>
    <row r="514" spans="1:24" x14ac:dyDescent="0.25">
      <c r="A514" s="2">
        <v>100512</v>
      </c>
      <c r="B514" s="1">
        <v>45595</v>
      </c>
      <c r="C514" s="1">
        <v>45595</v>
      </c>
      <c r="D514" s="1">
        <v>45600</v>
      </c>
      <c r="E514" t="s">
        <v>1523</v>
      </c>
      <c r="F514" t="s">
        <v>54</v>
      </c>
      <c r="G514" t="s">
        <v>193</v>
      </c>
      <c r="H514" t="s">
        <v>1524</v>
      </c>
      <c r="I514" t="s">
        <v>177</v>
      </c>
      <c r="J514" t="s">
        <v>29</v>
      </c>
      <c r="K514" t="s">
        <v>1525</v>
      </c>
      <c r="L514" t="s">
        <v>64</v>
      </c>
      <c r="M514" t="s">
        <v>32</v>
      </c>
      <c r="N514" t="s">
        <v>66</v>
      </c>
      <c r="O514" t="s">
        <v>67</v>
      </c>
      <c r="P514" t="s">
        <v>68</v>
      </c>
      <c r="Q514">
        <v>258</v>
      </c>
      <c r="R514">
        <v>22.73</v>
      </c>
      <c r="S514">
        <v>5864.34</v>
      </c>
      <c r="T514">
        <v>45.23</v>
      </c>
      <c r="U514">
        <v>5</v>
      </c>
      <c r="V514">
        <v>432</v>
      </c>
      <c r="W514" t="s">
        <v>36</v>
      </c>
      <c r="X514">
        <v>1446.47</v>
      </c>
    </row>
    <row r="515" spans="1:24" x14ac:dyDescent="0.25">
      <c r="A515" s="2">
        <v>100513</v>
      </c>
      <c r="B515" s="1">
        <v>45720</v>
      </c>
      <c r="C515" s="1">
        <v>45720</v>
      </c>
      <c r="D515" s="1">
        <v>45739</v>
      </c>
      <c r="E515" t="s">
        <v>1526</v>
      </c>
      <c r="F515" t="s">
        <v>25</v>
      </c>
      <c r="G515" t="s">
        <v>244</v>
      </c>
      <c r="H515" t="s">
        <v>1527</v>
      </c>
      <c r="I515" t="s">
        <v>191</v>
      </c>
      <c r="J515" t="s">
        <v>62</v>
      </c>
      <c r="K515" t="s">
        <v>1528</v>
      </c>
      <c r="L515" t="s">
        <v>31</v>
      </c>
      <c r="M515" t="s">
        <v>25</v>
      </c>
      <c r="N515" t="s">
        <v>55</v>
      </c>
      <c r="O515" t="s">
        <v>56</v>
      </c>
      <c r="P515" t="s">
        <v>123</v>
      </c>
      <c r="Q515">
        <v>459</v>
      </c>
      <c r="R515">
        <v>14.04</v>
      </c>
      <c r="S515">
        <v>6444.36</v>
      </c>
      <c r="T515">
        <v>16.18</v>
      </c>
      <c r="U515">
        <v>19</v>
      </c>
      <c r="V515">
        <v>3073</v>
      </c>
      <c r="W515" t="s">
        <v>188</v>
      </c>
      <c r="X515">
        <v>429.9</v>
      </c>
    </row>
    <row r="516" spans="1:24" x14ac:dyDescent="0.25">
      <c r="A516" s="2">
        <v>100514</v>
      </c>
      <c r="B516" s="1">
        <v>45360</v>
      </c>
      <c r="C516" s="1">
        <v>45362</v>
      </c>
      <c r="D516" s="1">
        <v>45382</v>
      </c>
      <c r="E516" t="s">
        <v>411</v>
      </c>
      <c r="F516" t="s">
        <v>25</v>
      </c>
      <c r="G516" t="s">
        <v>169</v>
      </c>
      <c r="H516" t="s">
        <v>1529</v>
      </c>
      <c r="I516" t="s">
        <v>72</v>
      </c>
      <c r="J516" t="s">
        <v>42</v>
      </c>
      <c r="K516" t="s">
        <v>1530</v>
      </c>
      <c r="L516" t="s">
        <v>98</v>
      </c>
      <c r="M516" t="s">
        <v>38</v>
      </c>
      <c r="N516" t="s">
        <v>55</v>
      </c>
      <c r="O516" t="s">
        <v>56</v>
      </c>
      <c r="P516" t="s">
        <v>76</v>
      </c>
      <c r="Q516">
        <v>103</v>
      </c>
      <c r="R516">
        <v>215.87</v>
      </c>
      <c r="S516">
        <v>22234.61</v>
      </c>
      <c r="T516">
        <v>9.9</v>
      </c>
      <c r="U516">
        <v>20</v>
      </c>
      <c r="V516">
        <v>164</v>
      </c>
      <c r="W516" t="s">
        <v>57</v>
      </c>
      <c r="X516">
        <v>1016.14</v>
      </c>
    </row>
    <row r="517" spans="1:24" x14ac:dyDescent="0.25">
      <c r="A517" s="2">
        <v>100515</v>
      </c>
      <c r="B517" s="1">
        <v>45293</v>
      </c>
      <c r="C517" s="1">
        <v>45297</v>
      </c>
      <c r="D517" s="1">
        <v>45303</v>
      </c>
      <c r="E517" t="s">
        <v>1531</v>
      </c>
      <c r="F517" t="s">
        <v>38</v>
      </c>
      <c r="G517" t="s">
        <v>217</v>
      </c>
      <c r="H517" t="s">
        <v>1532</v>
      </c>
      <c r="I517" t="s">
        <v>41</v>
      </c>
      <c r="J517" t="s">
        <v>42</v>
      </c>
      <c r="K517" t="s">
        <v>1533</v>
      </c>
      <c r="L517" t="s">
        <v>187</v>
      </c>
      <c r="M517" t="s">
        <v>25</v>
      </c>
      <c r="N517" t="s">
        <v>203</v>
      </c>
      <c r="O517" t="s">
        <v>204</v>
      </c>
      <c r="P517" t="s">
        <v>35</v>
      </c>
      <c r="Q517">
        <v>47</v>
      </c>
      <c r="R517">
        <v>320.26</v>
      </c>
      <c r="S517">
        <v>15052.22</v>
      </c>
      <c r="T517">
        <v>13.81</v>
      </c>
      <c r="U517">
        <v>6</v>
      </c>
      <c r="V517">
        <v>1610</v>
      </c>
      <c r="W517" t="s">
        <v>36</v>
      </c>
      <c r="X517">
        <v>2213.0300000000002</v>
      </c>
    </row>
    <row r="518" spans="1:24" x14ac:dyDescent="0.25">
      <c r="A518" s="2">
        <v>100516</v>
      </c>
      <c r="B518" s="1">
        <v>45804</v>
      </c>
      <c r="C518" s="1">
        <v>45806</v>
      </c>
      <c r="D518" s="1">
        <v>45814</v>
      </c>
      <c r="E518" t="s">
        <v>1534</v>
      </c>
      <c r="F518" t="s">
        <v>54</v>
      </c>
      <c r="G518" t="s">
        <v>158</v>
      </c>
      <c r="H518" t="s">
        <v>1535</v>
      </c>
      <c r="I518" t="s">
        <v>134</v>
      </c>
      <c r="J518" t="s">
        <v>52</v>
      </c>
      <c r="K518" t="s">
        <v>824</v>
      </c>
      <c r="L518" t="s">
        <v>113</v>
      </c>
      <c r="M518" t="s">
        <v>32</v>
      </c>
      <c r="N518" t="s">
        <v>45</v>
      </c>
      <c r="O518" t="s">
        <v>46</v>
      </c>
      <c r="P518" t="s">
        <v>123</v>
      </c>
      <c r="Q518">
        <v>380</v>
      </c>
      <c r="R518">
        <v>60.73</v>
      </c>
      <c r="S518">
        <v>23077.4</v>
      </c>
      <c r="T518">
        <v>19.93</v>
      </c>
      <c r="U518">
        <v>8</v>
      </c>
      <c r="V518">
        <v>3877</v>
      </c>
      <c r="W518" t="s">
        <v>36</v>
      </c>
      <c r="X518">
        <v>2355.1</v>
      </c>
    </row>
    <row r="519" spans="1:24" x14ac:dyDescent="0.25">
      <c r="A519" s="2">
        <v>100517</v>
      </c>
      <c r="B519" s="1">
        <v>45678</v>
      </c>
      <c r="C519" s="1">
        <v>45681</v>
      </c>
      <c r="D519" s="1">
        <v>45687</v>
      </c>
      <c r="E519" t="s">
        <v>1536</v>
      </c>
      <c r="F519" t="s">
        <v>65</v>
      </c>
      <c r="G519" t="s">
        <v>154</v>
      </c>
      <c r="H519" t="s">
        <v>1537</v>
      </c>
      <c r="I519" t="s">
        <v>149</v>
      </c>
      <c r="J519" t="s">
        <v>42</v>
      </c>
      <c r="K519" t="s">
        <v>1385</v>
      </c>
      <c r="L519" t="s">
        <v>98</v>
      </c>
      <c r="M519" t="s">
        <v>38</v>
      </c>
      <c r="N519" t="s">
        <v>55</v>
      </c>
      <c r="O519" t="s">
        <v>56</v>
      </c>
      <c r="P519" t="s">
        <v>35</v>
      </c>
      <c r="Q519">
        <v>170</v>
      </c>
      <c r="R519">
        <v>111.66</v>
      </c>
      <c r="S519">
        <v>18982.2</v>
      </c>
      <c r="T519">
        <v>17.29</v>
      </c>
      <c r="U519">
        <v>6</v>
      </c>
      <c r="V519">
        <v>261</v>
      </c>
      <c r="W519" t="s">
        <v>57</v>
      </c>
      <c r="X519">
        <v>2612.08</v>
      </c>
    </row>
    <row r="520" spans="1:24" x14ac:dyDescent="0.25">
      <c r="A520" s="2">
        <v>100518</v>
      </c>
      <c r="B520" s="1">
        <v>45842</v>
      </c>
      <c r="C520" s="1">
        <v>45842</v>
      </c>
      <c r="D520" s="1">
        <v>45865</v>
      </c>
      <c r="E520" t="s">
        <v>1538</v>
      </c>
      <c r="F520" t="s">
        <v>54</v>
      </c>
      <c r="G520" t="s">
        <v>158</v>
      </c>
      <c r="H520" t="s">
        <v>1539</v>
      </c>
      <c r="I520" t="s">
        <v>144</v>
      </c>
      <c r="J520" t="s">
        <v>52</v>
      </c>
      <c r="K520" t="s">
        <v>1540</v>
      </c>
      <c r="L520" t="s">
        <v>44</v>
      </c>
      <c r="M520" t="s">
        <v>65</v>
      </c>
      <c r="N520" t="s">
        <v>33</v>
      </c>
      <c r="O520" t="s">
        <v>34</v>
      </c>
      <c r="P520" t="s">
        <v>76</v>
      </c>
      <c r="Q520">
        <v>181</v>
      </c>
      <c r="R520">
        <v>18.57</v>
      </c>
      <c r="S520">
        <v>3361.17</v>
      </c>
      <c r="T520">
        <v>11.32</v>
      </c>
      <c r="U520">
        <v>23</v>
      </c>
      <c r="V520">
        <v>2937</v>
      </c>
      <c r="W520" t="s">
        <v>36</v>
      </c>
      <c r="X520">
        <v>568.67999999999995</v>
      </c>
    </row>
    <row r="521" spans="1:24" x14ac:dyDescent="0.25">
      <c r="A521" s="2">
        <v>100519</v>
      </c>
      <c r="B521" s="1">
        <v>45616</v>
      </c>
      <c r="C521" s="1">
        <v>45621</v>
      </c>
      <c r="D521" s="1">
        <v>45631</v>
      </c>
      <c r="E521" t="s">
        <v>1541</v>
      </c>
      <c r="F521" t="s">
        <v>54</v>
      </c>
      <c r="G521" t="s">
        <v>193</v>
      </c>
      <c r="H521" t="s">
        <v>1542</v>
      </c>
      <c r="I521" t="s">
        <v>85</v>
      </c>
      <c r="J521" t="s">
        <v>52</v>
      </c>
      <c r="K521" t="s">
        <v>1543</v>
      </c>
      <c r="L521" t="s">
        <v>98</v>
      </c>
      <c r="M521" t="s">
        <v>38</v>
      </c>
      <c r="N521" t="s">
        <v>45</v>
      </c>
      <c r="O521" t="s">
        <v>46</v>
      </c>
      <c r="P521" t="s">
        <v>35</v>
      </c>
      <c r="Q521">
        <v>13</v>
      </c>
      <c r="R521">
        <v>56.67</v>
      </c>
      <c r="S521">
        <v>736.71</v>
      </c>
      <c r="T521">
        <v>12.84</v>
      </c>
      <c r="U521">
        <v>10</v>
      </c>
      <c r="V521">
        <v>4355</v>
      </c>
      <c r="W521" t="s">
        <v>36</v>
      </c>
      <c r="X521">
        <v>49.93</v>
      </c>
    </row>
    <row r="522" spans="1:24" x14ac:dyDescent="0.25">
      <c r="A522" s="2">
        <v>100520</v>
      </c>
      <c r="B522" s="1">
        <v>45370</v>
      </c>
      <c r="C522" s="1">
        <v>45370</v>
      </c>
      <c r="D522" s="1">
        <v>45371</v>
      </c>
      <c r="E522" t="s">
        <v>1544</v>
      </c>
      <c r="F522" t="s">
        <v>54</v>
      </c>
      <c r="G522" t="s">
        <v>165</v>
      </c>
      <c r="H522" t="s">
        <v>1545</v>
      </c>
      <c r="I522" t="s">
        <v>89</v>
      </c>
      <c r="J522" t="s">
        <v>62</v>
      </c>
      <c r="K522" t="s">
        <v>1546</v>
      </c>
      <c r="L522" t="s">
        <v>118</v>
      </c>
      <c r="M522" t="s">
        <v>54</v>
      </c>
      <c r="N522" t="s">
        <v>45</v>
      </c>
      <c r="O522" t="s">
        <v>46</v>
      </c>
      <c r="P522" t="s">
        <v>68</v>
      </c>
      <c r="Q522">
        <v>407</v>
      </c>
      <c r="R522">
        <v>28.82</v>
      </c>
      <c r="S522">
        <v>11729.74</v>
      </c>
      <c r="T522">
        <v>40.659999999999997</v>
      </c>
      <c r="U522">
        <v>1</v>
      </c>
      <c r="V522">
        <v>2813</v>
      </c>
      <c r="W522" t="s">
        <v>36</v>
      </c>
      <c r="X522">
        <v>1837.06</v>
      </c>
    </row>
    <row r="523" spans="1:24" x14ac:dyDescent="0.25">
      <c r="A523" s="2">
        <v>100521</v>
      </c>
      <c r="B523" s="1">
        <v>45821</v>
      </c>
      <c r="C523" s="1">
        <v>45821</v>
      </c>
      <c r="D523" s="1">
        <v>45825</v>
      </c>
      <c r="E523" t="s">
        <v>1547</v>
      </c>
      <c r="F523" t="s">
        <v>65</v>
      </c>
      <c r="G523" t="s">
        <v>70</v>
      </c>
      <c r="H523" t="s">
        <v>1548</v>
      </c>
      <c r="I523" t="s">
        <v>41</v>
      </c>
      <c r="J523" t="s">
        <v>42</v>
      </c>
      <c r="K523" t="s">
        <v>1332</v>
      </c>
      <c r="L523" t="s">
        <v>44</v>
      </c>
      <c r="M523" t="s">
        <v>25</v>
      </c>
      <c r="N523" t="s">
        <v>55</v>
      </c>
      <c r="O523" t="s">
        <v>56</v>
      </c>
      <c r="P523" t="s">
        <v>123</v>
      </c>
      <c r="Q523">
        <v>93</v>
      </c>
      <c r="R523">
        <v>277.39999999999998</v>
      </c>
      <c r="S523">
        <v>25798.2</v>
      </c>
      <c r="T523">
        <v>12.95</v>
      </c>
      <c r="U523">
        <v>4</v>
      </c>
      <c r="V523">
        <v>891</v>
      </c>
      <c r="W523" t="s">
        <v>36</v>
      </c>
      <c r="X523">
        <v>3152.85</v>
      </c>
    </row>
    <row r="524" spans="1:24" x14ac:dyDescent="0.25">
      <c r="A524" s="2">
        <v>100522</v>
      </c>
      <c r="B524" s="1">
        <v>45513</v>
      </c>
      <c r="C524" s="1">
        <v>45513</v>
      </c>
      <c r="D524" s="1">
        <v>45523</v>
      </c>
      <c r="E524" t="s">
        <v>671</v>
      </c>
      <c r="F524" t="s">
        <v>32</v>
      </c>
      <c r="G524" t="s">
        <v>364</v>
      </c>
      <c r="H524" t="s">
        <v>1549</v>
      </c>
      <c r="I524" t="s">
        <v>198</v>
      </c>
      <c r="J524" t="s">
        <v>52</v>
      </c>
      <c r="K524" t="s">
        <v>431</v>
      </c>
      <c r="L524" t="s">
        <v>44</v>
      </c>
      <c r="M524" t="s">
        <v>65</v>
      </c>
      <c r="N524" t="s">
        <v>45</v>
      </c>
      <c r="O524" t="s">
        <v>46</v>
      </c>
      <c r="P524" t="s">
        <v>123</v>
      </c>
      <c r="Q524">
        <v>300</v>
      </c>
      <c r="R524">
        <v>44.68</v>
      </c>
      <c r="S524">
        <v>13404</v>
      </c>
      <c r="T524">
        <v>17.98</v>
      </c>
      <c r="U524">
        <v>10</v>
      </c>
      <c r="V524">
        <v>3961</v>
      </c>
      <c r="W524" t="s">
        <v>36</v>
      </c>
      <c r="X524">
        <v>1241.68</v>
      </c>
    </row>
    <row r="525" spans="1:24" x14ac:dyDescent="0.25">
      <c r="A525" s="2">
        <v>100523</v>
      </c>
      <c r="B525" s="1">
        <v>45574</v>
      </c>
      <c r="C525" s="1">
        <v>45577</v>
      </c>
      <c r="D525" s="1">
        <v>45589</v>
      </c>
      <c r="E525" t="s">
        <v>1550</v>
      </c>
      <c r="F525" t="s">
        <v>65</v>
      </c>
      <c r="G525" t="s">
        <v>154</v>
      </c>
      <c r="H525" t="s">
        <v>1551</v>
      </c>
      <c r="I525" t="s">
        <v>416</v>
      </c>
      <c r="J525" t="s">
        <v>80</v>
      </c>
      <c r="K525" t="s">
        <v>1552</v>
      </c>
      <c r="L525" t="s">
        <v>44</v>
      </c>
      <c r="M525" t="s">
        <v>32</v>
      </c>
      <c r="N525" t="s">
        <v>151</v>
      </c>
      <c r="O525" t="s">
        <v>152</v>
      </c>
      <c r="P525" t="s">
        <v>123</v>
      </c>
      <c r="Q525">
        <v>477</v>
      </c>
      <c r="R525">
        <v>280.52</v>
      </c>
      <c r="S525">
        <v>133808.04</v>
      </c>
      <c r="T525">
        <v>22.28</v>
      </c>
      <c r="U525">
        <v>12</v>
      </c>
      <c r="V525">
        <v>1042</v>
      </c>
      <c r="W525" t="s">
        <v>36</v>
      </c>
      <c r="X525">
        <v>35668.639999999999</v>
      </c>
    </row>
    <row r="526" spans="1:24" x14ac:dyDescent="0.25">
      <c r="A526" s="2">
        <v>100524</v>
      </c>
      <c r="B526" s="1">
        <v>45528</v>
      </c>
      <c r="C526" s="1">
        <v>45529</v>
      </c>
      <c r="D526" s="1">
        <v>45530</v>
      </c>
      <c r="E526" t="s">
        <v>1553</v>
      </c>
      <c r="F526" t="s">
        <v>65</v>
      </c>
      <c r="G526" t="s">
        <v>142</v>
      </c>
      <c r="H526" t="s">
        <v>1554</v>
      </c>
      <c r="I526" t="s">
        <v>177</v>
      </c>
      <c r="J526" t="s">
        <v>29</v>
      </c>
      <c r="K526" t="s">
        <v>1453</v>
      </c>
      <c r="L526" t="s">
        <v>44</v>
      </c>
      <c r="M526" t="s">
        <v>25</v>
      </c>
      <c r="N526" t="s">
        <v>151</v>
      </c>
      <c r="O526" t="s">
        <v>152</v>
      </c>
      <c r="P526" t="s">
        <v>68</v>
      </c>
      <c r="Q526">
        <v>264</v>
      </c>
      <c r="R526">
        <v>89.5</v>
      </c>
      <c r="S526">
        <v>23628</v>
      </c>
      <c r="T526">
        <v>45.62</v>
      </c>
      <c r="U526">
        <v>1</v>
      </c>
      <c r="V526">
        <v>1140</v>
      </c>
      <c r="W526" t="s">
        <v>36</v>
      </c>
      <c r="X526">
        <v>3581.41</v>
      </c>
    </row>
    <row r="527" spans="1:24" x14ac:dyDescent="0.25">
      <c r="A527" s="2">
        <v>100525</v>
      </c>
      <c r="B527" s="1">
        <v>45711</v>
      </c>
      <c r="C527" s="1">
        <v>45712</v>
      </c>
      <c r="D527" s="1">
        <v>45721</v>
      </c>
      <c r="E527" t="s">
        <v>1555</v>
      </c>
      <c r="F527" t="s">
        <v>32</v>
      </c>
      <c r="G527" t="s">
        <v>255</v>
      </c>
      <c r="H527" t="s">
        <v>1556</v>
      </c>
      <c r="I527" t="s">
        <v>238</v>
      </c>
      <c r="J527" t="s">
        <v>62</v>
      </c>
      <c r="K527" t="s">
        <v>1557</v>
      </c>
      <c r="L527" t="s">
        <v>64</v>
      </c>
      <c r="M527" t="s">
        <v>54</v>
      </c>
      <c r="N527" t="s">
        <v>55</v>
      </c>
      <c r="O527" t="s">
        <v>56</v>
      </c>
      <c r="P527" t="s">
        <v>35</v>
      </c>
      <c r="Q527">
        <v>347</v>
      </c>
      <c r="R527">
        <v>10.73</v>
      </c>
      <c r="S527">
        <v>3723.31</v>
      </c>
      <c r="T527">
        <v>22.31</v>
      </c>
      <c r="U527">
        <v>9</v>
      </c>
      <c r="V527">
        <v>3408</v>
      </c>
      <c r="W527" t="s">
        <v>36</v>
      </c>
      <c r="X527">
        <v>642.62</v>
      </c>
    </row>
    <row r="528" spans="1:24" x14ac:dyDescent="0.25">
      <c r="A528" s="2">
        <v>100526</v>
      </c>
      <c r="B528" s="1">
        <v>45377</v>
      </c>
      <c r="C528" s="1">
        <v>45379</v>
      </c>
      <c r="D528" s="1">
        <v>45388</v>
      </c>
      <c r="E528" t="s">
        <v>1558</v>
      </c>
      <c r="F528" t="s">
        <v>25</v>
      </c>
      <c r="G528" t="s">
        <v>169</v>
      </c>
      <c r="H528" t="s">
        <v>1559</v>
      </c>
      <c r="I528" t="s">
        <v>28</v>
      </c>
      <c r="J528" t="s">
        <v>29</v>
      </c>
      <c r="K528" t="s">
        <v>769</v>
      </c>
      <c r="L528" t="s">
        <v>44</v>
      </c>
      <c r="M528" t="s">
        <v>54</v>
      </c>
      <c r="N528" t="s">
        <v>203</v>
      </c>
      <c r="O528" t="s">
        <v>204</v>
      </c>
      <c r="P528" t="s">
        <v>68</v>
      </c>
      <c r="Q528">
        <v>487</v>
      </c>
      <c r="R528">
        <v>43.01</v>
      </c>
      <c r="S528">
        <v>20945.87</v>
      </c>
      <c r="T528">
        <v>60.07</v>
      </c>
      <c r="U528">
        <v>9</v>
      </c>
      <c r="V528">
        <v>545</v>
      </c>
      <c r="W528" t="s">
        <v>36</v>
      </c>
      <c r="X528">
        <v>2875.34</v>
      </c>
    </row>
    <row r="529" spans="1:24" x14ac:dyDescent="0.25">
      <c r="A529" s="2">
        <v>100527</v>
      </c>
      <c r="B529" s="1">
        <v>45910</v>
      </c>
      <c r="C529" s="1">
        <v>45911</v>
      </c>
      <c r="D529" s="1">
        <v>45916</v>
      </c>
      <c r="E529" t="s">
        <v>1560</v>
      </c>
      <c r="F529" t="s">
        <v>65</v>
      </c>
      <c r="G529" t="s">
        <v>154</v>
      </c>
      <c r="H529" t="s">
        <v>1561</v>
      </c>
      <c r="I529" t="s">
        <v>182</v>
      </c>
      <c r="J529" t="s">
        <v>80</v>
      </c>
      <c r="K529" t="s">
        <v>1562</v>
      </c>
      <c r="L529" t="s">
        <v>122</v>
      </c>
      <c r="M529" t="s">
        <v>25</v>
      </c>
      <c r="N529" t="s">
        <v>66</v>
      </c>
      <c r="O529" t="s">
        <v>67</v>
      </c>
      <c r="P529" t="s">
        <v>123</v>
      </c>
      <c r="Q529">
        <v>68</v>
      </c>
      <c r="R529">
        <v>288.57</v>
      </c>
      <c r="S529">
        <v>19622.759999999998</v>
      </c>
      <c r="T529">
        <v>12.34</v>
      </c>
      <c r="U529">
        <v>5</v>
      </c>
      <c r="V529">
        <v>892</v>
      </c>
      <c r="W529" t="s">
        <v>36</v>
      </c>
      <c r="X529">
        <v>4666.91</v>
      </c>
    </row>
    <row r="530" spans="1:24" x14ac:dyDescent="0.25">
      <c r="A530" s="2">
        <v>100528</v>
      </c>
      <c r="B530" s="1">
        <v>45565</v>
      </c>
      <c r="C530" s="1">
        <v>45570</v>
      </c>
      <c r="D530" s="1">
        <v>45576</v>
      </c>
      <c r="E530" t="s">
        <v>1563</v>
      </c>
      <c r="F530" t="s">
        <v>32</v>
      </c>
      <c r="G530" t="s">
        <v>364</v>
      </c>
      <c r="H530" t="s">
        <v>1564</v>
      </c>
      <c r="I530" t="s">
        <v>79</v>
      </c>
      <c r="J530" t="s">
        <v>80</v>
      </c>
      <c r="K530" t="s">
        <v>1438</v>
      </c>
      <c r="L530" t="s">
        <v>113</v>
      </c>
      <c r="M530" t="s">
        <v>38</v>
      </c>
      <c r="N530" t="s">
        <v>92</v>
      </c>
      <c r="O530" t="s">
        <v>93</v>
      </c>
      <c r="P530" t="s">
        <v>35</v>
      </c>
      <c r="Q530">
        <v>373</v>
      </c>
      <c r="R530">
        <v>207.47</v>
      </c>
      <c r="S530">
        <v>77386.31</v>
      </c>
      <c r="T530">
        <v>23.05</v>
      </c>
      <c r="U530">
        <v>6</v>
      </c>
      <c r="V530">
        <v>1766</v>
      </c>
      <c r="W530" t="s">
        <v>36</v>
      </c>
      <c r="X530">
        <v>17682.59</v>
      </c>
    </row>
    <row r="531" spans="1:24" x14ac:dyDescent="0.25">
      <c r="A531" s="2">
        <v>100529</v>
      </c>
      <c r="B531" s="1">
        <v>45462</v>
      </c>
      <c r="C531" s="1">
        <v>45464</v>
      </c>
      <c r="D531" s="1">
        <v>45489</v>
      </c>
      <c r="E531" t="s">
        <v>1565</v>
      </c>
      <c r="F531" t="s">
        <v>38</v>
      </c>
      <c r="G531" t="s">
        <v>39</v>
      </c>
      <c r="H531" t="s">
        <v>1566</v>
      </c>
      <c r="I531" t="s">
        <v>368</v>
      </c>
      <c r="J531" t="s">
        <v>29</v>
      </c>
      <c r="K531" t="s">
        <v>1567</v>
      </c>
      <c r="L531" t="s">
        <v>187</v>
      </c>
      <c r="M531" t="s">
        <v>32</v>
      </c>
      <c r="N531" t="s">
        <v>92</v>
      </c>
      <c r="O531" t="s">
        <v>93</v>
      </c>
      <c r="P531" t="s">
        <v>76</v>
      </c>
      <c r="Q531">
        <v>315</v>
      </c>
      <c r="R531">
        <v>90.29</v>
      </c>
      <c r="S531">
        <v>28441.35</v>
      </c>
      <c r="T531">
        <v>13.76</v>
      </c>
      <c r="U531">
        <v>25</v>
      </c>
      <c r="V531">
        <v>1242</v>
      </c>
      <c r="W531" t="s">
        <v>36</v>
      </c>
      <c r="X531">
        <v>5147.82</v>
      </c>
    </row>
    <row r="532" spans="1:24" x14ac:dyDescent="0.25">
      <c r="A532" s="2">
        <v>100530</v>
      </c>
      <c r="B532" s="1">
        <v>45392</v>
      </c>
      <c r="C532" s="1">
        <v>45396</v>
      </c>
      <c r="D532" s="1">
        <v>45409</v>
      </c>
      <c r="E532" t="s">
        <v>1568</v>
      </c>
      <c r="F532" t="s">
        <v>25</v>
      </c>
      <c r="G532" t="s">
        <v>233</v>
      </c>
      <c r="H532" t="s">
        <v>1569</v>
      </c>
      <c r="I532" t="s">
        <v>416</v>
      </c>
      <c r="J532" t="s">
        <v>80</v>
      </c>
      <c r="K532" t="s">
        <v>1570</v>
      </c>
      <c r="L532" t="s">
        <v>44</v>
      </c>
      <c r="M532" t="s">
        <v>65</v>
      </c>
      <c r="N532" t="s">
        <v>74</v>
      </c>
      <c r="O532" t="s">
        <v>75</v>
      </c>
      <c r="P532" t="s">
        <v>123</v>
      </c>
      <c r="Q532">
        <v>346</v>
      </c>
      <c r="R532">
        <v>299.3</v>
      </c>
      <c r="S532">
        <v>103557.8</v>
      </c>
      <c r="T532">
        <v>19.100000000000001</v>
      </c>
      <c r="U532">
        <v>13</v>
      </c>
      <c r="V532">
        <v>1591</v>
      </c>
      <c r="W532" t="s">
        <v>36</v>
      </c>
      <c r="X532">
        <v>15238.09</v>
      </c>
    </row>
    <row r="533" spans="1:24" x14ac:dyDescent="0.25">
      <c r="A533" s="2">
        <v>100531</v>
      </c>
      <c r="B533" s="1">
        <v>45690</v>
      </c>
      <c r="C533" s="1">
        <v>45694</v>
      </c>
      <c r="D533" s="1">
        <v>45696</v>
      </c>
      <c r="E533" t="s">
        <v>1571</v>
      </c>
      <c r="F533" t="s">
        <v>38</v>
      </c>
      <c r="G533" t="s">
        <v>147</v>
      </c>
      <c r="H533" t="s">
        <v>1572</v>
      </c>
      <c r="I533" t="s">
        <v>85</v>
      </c>
      <c r="J533" t="s">
        <v>52</v>
      </c>
      <c r="K533" t="s">
        <v>1573</v>
      </c>
      <c r="L533" t="s">
        <v>64</v>
      </c>
      <c r="M533" t="s">
        <v>38</v>
      </c>
      <c r="N533" t="s">
        <v>102</v>
      </c>
      <c r="O533" t="s">
        <v>103</v>
      </c>
      <c r="P533" t="s">
        <v>35</v>
      </c>
      <c r="Q533">
        <v>167</v>
      </c>
      <c r="R533">
        <v>73.819999999999993</v>
      </c>
      <c r="S533">
        <v>12327.94</v>
      </c>
      <c r="T533">
        <v>12.75</v>
      </c>
      <c r="U533">
        <v>2</v>
      </c>
      <c r="V533">
        <v>3253</v>
      </c>
      <c r="W533" t="s">
        <v>57</v>
      </c>
      <c r="X533">
        <v>1261.81</v>
      </c>
    </row>
    <row r="534" spans="1:24" x14ac:dyDescent="0.25">
      <c r="A534" s="2">
        <v>100532</v>
      </c>
      <c r="B534" s="1">
        <v>45571</v>
      </c>
      <c r="C534" s="1">
        <v>45576</v>
      </c>
      <c r="D534" s="1">
        <v>45579</v>
      </c>
      <c r="E534" t="s">
        <v>1574</v>
      </c>
      <c r="F534" t="s">
        <v>54</v>
      </c>
      <c r="G534" t="s">
        <v>193</v>
      </c>
      <c r="H534" t="s">
        <v>1575</v>
      </c>
      <c r="I534" t="s">
        <v>207</v>
      </c>
      <c r="J534" t="s">
        <v>80</v>
      </c>
      <c r="K534" t="s">
        <v>1576</v>
      </c>
      <c r="L534" t="s">
        <v>91</v>
      </c>
      <c r="M534" t="s">
        <v>32</v>
      </c>
      <c r="N534" t="s">
        <v>102</v>
      </c>
      <c r="O534" t="s">
        <v>103</v>
      </c>
      <c r="P534" t="s">
        <v>35</v>
      </c>
      <c r="Q534">
        <v>283</v>
      </c>
      <c r="R534">
        <v>301.08</v>
      </c>
      <c r="S534">
        <v>85205.64</v>
      </c>
      <c r="T534">
        <v>20.5</v>
      </c>
      <c r="U534">
        <v>3</v>
      </c>
      <c r="V534">
        <v>1386</v>
      </c>
      <c r="W534" t="s">
        <v>36</v>
      </c>
      <c r="X534">
        <v>10221.459999999999</v>
      </c>
    </row>
    <row r="535" spans="1:24" x14ac:dyDescent="0.25">
      <c r="A535" s="2">
        <v>100533</v>
      </c>
      <c r="B535" s="1">
        <v>45761</v>
      </c>
      <c r="C535" s="1">
        <v>45762</v>
      </c>
      <c r="D535" s="1">
        <v>45766</v>
      </c>
      <c r="E535" t="s">
        <v>1577</v>
      </c>
      <c r="F535" t="s">
        <v>25</v>
      </c>
      <c r="G535" t="s">
        <v>26</v>
      </c>
      <c r="H535" t="s">
        <v>1578</v>
      </c>
      <c r="I535" t="s">
        <v>116</v>
      </c>
      <c r="J535" t="s">
        <v>62</v>
      </c>
      <c r="K535" t="s">
        <v>383</v>
      </c>
      <c r="L535" t="s">
        <v>113</v>
      </c>
      <c r="M535" t="s">
        <v>54</v>
      </c>
      <c r="N535" t="s">
        <v>66</v>
      </c>
      <c r="O535" t="s">
        <v>67</v>
      </c>
      <c r="P535" t="s">
        <v>35</v>
      </c>
      <c r="Q535">
        <v>215</v>
      </c>
      <c r="R535">
        <v>23.1</v>
      </c>
      <c r="S535">
        <v>4966.5</v>
      </c>
      <c r="T535">
        <v>18.57</v>
      </c>
      <c r="U535">
        <v>4</v>
      </c>
      <c r="V535">
        <v>2627</v>
      </c>
      <c r="W535" t="s">
        <v>36</v>
      </c>
      <c r="X535">
        <v>676.87</v>
      </c>
    </row>
    <row r="536" spans="1:24" x14ac:dyDescent="0.25">
      <c r="A536" s="2">
        <v>100534</v>
      </c>
      <c r="B536" s="1">
        <v>45391</v>
      </c>
      <c r="C536" s="1">
        <v>45395</v>
      </c>
      <c r="D536" s="1">
        <v>45397</v>
      </c>
      <c r="E536" t="s">
        <v>1579</v>
      </c>
      <c r="F536" t="s">
        <v>54</v>
      </c>
      <c r="G536" t="s">
        <v>165</v>
      </c>
      <c r="H536" t="s">
        <v>1580</v>
      </c>
      <c r="I536" t="s">
        <v>238</v>
      </c>
      <c r="J536" t="s">
        <v>62</v>
      </c>
      <c r="K536" t="s">
        <v>1581</v>
      </c>
      <c r="L536" t="s">
        <v>98</v>
      </c>
      <c r="M536" t="s">
        <v>25</v>
      </c>
      <c r="N536" t="s">
        <v>102</v>
      </c>
      <c r="O536" t="s">
        <v>103</v>
      </c>
      <c r="P536" t="s">
        <v>35</v>
      </c>
      <c r="Q536">
        <v>184</v>
      </c>
      <c r="R536">
        <v>5.69</v>
      </c>
      <c r="S536">
        <v>1046.96</v>
      </c>
      <c r="T536">
        <v>17.690000000000001</v>
      </c>
      <c r="U536">
        <v>2</v>
      </c>
      <c r="V536">
        <v>3378</v>
      </c>
      <c r="W536" t="s">
        <v>36</v>
      </c>
      <c r="X536">
        <v>84.57</v>
      </c>
    </row>
    <row r="537" spans="1:24" x14ac:dyDescent="0.25">
      <c r="A537" s="2">
        <v>100535</v>
      </c>
      <c r="B537" s="1">
        <v>45753</v>
      </c>
      <c r="C537" s="1">
        <v>45757</v>
      </c>
      <c r="D537" s="1">
        <v>45768</v>
      </c>
      <c r="E537" t="s">
        <v>1582</v>
      </c>
      <c r="F537" t="s">
        <v>38</v>
      </c>
      <c r="G537" t="s">
        <v>39</v>
      </c>
      <c r="H537" t="s">
        <v>1583</v>
      </c>
      <c r="I537" t="s">
        <v>230</v>
      </c>
      <c r="J537" t="s">
        <v>80</v>
      </c>
      <c r="K537" t="s">
        <v>1584</v>
      </c>
      <c r="L537" t="s">
        <v>44</v>
      </c>
      <c r="M537" t="s">
        <v>54</v>
      </c>
      <c r="N537" t="s">
        <v>92</v>
      </c>
      <c r="O537" t="s">
        <v>93</v>
      </c>
      <c r="P537" t="s">
        <v>76</v>
      </c>
      <c r="Q537">
        <v>121</v>
      </c>
      <c r="R537">
        <v>195.99</v>
      </c>
      <c r="S537">
        <v>23714.79</v>
      </c>
      <c r="T537">
        <v>10.220000000000001</v>
      </c>
      <c r="U537">
        <v>11</v>
      </c>
      <c r="V537">
        <v>1815</v>
      </c>
      <c r="W537" t="s">
        <v>36</v>
      </c>
      <c r="X537">
        <v>3497.67</v>
      </c>
    </row>
    <row r="538" spans="1:24" x14ac:dyDescent="0.25">
      <c r="A538" s="2">
        <v>100536</v>
      </c>
      <c r="B538" s="1">
        <v>45886</v>
      </c>
      <c r="C538" s="1">
        <v>45889</v>
      </c>
      <c r="D538" s="1">
        <v>45903</v>
      </c>
      <c r="E538" t="s">
        <v>1585</v>
      </c>
      <c r="F538" t="s">
        <v>25</v>
      </c>
      <c r="G538" t="s">
        <v>59</v>
      </c>
      <c r="H538" t="s">
        <v>1586</v>
      </c>
      <c r="I538" t="s">
        <v>182</v>
      </c>
      <c r="J538" t="s">
        <v>80</v>
      </c>
      <c r="K538" t="s">
        <v>822</v>
      </c>
      <c r="L538" t="s">
        <v>64</v>
      </c>
      <c r="M538" t="s">
        <v>25</v>
      </c>
      <c r="N538" t="s">
        <v>92</v>
      </c>
      <c r="O538" t="s">
        <v>93</v>
      </c>
      <c r="P538" t="s">
        <v>123</v>
      </c>
      <c r="Q538">
        <v>371</v>
      </c>
      <c r="R538">
        <v>266.06</v>
      </c>
      <c r="S538">
        <v>98708.26</v>
      </c>
      <c r="T538">
        <v>14.6</v>
      </c>
      <c r="U538">
        <v>14</v>
      </c>
      <c r="V538">
        <v>1377</v>
      </c>
      <c r="W538" t="s">
        <v>36</v>
      </c>
      <c r="X538">
        <v>4374.62</v>
      </c>
    </row>
    <row r="539" spans="1:24" x14ac:dyDescent="0.25">
      <c r="A539" s="2">
        <v>100537</v>
      </c>
      <c r="B539" s="1">
        <v>45694</v>
      </c>
      <c r="C539" s="1">
        <v>45696</v>
      </c>
      <c r="D539" s="1">
        <v>45710</v>
      </c>
      <c r="E539" t="s">
        <v>1587</v>
      </c>
      <c r="F539" t="s">
        <v>25</v>
      </c>
      <c r="G539" t="s">
        <v>233</v>
      </c>
      <c r="H539" t="s">
        <v>1588</v>
      </c>
      <c r="I539" t="s">
        <v>416</v>
      </c>
      <c r="J539" t="s">
        <v>80</v>
      </c>
      <c r="K539" t="s">
        <v>661</v>
      </c>
      <c r="L539" t="s">
        <v>118</v>
      </c>
      <c r="M539" t="s">
        <v>38</v>
      </c>
      <c r="N539" t="s">
        <v>151</v>
      </c>
      <c r="O539" t="s">
        <v>152</v>
      </c>
      <c r="P539" t="s">
        <v>35</v>
      </c>
      <c r="Q539">
        <v>222</v>
      </c>
      <c r="R539">
        <v>248.66</v>
      </c>
      <c r="S539">
        <v>55202.52</v>
      </c>
      <c r="T539">
        <v>18.77</v>
      </c>
      <c r="U539">
        <v>14</v>
      </c>
      <c r="V539">
        <v>1791</v>
      </c>
      <c r="W539" t="s">
        <v>188</v>
      </c>
      <c r="X539">
        <v>7669.68</v>
      </c>
    </row>
    <row r="540" spans="1:24" x14ac:dyDescent="0.25">
      <c r="A540" s="2">
        <v>100538</v>
      </c>
      <c r="B540" s="1">
        <v>45396</v>
      </c>
      <c r="C540" s="1">
        <v>45397</v>
      </c>
      <c r="D540" s="1">
        <v>45407</v>
      </c>
      <c r="E540" t="s">
        <v>1589</v>
      </c>
      <c r="F540" t="s">
        <v>38</v>
      </c>
      <c r="G540" t="s">
        <v>147</v>
      </c>
      <c r="H540" t="s">
        <v>1590</v>
      </c>
      <c r="I540" t="s">
        <v>368</v>
      </c>
      <c r="J540" t="s">
        <v>29</v>
      </c>
      <c r="K540" t="s">
        <v>1591</v>
      </c>
      <c r="L540" t="s">
        <v>118</v>
      </c>
      <c r="M540" t="s">
        <v>32</v>
      </c>
      <c r="N540" t="s">
        <v>92</v>
      </c>
      <c r="O540" t="s">
        <v>93</v>
      </c>
      <c r="P540" t="s">
        <v>35</v>
      </c>
      <c r="Q540">
        <v>388</v>
      </c>
      <c r="R540">
        <v>48.5</v>
      </c>
      <c r="S540">
        <v>18818</v>
      </c>
      <c r="T540">
        <v>23.47</v>
      </c>
      <c r="U540">
        <v>10</v>
      </c>
      <c r="V540">
        <v>862</v>
      </c>
      <c r="W540" t="s">
        <v>36</v>
      </c>
      <c r="X540">
        <v>5002.97</v>
      </c>
    </row>
    <row r="541" spans="1:24" x14ac:dyDescent="0.25">
      <c r="A541" s="2">
        <v>100539</v>
      </c>
      <c r="B541" s="1">
        <v>46003</v>
      </c>
      <c r="C541" s="1">
        <v>46007</v>
      </c>
      <c r="D541" s="1">
        <v>46011</v>
      </c>
      <c r="E541" t="s">
        <v>1592</v>
      </c>
      <c r="F541" t="s">
        <v>65</v>
      </c>
      <c r="G541" t="s">
        <v>70</v>
      </c>
      <c r="H541" t="s">
        <v>1593</v>
      </c>
      <c r="I541" t="s">
        <v>61</v>
      </c>
      <c r="J541" t="s">
        <v>62</v>
      </c>
      <c r="K541" t="s">
        <v>1594</v>
      </c>
      <c r="L541" t="s">
        <v>64</v>
      </c>
      <c r="M541" t="s">
        <v>38</v>
      </c>
      <c r="N541" t="s">
        <v>55</v>
      </c>
      <c r="O541" t="s">
        <v>56</v>
      </c>
      <c r="P541" t="s">
        <v>68</v>
      </c>
      <c r="Q541">
        <v>246</v>
      </c>
      <c r="R541">
        <v>30.32</v>
      </c>
      <c r="S541">
        <v>7458.72</v>
      </c>
      <c r="T541">
        <v>44.45</v>
      </c>
      <c r="U541">
        <v>4</v>
      </c>
      <c r="V541">
        <v>809</v>
      </c>
      <c r="W541" t="s">
        <v>36</v>
      </c>
      <c r="X541">
        <v>747.48</v>
      </c>
    </row>
    <row r="542" spans="1:24" x14ac:dyDescent="0.25">
      <c r="A542" s="2">
        <v>100540</v>
      </c>
      <c r="B542" s="1">
        <v>45901</v>
      </c>
      <c r="C542" s="1">
        <v>45901</v>
      </c>
      <c r="D542" s="1">
        <v>45912</v>
      </c>
      <c r="E542" t="s">
        <v>1595</v>
      </c>
      <c r="F542" t="s">
        <v>65</v>
      </c>
      <c r="G542" t="s">
        <v>142</v>
      </c>
      <c r="H542" t="s">
        <v>1596</v>
      </c>
      <c r="I542" t="s">
        <v>416</v>
      </c>
      <c r="J542" t="s">
        <v>80</v>
      </c>
      <c r="K542" t="s">
        <v>1597</v>
      </c>
      <c r="L542" t="s">
        <v>44</v>
      </c>
      <c r="M542" t="s">
        <v>32</v>
      </c>
      <c r="N542" t="s">
        <v>151</v>
      </c>
      <c r="O542" t="s">
        <v>152</v>
      </c>
      <c r="P542" t="s">
        <v>123</v>
      </c>
      <c r="Q542">
        <v>446</v>
      </c>
      <c r="R542">
        <v>347.71</v>
      </c>
      <c r="S542">
        <v>155078.66</v>
      </c>
      <c r="T542">
        <v>21.53</v>
      </c>
      <c r="U542">
        <v>11</v>
      </c>
      <c r="V542">
        <v>1827</v>
      </c>
      <c r="W542" t="s">
        <v>36</v>
      </c>
      <c r="X542">
        <v>20653.75</v>
      </c>
    </row>
    <row r="543" spans="1:24" x14ac:dyDescent="0.25">
      <c r="A543" s="2">
        <v>100541</v>
      </c>
      <c r="B543" s="1">
        <v>45593</v>
      </c>
      <c r="C543" s="1">
        <v>45598</v>
      </c>
      <c r="D543" s="1">
        <v>45601</v>
      </c>
      <c r="E543" t="s">
        <v>1598</v>
      </c>
      <c r="F543" t="s">
        <v>65</v>
      </c>
      <c r="G543" t="s">
        <v>142</v>
      </c>
      <c r="H543" t="s">
        <v>1599</v>
      </c>
      <c r="I543" t="s">
        <v>368</v>
      </c>
      <c r="J543" t="s">
        <v>29</v>
      </c>
      <c r="K543" t="s">
        <v>1600</v>
      </c>
      <c r="L543" t="s">
        <v>118</v>
      </c>
      <c r="M543" t="s">
        <v>65</v>
      </c>
      <c r="N543" t="s">
        <v>33</v>
      </c>
      <c r="O543" t="s">
        <v>34</v>
      </c>
      <c r="P543" t="s">
        <v>68</v>
      </c>
      <c r="Q543">
        <v>58</v>
      </c>
      <c r="R543">
        <v>28</v>
      </c>
      <c r="S543">
        <v>1624</v>
      </c>
      <c r="T543">
        <v>23.9</v>
      </c>
      <c r="U543">
        <v>3</v>
      </c>
      <c r="V543">
        <v>1309</v>
      </c>
      <c r="W543" t="s">
        <v>36</v>
      </c>
      <c r="X543">
        <v>257.81</v>
      </c>
    </row>
    <row r="544" spans="1:24" x14ac:dyDescent="0.25">
      <c r="A544" s="2">
        <v>100542</v>
      </c>
      <c r="B544" s="1">
        <v>45564</v>
      </c>
      <c r="C544" s="1">
        <v>45564</v>
      </c>
      <c r="D544" s="1">
        <v>45569</v>
      </c>
      <c r="E544" t="s">
        <v>1601</v>
      </c>
      <c r="F544" t="s">
        <v>32</v>
      </c>
      <c r="G544" t="s">
        <v>137</v>
      </c>
      <c r="H544" t="s">
        <v>1602</v>
      </c>
      <c r="I544" t="s">
        <v>61</v>
      </c>
      <c r="J544" t="s">
        <v>62</v>
      </c>
      <c r="K544" t="s">
        <v>1603</v>
      </c>
      <c r="L544" t="s">
        <v>44</v>
      </c>
      <c r="M544" t="s">
        <v>65</v>
      </c>
      <c r="N544" t="s">
        <v>55</v>
      </c>
      <c r="O544" t="s">
        <v>56</v>
      </c>
      <c r="P544" t="s">
        <v>35</v>
      </c>
      <c r="Q544">
        <v>486</v>
      </c>
      <c r="R544">
        <v>30.29</v>
      </c>
      <c r="S544">
        <v>14720.94</v>
      </c>
      <c r="T544">
        <v>26.25</v>
      </c>
      <c r="U544">
        <v>5</v>
      </c>
      <c r="V544">
        <v>2021</v>
      </c>
      <c r="W544" t="s">
        <v>57</v>
      </c>
      <c r="X544">
        <v>1892.67</v>
      </c>
    </row>
    <row r="545" spans="1:24" x14ac:dyDescent="0.25">
      <c r="A545" s="2">
        <v>100543</v>
      </c>
      <c r="B545" s="1">
        <v>45356</v>
      </c>
      <c r="C545" s="1">
        <v>45359</v>
      </c>
      <c r="D545" s="1">
        <v>45377</v>
      </c>
      <c r="E545" t="s">
        <v>1604</v>
      </c>
      <c r="F545" t="s">
        <v>32</v>
      </c>
      <c r="G545" t="s">
        <v>364</v>
      </c>
      <c r="H545" t="s">
        <v>1605</v>
      </c>
      <c r="I545" t="s">
        <v>230</v>
      </c>
      <c r="J545" t="s">
        <v>80</v>
      </c>
      <c r="K545" t="s">
        <v>790</v>
      </c>
      <c r="L545" t="s">
        <v>113</v>
      </c>
      <c r="M545" t="s">
        <v>32</v>
      </c>
      <c r="N545" t="s">
        <v>74</v>
      </c>
      <c r="O545" t="s">
        <v>75</v>
      </c>
      <c r="P545" t="s">
        <v>76</v>
      </c>
      <c r="Q545">
        <v>204</v>
      </c>
      <c r="R545">
        <v>251.61</v>
      </c>
      <c r="S545">
        <v>51328.44</v>
      </c>
      <c r="T545">
        <v>8.69</v>
      </c>
      <c r="U545">
        <v>18</v>
      </c>
      <c r="V545">
        <v>970</v>
      </c>
      <c r="W545" t="s">
        <v>36</v>
      </c>
      <c r="X545">
        <v>9323.7900000000009</v>
      </c>
    </row>
    <row r="546" spans="1:24" x14ac:dyDescent="0.25">
      <c r="A546" s="2">
        <v>100544</v>
      </c>
      <c r="B546" s="1">
        <v>45344</v>
      </c>
      <c r="C546" s="1">
        <v>45345</v>
      </c>
      <c r="D546" s="1">
        <v>45353</v>
      </c>
      <c r="E546" t="s">
        <v>1606</v>
      </c>
      <c r="F546" t="s">
        <v>54</v>
      </c>
      <c r="G546" t="s">
        <v>158</v>
      </c>
      <c r="H546" t="s">
        <v>1607</v>
      </c>
      <c r="I546" t="s">
        <v>198</v>
      </c>
      <c r="J546" t="s">
        <v>52</v>
      </c>
      <c r="K546" t="s">
        <v>1608</v>
      </c>
      <c r="L546" t="s">
        <v>113</v>
      </c>
      <c r="M546" t="s">
        <v>54</v>
      </c>
      <c r="N546" t="s">
        <v>55</v>
      </c>
      <c r="O546" t="s">
        <v>56</v>
      </c>
      <c r="P546" t="s">
        <v>35</v>
      </c>
      <c r="Q546">
        <v>295</v>
      </c>
      <c r="R546">
        <v>62.52</v>
      </c>
      <c r="S546">
        <v>18443.400000000001</v>
      </c>
      <c r="T546">
        <v>15.43</v>
      </c>
      <c r="U546">
        <v>8</v>
      </c>
      <c r="V546">
        <v>3050</v>
      </c>
      <c r="W546" t="s">
        <v>36</v>
      </c>
      <c r="X546">
        <v>3252.5</v>
      </c>
    </row>
    <row r="547" spans="1:24" x14ac:dyDescent="0.25">
      <c r="A547" s="2">
        <v>100545</v>
      </c>
      <c r="B547" s="1">
        <v>45371</v>
      </c>
      <c r="C547" s="1">
        <v>45376</v>
      </c>
      <c r="D547" s="1">
        <v>45398</v>
      </c>
      <c r="E547" t="s">
        <v>1609</v>
      </c>
      <c r="F547" t="s">
        <v>54</v>
      </c>
      <c r="G547" t="s">
        <v>158</v>
      </c>
      <c r="H547" t="s">
        <v>1610</v>
      </c>
      <c r="I547" t="s">
        <v>198</v>
      </c>
      <c r="J547" t="s">
        <v>52</v>
      </c>
      <c r="K547" t="s">
        <v>1305</v>
      </c>
      <c r="L547" t="s">
        <v>118</v>
      </c>
      <c r="M547" t="s">
        <v>54</v>
      </c>
      <c r="N547" t="s">
        <v>55</v>
      </c>
      <c r="O547" t="s">
        <v>56</v>
      </c>
      <c r="P547" t="s">
        <v>76</v>
      </c>
      <c r="Q547">
        <v>112</v>
      </c>
      <c r="R547">
        <v>50.49</v>
      </c>
      <c r="S547">
        <v>5654.88</v>
      </c>
      <c r="T547">
        <v>7.45</v>
      </c>
      <c r="U547">
        <v>22</v>
      </c>
      <c r="V547">
        <v>1073</v>
      </c>
      <c r="W547" t="s">
        <v>36</v>
      </c>
      <c r="X547">
        <v>1090.46</v>
      </c>
    </row>
    <row r="548" spans="1:24" x14ac:dyDescent="0.25">
      <c r="A548" s="2">
        <v>100546</v>
      </c>
      <c r="B548" s="1">
        <v>45624</v>
      </c>
      <c r="C548" s="1">
        <v>45627</v>
      </c>
      <c r="D548" s="1">
        <v>45639</v>
      </c>
      <c r="E548" t="s">
        <v>1611</v>
      </c>
      <c r="F548" t="s">
        <v>38</v>
      </c>
      <c r="G548" t="s">
        <v>49</v>
      </c>
      <c r="H548" t="s">
        <v>1612</v>
      </c>
      <c r="I548" t="s">
        <v>85</v>
      </c>
      <c r="J548" t="s">
        <v>52</v>
      </c>
      <c r="K548" t="s">
        <v>948</v>
      </c>
      <c r="L548" t="s">
        <v>122</v>
      </c>
      <c r="M548" t="s">
        <v>25</v>
      </c>
      <c r="N548" t="s">
        <v>203</v>
      </c>
      <c r="O548" t="s">
        <v>204</v>
      </c>
      <c r="P548" t="s">
        <v>123</v>
      </c>
      <c r="Q548">
        <v>102</v>
      </c>
      <c r="R548">
        <v>29.07</v>
      </c>
      <c r="S548">
        <v>2965.14</v>
      </c>
      <c r="T548">
        <v>13.17</v>
      </c>
      <c r="U548">
        <v>12</v>
      </c>
      <c r="V548">
        <v>2179</v>
      </c>
      <c r="W548" t="s">
        <v>36</v>
      </c>
      <c r="X548">
        <v>388.56</v>
      </c>
    </row>
    <row r="549" spans="1:24" x14ac:dyDescent="0.25">
      <c r="A549" s="2">
        <v>100547</v>
      </c>
      <c r="B549" s="1">
        <v>45431</v>
      </c>
      <c r="C549" s="1">
        <v>45435</v>
      </c>
      <c r="D549" s="1">
        <v>45436</v>
      </c>
      <c r="E549" t="s">
        <v>1613</v>
      </c>
      <c r="F549" t="s">
        <v>38</v>
      </c>
      <c r="G549" t="s">
        <v>39</v>
      </c>
      <c r="H549" t="s">
        <v>1614</v>
      </c>
      <c r="I549" t="s">
        <v>79</v>
      </c>
      <c r="J549" t="s">
        <v>80</v>
      </c>
      <c r="K549" t="s">
        <v>1228</v>
      </c>
      <c r="L549" t="s">
        <v>31</v>
      </c>
      <c r="M549" t="s">
        <v>65</v>
      </c>
      <c r="N549" t="s">
        <v>203</v>
      </c>
      <c r="O549" t="s">
        <v>204</v>
      </c>
      <c r="P549" t="s">
        <v>68</v>
      </c>
      <c r="Q549">
        <v>356</v>
      </c>
      <c r="R549">
        <v>202.99</v>
      </c>
      <c r="S549">
        <v>72264.44</v>
      </c>
      <c r="T549">
        <v>51.58</v>
      </c>
      <c r="U549">
        <v>1</v>
      </c>
      <c r="V549">
        <v>1064</v>
      </c>
      <c r="W549" t="s">
        <v>36</v>
      </c>
      <c r="X549">
        <v>18189.240000000002</v>
      </c>
    </row>
    <row r="550" spans="1:24" x14ac:dyDescent="0.25">
      <c r="A550" s="2">
        <v>100548</v>
      </c>
      <c r="B550" s="1">
        <v>45654</v>
      </c>
      <c r="C550" s="1">
        <v>45659</v>
      </c>
      <c r="D550" s="1">
        <v>45664</v>
      </c>
      <c r="E550" t="s">
        <v>1615</v>
      </c>
      <c r="F550" t="s">
        <v>65</v>
      </c>
      <c r="G550" t="s">
        <v>154</v>
      </c>
      <c r="H550" t="s">
        <v>1616</v>
      </c>
      <c r="I550" t="s">
        <v>191</v>
      </c>
      <c r="J550" t="s">
        <v>62</v>
      </c>
      <c r="K550" t="s">
        <v>1617</v>
      </c>
      <c r="L550" t="s">
        <v>91</v>
      </c>
      <c r="M550" t="s">
        <v>38</v>
      </c>
      <c r="N550" t="s">
        <v>102</v>
      </c>
      <c r="O550" t="s">
        <v>103</v>
      </c>
      <c r="P550" t="s">
        <v>68</v>
      </c>
      <c r="Q550">
        <v>108</v>
      </c>
      <c r="R550">
        <v>45.14</v>
      </c>
      <c r="S550">
        <v>4875.12</v>
      </c>
      <c r="T550">
        <v>35.51</v>
      </c>
      <c r="U550">
        <v>5</v>
      </c>
      <c r="V550">
        <v>721</v>
      </c>
      <c r="W550" t="s">
        <v>36</v>
      </c>
      <c r="X550">
        <v>376.9</v>
      </c>
    </row>
    <row r="551" spans="1:24" x14ac:dyDescent="0.25">
      <c r="A551" s="2">
        <v>100549</v>
      </c>
      <c r="B551" s="1">
        <v>45889</v>
      </c>
      <c r="C551" s="1">
        <v>45894</v>
      </c>
      <c r="D551" s="1">
        <v>45895</v>
      </c>
      <c r="E551" t="s">
        <v>1618</v>
      </c>
      <c r="F551" t="s">
        <v>38</v>
      </c>
      <c r="G551" t="s">
        <v>83</v>
      </c>
      <c r="H551" t="s">
        <v>1619</v>
      </c>
      <c r="I551" t="s">
        <v>85</v>
      </c>
      <c r="J551" t="s">
        <v>52</v>
      </c>
      <c r="K551" t="s">
        <v>1486</v>
      </c>
      <c r="L551" t="s">
        <v>31</v>
      </c>
      <c r="M551" t="s">
        <v>32</v>
      </c>
      <c r="N551" t="s">
        <v>55</v>
      </c>
      <c r="O551" t="s">
        <v>56</v>
      </c>
      <c r="P551" t="s">
        <v>68</v>
      </c>
      <c r="Q551">
        <v>377</v>
      </c>
      <c r="R551">
        <v>54.04</v>
      </c>
      <c r="S551">
        <v>20373.080000000002</v>
      </c>
      <c r="T551">
        <v>52.94</v>
      </c>
      <c r="U551">
        <v>1</v>
      </c>
      <c r="V551">
        <v>3938</v>
      </c>
      <c r="W551" t="s">
        <v>36</v>
      </c>
      <c r="X551">
        <v>2540.11</v>
      </c>
    </row>
    <row r="552" spans="1:24" x14ac:dyDescent="0.25">
      <c r="A552" s="2">
        <v>100550</v>
      </c>
      <c r="B552" s="1">
        <v>45867</v>
      </c>
      <c r="C552" s="1">
        <v>45869</v>
      </c>
      <c r="D552" s="1">
        <v>45874</v>
      </c>
      <c r="E552" t="s">
        <v>1620</v>
      </c>
      <c r="F552" t="s">
        <v>65</v>
      </c>
      <c r="G552" t="s">
        <v>142</v>
      </c>
      <c r="H552" t="s">
        <v>1621</v>
      </c>
      <c r="I552" t="s">
        <v>191</v>
      </c>
      <c r="J552" t="s">
        <v>62</v>
      </c>
      <c r="K552" t="s">
        <v>1166</v>
      </c>
      <c r="L552" t="s">
        <v>118</v>
      </c>
      <c r="M552" t="s">
        <v>38</v>
      </c>
      <c r="N552" t="s">
        <v>74</v>
      </c>
      <c r="O552" t="s">
        <v>75</v>
      </c>
      <c r="P552" t="s">
        <v>68</v>
      </c>
      <c r="Q552">
        <v>28</v>
      </c>
      <c r="R552">
        <v>28.52</v>
      </c>
      <c r="S552">
        <v>798.56</v>
      </c>
      <c r="T552">
        <v>30.33</v>
      </c>
      <c r="U552">
        <v>5</v>
      </c>
      <c r="V552">
        <v>4561</v>
      </c>
      <c r="W552" t="s">
        <v>36</v>
      </c>
      <c r="X552">
        <v>87.26</v>
      </c>
    </row>
    <row r="553" spans="1:24" x14ac:dyDescent="0.25">
      <c r="A553" s="2">
        <v>100551</v>
      </c>
      <c r="B553" s="1">
        <v>45735</v>
      </c>
      <c r="C553" s="1">
        <v>45738</v>
      </c>
      <c r="D553" s="1">
        <v>45746</v>
      </c>
      <c r="E553" t="s">
        <v>1622</v>
      </c>
      <c r="F553" t="s">
        <v>65</v>
      </c>
      <c r="G553" t="s">
        <v>142</v>
      </c>
      <c r="H553" t="s">
        <v>1623</v>
      </c>
      <c r="I553" t="s">
        <v>79</v>
      </c>
      <c r="J553" t="s">
        <v>80</v>
      </c>
      <c r="K553" t="s">
        <v>1624</v>
      </c>
      <c r="L553" t="s">
        <v>212</v>
      </c>
      <c r="M553" t="s">
        <v>54</v>
      </c>
      <c r="N553" t="s">
        <v>102</v>
      </c>
      <c r="O553" t="s">
        <v>103</v>
      </c>
      <c r="P553" t="s">
        <v>35</v>
      </c>
      <c r="Q553">
        <v>411</v>
      </c>
      <c r="R553">
        <v>287.17</v>
      </c>
      <c r="S553">
        <v>118026.87</v>
      </c>
      <c r="T553">
        <v>24.13</v>
      </c>
      <c r="U553">
        <v>8</v>
      </c>
      <c r="V553">
        <v>567</v>
      </c>
      <c r="W553" t="s">
        <v>36</v>
      </c>
      <c r="X553">
        <v>15238.88</v>
      </c>
    </row>
    <row r="554" spans="1:24" x14ac:dyDescent="0.25">
      <c r="A554" s="2">
        <v>100552</v>
      </c>
      <c r="B554" s="1">
        <v>45473</v>
      </c>
      <c r="C554" s="1">
        <v>45473</v>
      </c>
      <c r="D554" s="1">
        <v>45478</v>
      </c>
      <c r="E554" t="s">
        <v>1625</v>
      </c>
      <c r="F554" t="s">
        <v>54</v>
      </c>
      <c r="G554" t="s">
        <v>158</v>
      </c>
      <c r="H554" t="s">
        <v>1626</v>
      </c>
      <c r="I554" t="s">
        <v>198</v>
      </c>
      <c r="J554" t="s">
        <v>52</v>
      </c>
      <c r="K554" t="s">
        <v>1627</v>
      </c>
      <c r="L554" t="s">
        <v>187</v>
      </c>
      <c r="M554" t="s">
        <v>54</v>
      </c>
      <c r="N554" t="s">
        <v>66</v>
      </c>
      <c r="O554" t="s">
        <v>67</v>
      </c>
      <c r="P554" t="s">
        <v>68</v>
      </c>
      <c r="Q554">
        <v>355</v>
      </c>
      <c r="R554">
        <v>22.83</v>
      </c>
      <c r="S554">
        <v>8104.65</v>
      </c>
      <c r="T554">
        <v>38.159999999999997</v>
      </c>
      <c r="U554">
        <v>5</v>
      </c>
      <c r="V554">
        <v>2226</v>
      </c>
      <c r="W554" t="s">
        <v>36</v>
      </c>
      <c r="X554">
        <v>608.75</v>
      </c>
    </row>
    <row r="555" spans="1:24" x14ac:dyDescent="0.25">
      <c r="A555" s="2">
        <v>100553</v>
      </c>
      <c r="B555" s="1">
        <v>45424</v>
      </c>
      <c r="C555" s="1">
        <v>45424</v>
      </c>
      <c r="D555" s="1">
        <v>45431</v>
      </c>
      <c r="E555" t="s">
        <v>1628</v>
      </c>
      <c r="F555" t="s">
        <v>25</v>
      </c>
      <c r="G555" t="s">
        <v>244</v>
      </c>
      <c r="H555" t="s">
        <v>1629</v>
      </c>
      <c r="I555" t="s">
        <v>28</v>
      </c>
      <c r="J555" t="s">
        <v>29</v>
      </c>
      <c r="K555" t="s">
        <v>1630</v>
      </c>
      <c r="L555" t="s">
        <v>98</v>
      </c>
      <c r="M555" t="s">
        <v>65</v>
      </c>
      <c r="N555" t="s">
        <v>66</v>
      </c>
      <c r="O555" t="s">
        <v>67</v>
      </c>
      <c r="P555" t="s">
        <v>35</v>
      </c>
      <c r="Q555">
        <v>48</v>
      </c>
      <c r="R555">
        <v>25.84</v>
      </c>
      <c r="S555">
        <v>1240.32</v>
      </c>
      <c r="T555">
        <v>13.83</v>
      </c>
      <c r="U555">
        <v>7</v>
      </c>
      <c r="V555">
        <v>311</v>
      </c>
      <c r="W555" t="s">
        <v>36</v>
      </c>
      <c r="X555">
        <v>125.98</v>
      </c>
    </row>
    <row r="556" spans="1:24" x14ac:dyDescent="0.25">
      <c r="A556" s="2">
        <v>100554</v>
      </c>
      <c r="B556" s="1">
        <v>45325</v>
      </c>
      <c r="C556" s="1">
        <v>45326</v>
      </c>
      <c r="D556" s="1">
        <v>45341</v>
      </c>
      <c r="E556" t="s">
        <v>1631</v>
      </c>
      <c r="F556" t="s">
        <v>65</v>
      </c>
      <c r="G556" t="s">
        <v>70</v>
      </c>
      <c r="H556" t="s">
        <v>1632</v>
      </c>
      <c r="I556" t="s">
        <v>198</v>
      </c>
      <c r="J556" t="s">
        <v>52</v>
      </c>
      <c r="K556" t="s">
        <v>1633</v>
      </c>
      <c r="L556" t="s">
        <v>64</v>
      </c>
      <c r="M556" t="s">
        <v>54</v>
      </c>
      <c r="N556" t="s">
        <v>33</v>
      </c>
      <c r="O556" t="s">
        <v>34</v>
      </c>
      <c r="P556" t="s">
        <v>35</v>
      </c>
      <c r="Q556">
        <v>144</v>
      </c>
      <c r="R556">
        <v>13.12</v>
      </c>
      <c r="S556">
        <v>1889.28</v>
      </c>
      <c r="T556">
        <v>16.559999999999999</v>
      </c>
      <c r="U556">
        <v>15</v>
      </c>
      <c r="V556">
        <v>2948</v>
      </c>
      <c r="W556" t="s">
        <v>188</v>
      </c>
      <c r="X556">
        <v>125.78</v>
      </c>
    </row>
    <row r="557" spans="1:24" x14ac:dyDescent="0.25">
      <c r="A557" s="2">
        <v>100555</v>
      </c>
      <c r="B557" s="1">
        <v>45335</v>
      </c>
      <c r="C557" s="1">
        <v>45338</v>
      </c>
      <c r="D557" s="1">
        <v>45361</v>
      </c>
      <c r="E557" t="s">
        <v>1634</v>
      </c>
      <c r="F557" t="s">
        <v>38</v>
      </c>
      <c r="G557" t="s">
        <v>39</v>
      </c>
      <c r="H557" t="s">
        <v>1635</v>
      </c>
      <c r="I557" t="s">
        <v>116</v>
      </c>
      <c r="J557" t="s">
        <v>62</v>
      </c>
      <c r="K557" t="s">
        <v>1636</v>
      </c>
      <c r="L557" t="s">
        <v>98</v>
      </c>
      <c r="M557" t="s">
        <v>25</v>
      </c>
      <c r="N557" t="s">
        <v>203</v>
      </c>
      <c r="O557" t="s">
        <v>204</v>
      </c>
      <c r="P557" t="s">
        <v>76</v>
      </c>
      <c r="Q557">
        <v>117</v>
      </c>
      <c r="R557">
        <v>21.05</v>
      </c>
      <c r="S557">
        <v>2462.85</v>
      </c>
      <c r="T557">
        <v>10.15</v>
      </c>
      <c r="U557">
        <v>23</v>
      </c>
      <c r="V557">
        <v>4201</v>
      </c>
      <c r="W557" t="s">
        <v>36</v>
      </c>
      <c r="X557">
        <v>323.64999999999998</v>
      </c>
    </row>
    <row r="558" spans="1:24" x14ac:dyDescent="0.25">
      <c r="A558" s="2">
        <v>100556</v>
      </c>
      <c r="B558" s="1">
        <v>45670</v>
      </c>
      <c r="C558" s="1">
        <v>45670</v>
      </c>
      <c r="D558" s="1">
        <v>45675</v>
      </c>
      <c r="E558" t="s">
        <v>1637</v>
      </c>
      <c r="F558" t="s">
        <v>54</v>
      </c>
      <c r="G558" t="s">
        <v>165</v>
      </c>
      <c r="H558" t="s">
        <v>1638</v>
      </c>
      <c r="I558" t="s">
        <v>198</v>
      </c>
      <c r="J558" t="s">
        <v>52</v>
      </c>
      <c r="K558" t="s">
        <v>1639</v>
      </c>
      <c r="L558" t="s">
        <v>187</v>
      </c>
      <c r="M558" t="s">
        <v>65</v>
      </c>
      <c r="N558" t="s">
        <v>45</v>
      </c>
      <c r="O558" t="s">
        <v>46</v>
      </c>
      <c r="P558" t="s">
        <v>123</v>
      </c>
      <c r="Q558">
        <v>190</v>
      </c>
      <c r="R558">
        <v>59.05</v>
      </c>
      <c r="S558">
        <v>11219.5</v>
      </c>
      <c r="T558">
        <v>15.31</v>
      </c>
      <c r="U558">
        <v>5</v>
      </c>
      <c r="V558">
        <v>4378</v>
      </c>
      <c r="W558" t="s">
        <v>36</v>
      </c>
      <c r="X558">
        <v>1161.68</v>
      </c>
    </row>
    <row r="559" spans="1:24" x14ac:dyDescent="0.25">
      <c r="A559" s="2">
        <v>100557</v>
      </c>
      <c r="B559" s="1">
        <v>45974</v>
      </c>
      <c r="C559" s="1">
        <v>45974</v>
      </c>
      <c r="D559" s="1">
        <v>45978</v>
      </c>
      <c r="E559" t="s">
        <v>1640</v>
      </c>
      <c r="F559" t="s">
        <v>32</v>
      </c>
      <c r="G559" t="s">
        <v>255</v>
      </c>
      <c r="H559" t="s">
        <v>1641</v>
      </c>
      <c r="I559" t="s">
        <v>368</v>
      </c>
      <c r="J559" t="s">
        <v>29</v>
      </c>
      <c r="K559" t="s">
        <v>581</v>
      </c>
      <c r="L559" t="s">
        <v>118</v>
      </c>
      <c r="M559" t="s">
        <v>38</v>
      </c>
      <c r="N559" t="s">
        <v>45</v>
      </c>
      <c r="O559" t="s">
        <v>46</v>
      </c>
      <c r="P559" t="s">
        <v>123</v>
      </c>
      <c r="Q559">
        <v>58</v>
      </c>
      <c r="R559">
        <v>116.26</v>
      </c>
      <c r="S559">
        <v>6743.08</v>
      </c>
      <c r="T559">
        <v>12.1</v>
      </c>
      <c r="U559">
        <v>4</v>
      </c>
      <c r="V559">
        <v>442</v>
      </c>
      <c r="W559" t="s">
        <v>36</v>
      </c>
      <c r="X559">
        <v>858.06</v>
      </c>
    </row>
    <row r="560" spans="1:24" x14ac:dyDescent="0.25">
      <c r="A560" s="2">
        <v>100558</v>
      </c>
      <c r="B560" s="1">
        <v>45896</v>
      </c>
      <c r="C560" s="1">
        <v>45901</v>
      </c>
      <c r="D560" s="1">
        <v>45920</v>
      </c>
      <c r="E560" t="s">
        <v>161</v>
      </c>
      <c r="F560" t="s">
        <v>65</v>
      </c>
      <c r="G560" t="s">
        <v>154</v>
      </c>
      <c r="H560" t="s">
        <v>1642</v>
      </c>
      <c r="I560" t="s">
        <v>89</v>
      </c>
      <c r="J560" t="s">
        <v>62</v>
      </c>
      <c r="K560" t="s">
        <v>1643</v>
      </c>
      <c r="L560" t="s">
        <v>122</v>
      </c>
      <c r="M560" t="s">
        <v>32</v>
      </c>
      <c r="N560" t="s">
        <v>102</v>
      </c>
      <c r="O560" t="s">
        <v>103</v>
      </c>
      <c r="P560" t="s">
        <v>76</v>
      </c>
      <c r="Q560">
        <v>21</v>
      </c>
      <c r="R560">
        <v>34.630000000000003</v>
      </c>
      <c r="S560">
        <v>727.23</v>
      </c>
      <c r="T560">
        <v>8.4</v>
      </c>
      <c r="U560">
        <v>19</v>
      </c>
      <c r="V560">
        <v>3823</v>
      </c>
      <c r="W560" t="s">
        <v>188</v>
      </c>
      <c r="X560">
        <v>114.48</v>
      </c>
    </row>
    <row r="561" spans="1:24" x14ac:dyDescent="0.25">
      <c r="A561" s="2">
        <v>100559</v>
      </c>
      <c r="B561" s="1">
        <v>45520</v>
      </c>
      <c r="C561" s="1">
        <v>45520</v>
      </c>
      <c r="D561" s="1">
        <v>45523</v>
      </c>
      <c r="E561" t="s">
        <v>1644</v>
      </c>
      <c r="F561" t="s">
        <v>54</v>
      </c>
      <c r="G561" t="s">
        <v>158</v>
      </c>
      <c r="H561" t="s">
        <v>1645</v>
      </c>
      <c r="I561" t="s">
        <v>207</v>
      </c>
      <c r="J561" t="s">
        <v>80</v>
      </c>
      <c r="K561" t="s">
        <v>1335</v>
      </c>
      <c r="L561" t="s">
        <v>118</v>
      </c>
      <c r="M561" t="s">
        <v>65</v>
      </c>
      <c r="N561" t="s">
        <v>66</v>
      </c>
      <c r="O561" t="s">
        <v>67</v>
      </c>
      <c r="P561" t="s">
        <v>35</v>
      </c>
      <c r="Q561">
        <v>368</v>
      </c>
      <c r="R561">
        <v>344.04</v>
      </c>
      <c r="S561">
        <v>126606.72</v>
      </c>
      <c r="T561">
        <v>22.91</v>
      </c>
      <c r="U561">
        <v>3</v>
      </c>
      <c r="V561">
        <v>2172</v>
      </c>
      <c r="W561" t="s">
        <v>36</v>
      </c>
      <c r="X561">
        <v>24725.13</v>
      </c>
    </row>
    <row r="562" spans="1:24" x14ac:dyDescent="0.25">
      <c r="A562" s="2">
        <v>100560</v>
      </c>
      <c r="B562" s="1">
        <v>45714</v>
      </c>
      <c r="C562" s="1">
        <v>45718</v>
      </c>
      <c r="D562" s="1">
        <v>45732</v>
      </c>
      <c r="E562" t="s">
        <v>1646</v>
      </c>
      <c r="F562" t="s">
        <v>38</v>
      </c>
      <c r="G562" t="s">
        <v>83</v>
      </c>
      <c r="H562" t="s">
        <v>1647</v>
      </c>
      <c r="I562" t="s">
        <v>139</v>
      </c>
      <c r="J562" t="s">
        <v>42</v>
      </c>
      <c r="K562" t="s">
        <v>518</v>
      </c>
      <c r="L562" t="s">
        <v>113</v>
      </c>
      <c r="M562" t="s">
        <v>32</v>
      </c>
      <c r="N562" t="s">
        <v>151</v>
      </c>
      <c r="O562" t="s">
        <v>152</v>
      </c>
      <c r="P562" t="s">
        <v>76</v>
      </c>
      <c r="Q562">
        <v>401</v>
      </c>
      <c r="R562">
        <v>388.23</v>
      </c>
      <c r="S562">
        <v>155680.23000000001</v>
      </c>
      <c r="T562">
        <v>15.33</v>
      </c>
      <c r="U562">
        <v>14</v>
      </c>
      <c r="V562">
        <v>1011</v>
      </c>
      <c r="W562" t="s">
        <v>36</v>
      </c>
      <c r="X562">
        <v>19546.650000000001</v>
      </c>
    </row>
    <row r="563" spans="1:24" x14ac:dyDescent="0.25">
      <c r="A563" s="2">
        <v>100561</v>
      </c>
      <c r="B563" s="1">
        <v>45906</v>
      </c>
      <c r="C563" s="1">
        <v>45908</v>
      </c>
      <c r="D563" s="1">
        <v>45923</v>
      </c>
      <c r="E563" t="s">
        <v>1648</v>
      </c>
      <c r="F563" t="s">
        <v>65</v>
      </c>
      <c r="G563" t="s">
        <v>142</v>
      </c>
      <c r="H563" t="s">
        <v>1649</v>
      </c>
      <c r="I563" t="s">
        <v>149</v>
      </c>
      <c r="J563" t="s">
        <v>42</v>
      </c>
      <c r="K563" t="s">
        <v>1650</v>
      </c>
      <c r="L563" t="s">
        <v>98</v>
      </c>
      <c r="M563" t="s">
        <v>54</v>
      </c>
      <c r="N563" t="s">
        <v>55</v>
      </c>
      <c r="O563" t="s">
        <v>56</v>
      </c>
      <c r="P563" t="s">
        <v>76</v>
      </c>
      <c r="Q563">
        <v>195</v>
      </c>
      <c r="R563">
        <v>438.52</v>
      </c>
      <c r="S563">
        <v>85511.4</v>
      </c>
      <c r="T563">
        <v>11.57</v>
      </c>
      <c r="U563">
        <v>15</v>
      </c>
      <c r="V563">
        <v>214</v>
      </c>
      <c r="W563" t="s">
        <v>36</v>
      </c>
      <c r="X563">
        <v>18552.689999999999</v>
      </c>
    </row>
    <row r="564" spans="1:24" x14ac:dyDescent="0.25">
      <c r="A564" s="2">
        <v>100562</v>
      </c>
      <c r="B564" s="1">
        <v>45484</v>
      </c>
      <c r="C564" s="1">
        <v>45486</v>
      </c>
      <c r="D564" s="1">
        <v>45488</v>
      </c>
      <c r="E564" t="s">
        <v>1651</v>
      </c>
      <c r="F564" t="s">
        <v>25</v>
      </c>
      <c r="G564" t="s">
        <v>59</v>
      </c>
      <c r="H564" t="s">
        <v>1652</v>
      </c>
      <c r="I564" t="s">
        <v>368</v>
      </c>
      <c r="J564" t="s">
        <v>29</v>
      </c>
      <c r="K564" t="s">
        <v>1653</v>
      </c>
      <c r="L564" t="s">
        <v>31</v>
      </c>
      <c r="M564" t="s">
        <v>32</v>
      </c>
      <c r="N564" t="s">
        <v>102</v>
      </c>
      <c r="O564" t="s">
        <v>103</v>
      </c>
      <c r="P564" t="s">
        <v>68</v>
      </c>
      <c r="Q564">
        <v>349</v>
      </c>
      <c r="R564">
        <v>42.41</v>
      </c>
      <c r="S564">
        <v>14801.09</v>
      </c>
      <c r="T564">
        <v>51.13</v>
      </c>
      <c r="U564">
        <v>2</v>
      </c>
      <c r="V564">
        <v>2663</v>
      </c>
      <c r="W564" t="s">
        <v>47</v>
      </c>
      <c r="X564">
        <v>-10.38</v>
      </c>
    </row>
    <row r="565" spans="1:24" x14ac:dyDescent="0.25">
      <c r="A565" s="2">
        <v>100563</v>
      </c>
      <c r="B565" s="1">
        <v>45948</v>
      </c>
      <c r="C565" s="1">
        <v>45953</v>
      </c>
      <c r="D565" s="1">
        <v>45963</v>
      </c>
      <c r="E565" t="s">
        <v>1654</v>
      </c>
      <c r="F565" t="s">
        <v>38</v>
      </c>
      <c r="G565" t="s">
        <v>49</v>
      </c>
      <c r="H565" t="s">
        <v>1655</v>
      </c>
      <c r="I565" t="s">
        <v>79</v>
      </c>
      <c r="J565" t="s">
        <v>80</v>
      </c>
      <c r="K565" t="s">
        <v>1656</v>
      </c>
      <c r="L565" t="s">
        <v>118</v>
      </c>
      <c r="M565" t="s">
        <v>54</v>
      </c>
      <c r="N565" t="s">
        <v>33</v>
      </c>
      <c r="O565" t="s">
        <v>34</v>
      </c>
      <c r="P565" t="s">
        <v>35</v>
      </c>
      <c r="Q565">
        <v>127</v>
      </c>
      <c r="R565">
        <v>159.80000000000001</v>
      </c>
      <c r="S565">
        <v>20294.599999999999</v>
      </c>
      <c r="T565">
        <v>16.07</v>
      </c>
      <c r="U565">
        <v>10</v>
      </c>
      <c r="V565">
        <v>715</v>
      </c>
      <c r="W565" t="s">
        <v>57</v>
      </c>
      <c r="X565">
        <v>2674.21</v>
      </c>
    </row>
    <row r="566" spans="1:24" x14ac:dyDescent="0.25">
      <c r="A566" s="2">
        <v>100564</v>
      </c>
      <c r="B566" s="1">
        <v>45440</v>
      </c>
      <c r="C566" s="1">
        <v>45445</v>
      </c>
      <c r="D566" s="1">
        <v>45449</v>
      </c>
      <c r="E566" t="s">
        <v>1657</v>
      </c>
      <c r="F566" t="s">
        <v>32</v>
      </c>
      <c r="G566" t="s">
        <v>273</v>
      </c>
      <c r="H566" t="s">
        <v>1658</v>
      </c>
      <c r="I566" t="s">
        <v>278</v>
      </c>
      <c r="J566" t="s">
        <v>29</v>
      </c>
      <c r="K566" t="s">
        <v>1659</v>
      </c>
      <c r="L566" t="s">
        <v>64</v>
      </c>
      <c r="M566" t="s">
        <v>65</v>
      </c>
      <c r="N566" t="s">
        <v>45</v>
      </c>
      <c r="O566" t="s">
        <v>46</v>
      </c>
      <c r="P566" t="s">
        <v>68</v>
      </c>
      <c r="Q566">
        <v>482</v>
      </c>
      <c r="R566">
        <v>82.83</v>
      </c>
      <c r="S566">
        <v>39924.06</v>
      </c>
      <c r="T566">
        <v>59.75</v>
      </c>
      <c r="U566">
        <v>4</v>
      </c>
      <c r="V566">
        <v>3287</v>
      </c>
      <c r="W566" t="s">
        <v>57</v>
      </c>
      <c r="X566">
        <v>9275.73</v>
      </c>
    </row>
    <row r="567" spans="1:24" x14ac:dyDescent="0.25">
      <c r="A567" s="2">
        <v>100565</v>
      </c>
      <c r="B567" s="1">
        <v>45382</v>
      </c>
      <c r="C567" s="1">
        <v>45386</v>
      </c>
      <c r="D567" s="1">
        <v>45390</v>
      </c>
      <c r="E567" t="s">
        <v>1660</v>
      </c>
      <c r="F567" t="s">
        <v>38</v>
      </c>
      <c r="G567" t="s">
        <v>217</v>
      </c>
      <c r="H567" t="s">
        <v>1661</v>
      </c>
      <c r="I567" t="s">
        <v>139</v>
      </c>
      <c r="J567" t="s">
        <v>42</v>
      </c>
      <c r="K567" t="s">
        <v>106</v>
      </c>
      <c r="L567" t="s">
        <v>113</v>
      </c>
      <c r="M567" t="s">
        <v>32</v>
      </c>
      <c r="N567" t="s">
        <v>55</v>
      </c>
      <c r="O567" t="s">
        <v>56</v>
      </c>
      <c r="P567" t="s">
        <v>123</v>
      </c>
      <c r="Q567">
        <v>393</v>
      </c>
      <c r="R567">
        <v>129.11000000000001</v>
      </c>
      <c r="S567">
        <v>50740.23</v>
      </c>
      <c r="T567">
        <v>20.239999999999998</v>
      </c>
      <c r="U567">
        <v>4</v>
      </c>
      <c r="V567">
        <v>800</v>
      </c>
      <c r="W567" t="s">
        <v>36</v>
      </c>
      <c r="X567">
        <v>6811.71</v>
      </c>
    </row>
    <row r="568" spans="1:24" x14ac:dyDescent="0.25">
      <c r="A568" s="2">
        <v>100566</v>
      </c>
      <c r="B568" s="1">
        <v>45303</v>
      </c>
      <c r="C568" s="1">
        <v>45306</v>
      </c>
      <c r="D568" s="1">
        <v>45327</v>
      </c>
      <c r="E568" t="s">
        <v>1662</v>
      </c>
      <c r="F568" t="s">
        <v>25</v>
      </c>
      <c r="G568" t="s">
        <v>26</v>
      </c>
      <c r="H568" t="s">
        <v>1663</v>
      </c>
      <c r="I568" t="s">
        <v>177</v>
      </c>
      <c r="J568" t="s">
        <v>29</v>
      </c>
      <c r="K568" t="s">
        <v>1292</v>
      </c>
      <c r="L568" t="s">
        <v>44</v>
      </c>
      <c r="M568" t="s">
        <v>54</v>
      </c>
      <c r="N568" t="s">
        <v>107</v>
      </c>
      <c r="O568" t="s">
        <v>108</v>
      </c>
      <c r="P568" t="s">
        <v>76</v>
      </c>
      <c r="Q568">
        <v>350</v>
      </c>
      <c r="R568">
        <v>75.599999999999994</v>
      </c>
      <c r="S568">
        <v>26460</v>
      </c>
      <c r="T568">
        <v>14.4</v>
      </c>
      <c r="U568">
        <v>21</v>
      </c>
      <c r="V568">
        <v>2025</v>
      </c>
      <c r="W568" t="s">
        <v>36</v>
      </c>
      <c r="X568">
        <v>5143.82</v>
      </c>
    </row>
    <row r="569" spans="1:24" x14ac:dyDescent="0.25">
      <c r="A569" s="2">
        <v>100567</v>
      </c>
      <c r="B569" s="1">
        <v>45745</v>
      </c>
      <c r="C569" s="1">
        <v>45748</v>
      </c>
      <c r="D569" s="1">
        <v>45752</v>
      </c>
      <c r="E569" t="s">
        <v>1664</v>
      </c>
      <c r="F569" t="s">
        <v>25</v>
      </c>
      <c r="G569" t="s">
        <v>221</v>
      </c>
      <c r="H569" t="s">
        <v>1665</v>
      </c>
      <c r="I569" t="s">
        <v>368</v>
      </c>
      <c r="J569" t="s">
        <v>29</v>
      </c>
      <c r="K569" t="s">
        <v>1546</v>
      </c>
      <c r="L569" t="s">
        <v>118</v>
      </c>
      <c r="M569" t="s">
        <v>54</v>
      </c>
      <c r="N569" t="s">
        <v>92</v>
      </c>
      <c r="O569" t="s">
        <v>93</v>
      </c>
      <c r="P569" t="s">
        <v>68</v>
      </c>
      <c r="Q569">
        <v>258</v>
      </c>
      <c r="R569">
        <v>37.26</v>
      </c>
      <c r="S569">
        <v>9613.08</v>
      </c>
      <c r="T569">
        <v>45.23</v>
      </c>
      <c r="U569">
        <v>4</v>
      </c>
      <c r="V569">
        <v>283</v>
      </c>
      <c r="W569" t="s">
        <v>36</v>
      </c>
      <c r="X569">
        <v>2190.36</v>
      </c>
    </row>
    <row r="570" spans="1:24" x14ac:dyDescent="0.25">
      <c r="A570" s="2">
        <v>100568</v>
      </c>
      <c r="B570" s="1">
        <v>45370</v>
      </c>
      <c r="C570" s="1">
        <v>45371</v>
      </c>
      <c r="D570" s="1">
        <v>45380</v>
      </c>
      <c r="E570" t="s">
        <v>1666</v>
      </c>
      <c r="F570" t="s">
        <v>65</v>
      </c>
      <c r="G570" t="s">
        <v>142</v>
      </c>
      <c r="H570" t="s">
        <v>1667</v>
      </c>
      <c r="I570" t="s">
        <v>238</v>
      </c>
      <c r="J570" t="s">
        <v>62</v>
      </c>
      <c r="K570" t="s">
        <v>458</v>
      </c>
      <c r="L570" t="s">
        <v>118</v>
      </c>
      <c r="M570" t="s">
        <v>25</v>
      </c>
      <c r="N570" t="s">
        <v>33</v>
      </c>
      <c r="O570" t="s">
        <v>34</v>
      </c>
      <c r="P570" t="s">
        <v>35</v>
      </c>
      <c r="Q570">
        <v>236</v>
      </c>
      <c r="R570">
        <v>29.34</v>
      </c>
      <c r="S570">
        <v>6924.24</v>
      </c>
      <c r="T570">
        <v>19.16</v>
      </c>
      <c r="U570">
        <v>9</v>
      </c>
      <c r="V570">
        <v>601</v>
      </c>
      <c r="W570" t="s">
        <v>36</v>
      </c>
      <c r="X570">
        <v>950.75</v>
      </c>
    </row>
    <row r="571" spans="1:24" x14ac:dyDescent="0.25">
      <c r="A571" s="2">
        <v>100569</v>
      </c>
      <c r="B571" s="1">
        <v>45842</v>
      </c>
      <c r="C571" s="1">
        <v>45844</v>
      </c>
      <c r="D571" s="1">
        <v>45857</v>
      </c>
      <c r="E571" t="s">
        <v>1668</v>
      </c>
      <c r="F571" t="s">
        <v>38</v>
      </c>
      <c r="G571" t="s">
        <v>147</v>
      </c>
      <c r="H571" t="s">
        <v>1669</v>
      </c>
      <c r="I571" t="s">
        <v>41</v>
      </c>
      <c r="J571" t="s">
        <v>42</v>
      </c>
      <c r="K571" t="s">
        <v>1388</v>
      </c>
      <c r="L571" t="s">
        <v>31</v>
      </c>
      <c r="M571" t="s">
        <v>32</v>
      </c>
      <c r="N571" t="s">
        <v>203</v>
      </c>
      <c r="O571" t="s">
        <v>204</v>
      </c>
      <c r="P571" t="s">
        <v>76</v>
      </c>
      <c r="Q571">
        <v>434</v>
      </c>
      <c r="R571">
        <v>309.36</v>
      </c>
      <c r="S571">
        <v>134262.24</v>
      </c>
      <c r="T571">
        <v>15.93</v>
      </c>
      <c r="U571">
        <v>13</v>
      </c>
      <c r="V571">
        <v>1737</v>
      </c>
      <c r="W571" t="s">
        <v>36</v>
      </c>
      <c r="X571">
        <v>15534.61</v>
      </c>
    </row>
    <row r="572" spans="1:24" x14ac:dyDescent="0.25">
      <c r="A572" s="2">
        <v>100570</v>
      </c>
      <c r="B572" s="1">
        <v>45677</v>
      </c>
      <c r="C572" s="1">
        <v>45682</v>
      </c>
      <c r="D572" s="1">
        <v>45686</v>
      </c>
      <c r="E572" t="s">
        <v>1670</v>
      </c>
      <c r="F572" t="s">
        <v>32</v>
      </c>
      <c r="G572" t="s">
        <v>110</v>
      </c>
      <c r="H572" t="s">
        <v>1671</v>
      </c>
      <c r="I572" t="s">
        <v>416</v>
      </c>
      <c r="J572" t="s">
        <v>80</v>
      </c>
      <c r="K572" t="s">
        <v>649</v>
      </c>
      <c r="L572" t="s">
        <v>122</v>
      </c>
      <c r="M572" t="s">
        <v>25</v>
      </c>
      <c r="N572" t="s">
        <v>92</v>
      </c>
      <c r="O572" t="s">
        <v>93</v>
      </c>
      <c r="P572" t="s">
        <v>35</v>
      </c>
      <c r="Q572">
        <v>118</v>
      </c>
      <c r="R572">
        <v>318.57</v>
      </c>
      <c r="S572">
        <v>37591.26</v>
      </c>
      <c r="T572">
        <v>15.82</v>
      </c>
      <c r="U572">
        <v>4</v>
      </c>
      <c r="V572">
        <v>1211</v>
      </c>
      <c r="W572" t="s">
        <v>36</v>
      </c>
      <c r="X572">
        <v>7087.07</v>
      </c>
    </row>
    <row r="573" spans="1:24" x14ac:dyDescent="0.25">
      <c r="A573" s="2">
        <v>100571</v>
      </c>
      <c r="B573" s="1">
        <v>45885</v>
      </c>
      <c r="C573" s="1">
        <v>45888</v>
      </c>
      <c r="D573" s="1">
        <v>45889</v>
      </c>
      <c r="E573" t="s">
        <v>1672</v>
      </c>
      <c r="F573" t="s">
        <v>25</v>
      </c>
      <c r="G573" t="s">
        <v>172</v>
      </c>
      <c r="H573" t="s">
        <v>1673</v>
      </c>
      <c r="I573" t="s">
        <v>41</v>
      </c>
      <c r="J573" t="s">
        <v>42</v>
      </c>
      <c r="K573" t="s">
        <v>199</v>
      </c>
      <c r="L573" t="s">
        <v>122</v>
      </c>
      <c r="M573" t="s">
        <v>65</v>
      </c>
      <c r="N573" t="s">
        <v>102</v>
      </c>
      <c r="O573" t="s">
        <v>103</v>
      </c>
      <c r="P573" t="s">
        <v>68</v>
      </c>
      <c r="Q573">
        <v>163</v>
      </c>
      <c r="R573">
        <v>118.41</v>
      </c>
      <c r="S573">
        <v>19300.830000000002</v>
      </c>
      <c r="T573">
        <v>39.07</v>
      </c>
      <c r="U573">
        <v>1</v>
      </c>
      <c r="V573">
        <v>655</v>
      </c>
      <c r="W573" t="s">
        <v>36</v>
      </c>
      <c r="X573">
        <v>2305.3000000000002</v>
      </c>
    </row>
    <row r="574" spans="1:24" x14ac:dyDescent="0.25">
      <c r="A574" s="2">
        <v>100572</v>
      </c>
      <c r="B574" s="1">
        <v>45758</v>
      </c>
      <c r="C574" s="1">
        <v>45759</v>
      </c>
      <c r="D574" s="1">
        <v>45765</v>
      </c>
      <c r="E574" t="s">
        <v>1674</v>
      </c>
      <c r="F574" t="s">
        <v>38</v>
      </c>
      <c r="G574" t="s">
        <v>49</v>
      </c>
      <c r="H574" t="s">
        <v>1675</v>
      </c>
      <c r="I574" t="s">
        <v>177</v>
      </c>
      <c r="J574" t="s">
        <v>29</v>
      </c>
      <c r="K574" t="s">
        <v>1676</v>
      </c>
      <c r="L574" t="s">
        <v>91</v>
      </c>
      <c r="M574" t="s">
        <v>54</v>
      </c>
      <c r="N574" t="s">
        <v>203</v>
      </c>
      <c r="O574" t="s">
        <v>204</v>
      </c>
      <c r="P574" t="s">
        <v>35</v>
      </c>
      <c r="Q574">
        <v>333</v>
      </c>
      <c r="R574">
        <v>46.52</v>
      </c>
      <c r="S574">
        <v>15491.16</v>
      </c>
      <c r="T574">
        <v>21.91</v>
      </c>
      <c r="U574">
        <v>6</v>
      </c>
      <c r="V574">
        <v>939</v>
      </c>
      <c r="W574" t="s">
        <v>36</v>
      </c>
      <c r="X574">
        <v>2392.06</v>
      </c>
    </row>
    <row r="575" spans="1:24" x14ac:dyDescent="0.25">
      <c r="A575" s="2">
        <v>100573</v>
      </c>
      <c r="B575" s="1">
        <v>45583</v>
      </c>
      <c r="C575" s="1">
        <v>45587</v>
      </c>
      <c r="D575" s="1">
        <v>45607</v>
      </c>
      <c r="E575" t="s">
        <v>1677</v>
      </c>
      <c r="F575" t="s">
        <v>65</v>
      </c>
      <c r="G575" t="s">
        <v>70</v>
      </c>
      <c r="H575" t="s">
        <v>1678</v>
      </c>
      <c r="I575" t="s">
        <v>416</v>
      </c>
      <c r="J575" t="s">
        <v>80</v>
      </c>
      <c r="K575" t="s">
        <v>1679</v>
      </c>
      <c r="L575" t="s">
        <v>118</v>
      </c>
      <c r="M575" t="s">
        <v>25</v>
      </c>
      <c r="N575" t="s">
        <v>55</v>
      </c>
      <c r="O575" t="s">
        <v>56</v>
      </c>
      <c r="P575" t="s">
        <v>123</v>
      </c>
      <c r="Q575">
        <v>431</v>
      </c>
      <c r="R575">
        <v>243.19</v>
      </c>
      <c r="S575">
        <v>104814.89</v>
      </c>
      <c r="T575">
        <v>21.17</v>
      </c>
      <c r="U575">
        <v>20</v>
      </c>
      <c r="V575">
        <v>996</v>
      </c>
      <c r="W575" t="s">
        <v>47</v>
      </c>
      <c r="X575">
        <v>-106.21</v>
      </c>
    </row>
    <row r="576" spans="1:24" x14ac:dyDescent="0.25">
      <c r="A576" s="2">
        <v>100574</v>
      </c>
      <c r="B576" s="1">
        <v>45333</v>
      </c>
      <c r="C576" s="1">
        <v>45336</v>
      </c>
      <c r="D576" s="1">
        <v>45344</v>
      </c>
      <c r="E576" t="s">
        <v>1680</v>
      </c>
      <c r="F576" t="s">
        <v>38</v>
      </c>
      <c r="G576" t="s">
        <v>217</v>
      </c>
      <c r="H576" t="s">
        <v>1473</v>
      </c>
      <c r="I576" t="s">
        <v>139</v>
      </c>
      <c r="J576" t="s">
        <v>42</v>
      </c>
      <c r="K576" t="s">
        <v>1528</v>
      </c>
      <c r="L576" t="s">
        <v>118</v>
      </c>
      <c r="M576" t="s">
        <v>25</v>
      </c>
      <c r="N576" t="s">
        <v>107</v>
      </c>
      <c r="O576" t="s">
        <v>108</v>
      </c>
      <c r="P576" t="s">
        <v>35</v>
      </c>
      <c r="Q576">
        <v>440</v>
      </c>
      <c r="R576">
        <v>170.58</v>
      </c>
      <c r="S576">
        <v>75055.199999999997</v>
      </c>
      <c r="T576">
        <v>24.95</v>
      </c>
      <c r="U576">
        <v>8</v>
      </c>
      <c r="V576">
        <v>1489</v>
      </c>
      <c r="W576" t="s">
        <v>36</v>
      </c>
      <c r="X576">
        <v>12934.11</v>
      </c>
    </row>
    <row r="577" spans="1:24" x14ac:dyDescent="0.25">
      <c r="A577" s="2">
        <v>100575</v>
      </c>
      <c r="B577" s="1">
        <v>45925</v>
      </c>
      <c r="C577" s="1">
        <v>45926</v>
      </c>
      <c r="D577" s="1">
        <v>45928</v>
      </c>
      <c r="E577" t="s">
        <v>1681</v>
      </c>
      <c r="F577" t="s">
        <v>38</v>
      </c>
      <c r="G577" t="s">
        <v>217</v>
      </c>
      <c r="H577" t="s">
        <v>1682</v>
      </c>
      <c r="I577" t="s">
        <v>177</v>
      </c>
      <c r="J577" t="s">
        <v>29</v>
      </c>
      <c r="K577" t="s">
        <v>1683</v>
      </c>
      <c r="L577" t="s">
        <v>91</v>
      </c>
      <c r="M577" t="s">
        <v>54</v>
      </c>
      <c r="N577" t="s">
        <v>151</v>
      </c>
      <c r="O577" t="s">
        <v>152</v>
      </c>
      <c r="P577" t="s">
        <v>68</v>
      </c>
      <c r="Q577">
        <v>100</v>
      </c>
      <c r="R577">
        <v>43.3</v>
      </c>
      <c r="S577">
        <v>4330</v>
      </c>
      <c r="T577">
        <v>34.99</v>
      </c>
      <c r="U577">
        <v>2</v>
      </c>
      <c r="V577">
        <v>951</v>
      </c>
      <c r="W577" t="s">
        <v>36</v>
      </c>
      <c r="X577">
        <v>1089.5</v>
      </c>
    </row>
    <row r="578" spans="1:24" x14ac:dyDescent="0.25">
      <c r="A578" s="2">
        <v>100576</v>
      </c>
      <c r="B578" s="1">
        <v>45647</v>
      </c>
      <c r="C578" s="1">
        <v>45650</v>
      </c>
      <c r="D578" s="1">
        <v>45661</v>
      </c>
      <c r="E578" t="s">
        <v>1684</v>
      </c>
      <c r="F578" t="s">
        <v>32</v>
      </c>
      <c r="G578" t="s">
        <v>110</v>
      </c>
      <c r="H578" t="s">
        <v>1685</v>
      </c>
      <c r="I578" t="s">
        <v>191</v>
      </c>
      <c r="J578" t="s">
        <v>62</v>
      </c>
      <c r="K578" t="s">
        <v>1686</v>
      </c>
      <c r="L578" t="s">
        <v>91</v>
      </c>
      <c r="M578" t="s">
        <v>38</v>
      </c>
      <c r="N578" t="s">
        <v>107</v>
      </c>
      <c r="O578" t="s">
        <v>108</v>
      </c>
      <c r="P578" t="s">
        <v>123</v>
      </c>
      <c r="Q578">
        <v>155</v>
      </c>
      <c r="R578">
        <v>42.07</v>
      </c>
      <c r="S578">
        <v>6520.85</v>
      </c>
      <c r="T578">
        <v>14.46</v>
      </c>
      <c r="U578">
        <v>11</v>
      </c>
      <c r="V578">
        <v>598</v>
      </c>
      <c r="W578" t="s">
        <v>47</v>
      </c>
      <c r="X578">
        <v>-68.47</v>
      </c>
    </row>
    <row r="579" spans="1:24" x14ac:dyDescent="0.25">
      <c r="A579" s="2">
        <v>100577</v>
      </c>
      <c r="B579" s="1">
        <v>45755</v>
      </c>
      <c r="C579" s="1">
        <v>45759</v>
      </c>
      <c r="D579" s="1">
        <v>45784</v>
      </c>
      <c r="E579" t="s">
        <v>1687</v>
      </c>
      <c r="F579" t="s">
        <v>65</v>
      </c>
      <c r="G579" t="s">
        <v>142</v>
      </c>
      <c r="H579" t="s">
        <v>1688</v>
      </c>
      <c r="I579" t="s">
        <v>246</v>
      </c>
      <c r="J579" t="s">
        <v>29</v>
      </c>
      <c r="K579" t="s">
        <v>223</v>
      </c>
      <c r="L579" t="s">
        <v>118</v>
      </c>
      <c r="M579" t="s">
        <v>38</v>
      </c>
      <c r="N579" t="s">
        <v>66</v>
      </c>
      <c r="O579" t="s">
        <v>67</v>
      </c>
      <c r="P579" t="s">
        <v>76</v>
      </c>
      <c r="Q579">
        <v>134</v>
      </c>
      <c r="R579">
        <v>75.569999999999993</v>
      </c>
      <c r="S579">
        <v>10126.379999999999</v>
      </c>
      <c r="T579">
        <v>10.46</v>
      </c>
      <c r="U579">
        <v>25</v>
      </c>
      <c r="V579">
        <v>879</v>
      </c>
      <c r="W579" t="s">
        <v>57</v>
      </c>
      <c r="X579">
        <v>2115.44</v>
      </c>
    </row>
    <row r="580" spans="1:24" x14ac:dyDescent="0.25">
      <c r="A580" s="2">
        <v>100578</v>
      </c>
      <c r="B580" s="1">
        <v>45530</v>
      </c>
      <c r="C580" s="1">
        <v>45533</v>
      </c>
      <c r="D580" s="1">
        <v>45539</v>
      </c>
      <c r="E580" t="s">
        <v>1689</v>
      </c>
      <c r="F580" t="s">
        <v>25</v>
      </c>
      <c r="G580" t="s">
        <v>172</v>
      </c>
      <c r="H580" t="s">
        <v>1690</v>
      </c>
      <c r="I580" t="s">
        <v>144</v>
      </c>
      <c r="J580" t="s">
        <v>52</v>
      </c>
      <c r="K580" t="s">
        <v>1691</v>
      </c>
      <c r="L580" t="s">
        <v>91</v>
      </c>
      <c r="M580" t="s">
        <v>38</v>
      </c>
      <c r="N580" t="s">
        <v>102</v>
      </c>
      <c r="O580" t="s">
        <v>103</v>
      </c>
      <c r="P580" t="s">
        <v>35</v>
      </c>
      <c r="Q580">
        <v>262</v>
      </c>
      <c r="R580">
        <v>27.53</v>
      </c>
      <c r="S580">
        <v>7212.86</v>
      </c>
      <c r="T580">
        <v>19.899999999999999</v>
      </c>
      <c r="U580">
        <v>6</v>
      </c>
      <c r="V580">
        <v>3447</v>
      </c>
      <c r="W580" t="s">
        <v>36</v>
      </c>
      <c r="X580">
        <v>1019.65</v>
      </c>
    </row>
    <row r="581" spans="1:24" x14ac:dyDescent="0.25">
      <c r="A581" s="2">
        <v>100579</v>
      </c>
      <c r="B581" s="1">
        <v>45928</v>
      </c>
      <c r="C581" s="1">
        <v>45929</v>
      </c>
      <c r="D581" s="1">
        <v>45931</v>
      </c>
      <c r="E581" t="s">
        <v>1692</v>
      </c>
      <c r="F581" t="s">
        <v>65</v>
      </c>
      <c r="G581" t="s">
        <v>70</v>
      </c>
      <c r="H581" t="s">
        <v>1693</v>
      </c>
      <c r="I581" t="s">
        <v>28</v>
      </c>
      <c r="J581" t="s">
        <v>29</v>
      </c>
      <c r="K581" t="s">
        <v>784</v>
      </c>
      <c r="L581" t="s">
        <v>91</v>
      </c>
      <c r="M581" t="s">
        <v>38</v>
      </c>
      <c r="N581" t="s">
        <v>66</v>
      </c>
      <c r="O581" t="s">
        <v>67</v>
      </c>
      <c r="P581" t="s">
        <v>35</v>
      </c>
      <c r="Q581">
        <v>280</v>
      </c>
      <c r="R581">
        <v>119.97</v>
      </c>
      <c r="S581">
        <v>33591.599999999999</v>
      </c>
      <c r="T581">
        <v>20.41</v>
      </c>
      <c r="U581">
        <v>2</v>
      </c>
      <c r="V581">
        <v>2010</v>
      </c>
      <c r="W581" t="s">
        <v>36</v>
      </c>
      <c r="X581">
        <v>5383.19</v>
      </c>
    </row>
    <row r="582" spans="1:24" x14ac:dyDescent="0.25">
      <c r="A582" s="2">
        <v>100580</v>
      </c>
      <c r="B582" s="1">
        <v>45527</v>
      </c>
      <c r="C582" s="1">
        <v>45527</v>
      </c>
      <c r="D582" s="1">
        <v>45547</v>
      </c>
      <c r="E582" t="s">
        <v>1694</v>
      </c>
      <c r="F582" t="s">
        <v>32</v>
      </c>
      <c r="G582" t="s">
        <v>273</v>
      </c>
      <c r="H582" t="s">
        <v>1695</v>
      </c>
      <c r="I582" t="s">
        <v>134</v>
      </c>
      <c r="J582" t="s">
        <v>52</v>
      </c>
      <c r="K582" t="s">
        <v>1696</v>
      </c>
      <c r="L582" t="s">
        <v>31</v>
      </c>
      <c r="M582" t="s">
        <v>25</v>
      </c>
      <c r="N582" t="s">
        <v>66</v>
      </c>
      <c r="O582" t="s">
        <v>67</v>
      </c>
      <c r="P582" t="s">
        <v>76</v>
      </c>
      <c r="Q582">
        <v>314</v>
      </c>
      <c r="R582">
        <v>57.05</v>
      </c>
      <c r="S582">
        <v>17913.7</v>
      </c>
      <c r="T582">
        <v>13.74</v>
      </c>
      <c r="U582">
        <v>20</v>
      </c>
      <c r="V582">
        <v>2947</v>
      </c>
      <c r="W582" t="s">
        <v>36</v>
      </c>
      <c r="X582">
        <v>3086.57</v>
      </c>
    </row>
    <row r="583" spans="1:24" x14ac:dyDescent="0.25">
      <c r="A583" s="2">
        <v>100581</v>
      </c>
      <c r="B583" s="1">
        <v>45305</v>
      </c>
      <c r="C583" s="1">
        <v>45308</v>
      </c>
      <c r="D583" s="1">
        <v>45313</v>
      </c>
      <c r="E583" t="s">
        <v>1697</v>
      </c>
      <c r="F583" t="s">
        <v>38</v>
      </c>
      <c r="G583" t="s">
        <v>39</v>
      </c>
      <c r="H583" t="s">
        <v>1698</v>
      </c>
      <c r="I583" t="s">
        <v>198</v>
      </c>
      <c r="J583" t="s">
        <v>52</v>
      </c>
      <c r="K583" t="s">
        <v>1699</v>
      </c>
      <c r="L583" t="s">
        <v>98</v>
      </c>
      <c r="M583" t="s">
        <v>25</v>
      </c>
      <c r="N583" t="s">
        <v>107</v>
      </c>
      <c r="O583" t="s">
        <v>108</v>
      </c>
      <c r="P583" t="s">
        <v>35</v>
      </c>
      <c r="Q583">
        <v>94</v>
      </c>
      <c r="R583">
        <v>79.34</v>
      </c>
      <c r="S583">
        <v>7457.96</v>
      </c>
      <c r="T583">
        <v>15.14</v>
      </c>
      <c r="U583">
        <v>5</v>
      </c>
      <c r="V583">
        <v>3479</v>
      </c>
      <c r="W583" t="s">
        <v>36</v>
      </c>
      <c r="X583">
        <v>785.42</v>
      </c>
    </row>
    <row r="584" spans="1:24" x14ac:dyDescent="0.25">
      <c r="A584" s="2">
        <v>100582</v>
      </c>
      <c r="B584" s="1">
        <v>45832</v>
      </c>
      <c r="C584" s="1">
        <v>45833</v>
      </c>
      <c r="D584" s="1">
        <v>45841</v>
      </c>
      <c r="E584" t="s">
        <v>1700</v>
      </c>
      <c r="F584" t="s">
        <v>32</v>
      </c>
      <c r="G584" t="s">
        <v>255</v>
      </c>
      <c r="H584" t="s">
        <v>1701</v>
      </c>
      <c r="I584" t="s">
        <v>51</v>
      </c>
      <c r="J584" t="s">
        <v>52</v>
      </c>
      <c r="K584" t="s">
        <v>1702</v>
      </c>
      <c r="L584" t="s">
        <v>64</v>
      </c>
      <c r="M584" t="s">
        <v>65</v>
      </c>
      <c r="N584" t="s">
        <v>66</v>
      </c>
      <c r="O584" t="s">
        <v>67</v>
      </c>
      <c r="P584" t="s">
        <v>35</v>
      </c>
      <c r="Q584">
        <v>280</v>
      </c>
      <c r="R584">
        <v>33.909999999999997</v>
      </c>
      <c r="S584">
        <v>9494.7999999999993</v>
      </c>
      <c r="T584">
        <v>20.41</v>
      </c>
      <c r="U584">
        <v>8</v>
      </c>
      <c r="V584">
        <v>3409</v>
      </c>
      <c r="W584" t="s">
        <v>36</v>
      </c>
      <c r="X584">
        <v>1708.07</v>
      </c>
    </row>
    <row r="585" spans="1:24" x14ac:dyDescent="0.25">
      <c r="A585" s="2">
        <v>100583</v>
      </c>
      <c r="B585" s="1">
        <v>45608</v>
      </c>
      <c r="C585" s="1">
        <v>45609</v>
      </c>
      <c r="D585" s="1">
        <v>45624</v>
      </c>
      <c r="E585" t="s">
        <v>1703</v>
      </c>
      <c r="F585" t="s">
        <v>25</v>
      </c>
      <c r="G585" t="s">
        <v>169</v>
      </c>
      <c r="H585" t="s">
        <v>1704</v>
      </c>
      <c r="I585" t="s">
        <v>198</v>
      </c>
      <c r="J585" t="s">
        <v>52</v>
      </c>
      <c r="K585" t="s">
        <v>1705</v>
      </c>
      <c r="L585" t="s">
        <v>31</v>
      </c>
      <c r="M585" t="s">
        <v>65</v>
      </c>
      <c r="N585" t="s">
        <v>92</v>
      </c>
      <c r="O585" t="s">
        <v>93</v>
      </c>
      <c r="P585" t="s">
        <v>76</v>
      </c>
      <c r="Q585">
        <v>118</v>
      </c>
      <c r="R585">
        <v>16.04</v>
      </c>
      <c r="S585">
        <v>1892.72</v>
      </c>
      <c r="T585">
        <v>10.17</v>
      </c>
      <c r="U585">
        <v>15</v>
      </c>
      <c r="V585">
        <v>4137</v>
      </c>
      <c r="W585" t="s">
        <v>36</v>
      </c>
      <c r="X585">
        <v>176.3</v>
      </c>
    </row>
    <row r="586" spans="1:24" x14ac:dyDescent="0.25">
      <c r="A586" s="2">
        <v>100584</v>
      </c>
      <c r="B586" s="1">
        <v>45414</v>
      </c>
      <c r="C586" s="1">
        <v>45414</v>
      </c>
      <c r="D586" s="1">
        <v>45426</v>
      </c>
      <c r="E586" t="s">
        <v>1706</v>
      </c>
      <c r="F586" t="s">
        <v>65</v>
      </c>
      <c r="G586" t="s">
        <v>142</v>
      </c>
      <c r="H586" t="s">
        <v>1707</v>
      </c>
      <c r="I586" t="s">
        <v>368</v>
      </c>
      <c r="J586" t="s">
        <v>29</v>
      </c>
      <c r="K586" t="s">
        <v>1708</v>
      </c>
      <c r="L586" t="s">
        <v>122</v>
      </c>
      <c r="M586" t="s">
        <v>38</v>
      </c>
      <c r="N586" t="s">
        <v>55</v>
      </c>
      <c r="O586" t="s">
        <v>56</v>
      </c>
      <c r="P586" t="s">
        <v>123</v>
      </c>
      <c r="Q586">
        <v>39</v>
      </c>
      <c r="R586">
        <v>16</v>
      </c>
      <c r="S586">
        <v>624</v>
      </c>
      <c r="T586">
        <v>11.64</v>
      </c>
      <c r="U586">
        <v>12</v>
      </c>
      <c r="V586">
        <v>3241</v>
      </c>
      <c r="W586" t="s">
        <v>36</v>
      </c>
      <c r="X586">
        <v>57.59</v>
      </c>
    </row>
    <row r="587" spans="1:24" x14ac:dyDescent="0.25">
      <c r="A587" s="2">
        <v>100585</v>
      </c>
      <c r="B587" s="1">
        <v>45678</v>
      </c>
      <c r="C587" s="1">
        <v>45678</v>
      </c>
      <c r="D587" s="1">
        <v>45682</v>
      </c>
      <c r="E587" t="s">
        <v>1709</v>
      </c>
      <c r="F587" t="s">
        <v>65</v>
      </c>
      <c r="G587" t="s">
        <v>154</v>
      </c>
      <c r="H587" t="s">
        <v>1710</v>
      </c>
      <c r="I587" t="s">
        <v>89</v>
      </c>
      <c r="J587" t="s">
        <v>62</v>
      </c>
      <c r="K587" t="s">
        <v>1711</v>
      </c>
      <c r="L587" t="s">
        <v>64</v>
      </c>
      <c r="M587" t="s">
        <v>32</v>
      </c>
      <c r="N587" t="s">
        <v>45</v>
      </c>
      <c r="O587" t="s">
        <v>46</v>
      </c>
      <c r="P587" t="s">
        <v>68</v>
      </c>
      <c r="Q587">
        <v>335</v>
      </c>
      <c r="R587">
        <v>15.53</v>
      </c>
      <c r="S587">
        <v>5202.55</v>
      </c>
      <c r="T587">
        <v>50.22</v>
      </c>
      <c r="U587">
        <v>4</v>
      </c>
      <c r="V587">
        <v>649</v>
      </c>
      <c r="W587" t="s">
        <v>36</v>
      </c>
      <c r="X587">
        <v>667.17</v>
      </c>
    </row>
    <row r="588" spans="1:24" x14ac:dyDescent="0.25">
      <c r="A588" s="2">
        <v>100586</v>
      </c>
      <c r="B588" s="1">
        <v>45723</v>
      </c>
      <c r="C588" s="1">
        <v>45724</v>
      </c>
      <c r="D588" s="1">
        <v>45732</v>
      </c>
      <c r="E588" t="s">
        <v>1712</v>
      </c>
      <c r="F588" t="s">
        <v>65</v>
      </c>
      <c r="G588" t="s">
        <v>154</v>
      </c>
      <c r="H588" t="s">
        <v>1713</v>
      </c>
      <c r="I588" t="s">
        <v>238</v>
      </c>
      <c r="J588" t="s">
        <v>62</v>
      </c>
      <c r="K588" t="s">
        <v>1714</v>
      </c>
      <c r="L588" t="s">
        <v>113</v>
      </c>
      <c r="M588" t="s">
        <v>54</v>
      </c>
      <c r="N588" t="s">
        <v>92</v>
      </c>
      <c r="O588" t="s">
        <v>93</v>
      </c>
      <c r="P588" t="s">
        <v>123</v>
      </c>
      <c r="Q588">
        <v>156</v>
      </c>
      <c r="R588">
        <v>21.5</v>
      </c>
      <c r="S588">
        <v>3354</v>
      </c>
      <c r="T588">
        <v>14.48</v>
      </c>
      <c r="U588">
        <v>8</v>
      </c>
      <c r="V588">
        <v>1462</v>
      </c>
      <c r="W588" t="s">
        <v>36</v>
      </c>
      <c r="X588">
        <v>552.07000000000005</v>
      </c>
    </row>
    <row r="589" spans="1:24" x14ac:dyDescent="0.25">
      <c r="A589" s="2">
        <v>100587</v>
      </c>
      <c r="B589" s="1">
        <v>45645</v>
      </c>
      <c r="C589" s="1">
        <v>45646</v>
      </c>
      <c r="D589" s="1">
        <v>45647</v>
      </c>
      <c r="E589" t="s">
        <v>1715</v>
      </c>
      <c r="F589" t="s">
        <v>65</v>
      </c>
      <c r="G589" t="s">
        <v>154</v>
      </c>
      <c r="H589" t="s">
        <v>1716</v>
      </c>
      <c r="I589" t="s">
        <v>198</v>
      </c>
      <c r="J589" t="s">
        <v>52</v>
      </c>
      <c r="K589" t="s">
        <v>1717</v>
      </c>
      <c r="L589" t="s">
        <v>122</v>
      </c>
      <c r="M589" t="s">
        <v>38</v>
      </c>
      <c r="N589" t="s">
        <v>33</v>
      </c>
      <c r="O589" t="s">
        <v>34</v>
      </c>
      <c r="P589" t="s">
        <v>68</v>
      </c>
      <c r="Q589">
        <v>335</v>
      </c>
      <c r="R589">
        <v>13.88</v>
      </c>
      <c r="S589">
        <v>4649.8</v>
      </c>
      <c r="T589">
        <v>50.22</v>
      </c>
      <c r="U589">
        <v>1</v>
      </c>
      <c r="V589">
        <v>2103</v>
      </c>
      <c r="W589" t="s">
        <v>36</v>
      </c>
      <c r="X589">
        <v>692.25</v>
      </c>
    </row>
    <row r="590" spans="1:24" x14ac:dyDescent="0.25">
      <c r="A590" s="2">
        <v>100588</v>
      </c>
      <c r="B590" s="1">
        <v>45768</v>
      </c>
      <c r="C590" s="1">
        <v>45770</v>
      </c>
      <c r="D590" s="1">
        <v>45771</v>
      </c>
      <c r="E590" t="s">
        <v>1718</v>
      </c>
      <c r="F590" t="s">
        <v>32</v>
      </c>
      <c r="G590" t="s">
        <v>110</v>
      </c>
      <c r="H590" t="s">
        <v>1719</v>
      </c>
      <c r="I590" t="s">
        <v>238</v>
      </c>
      <c r="J590" t="s">
        <v>62</v>
      </c>
      <c r="K590" t="s">
        <v>1347</v>
      </c>
      <c r="L590" t="s">
        <v>44</v>
      </c>
      <c r="M590" t="s">
        <v>25</v>
      </c>
      <c r="N590" t="s">
        <v>151</v>
      </c>
      <c r="O590" t="s">
        <v>152</v>
      </c>
      <c r="P590" t="s">
        <v>68</v>
      </c>
      <c r="Q590">
        <v>287</v>
      </c>
      <c r="R590">
        <v>44.28</v>
      </c>
      <c r="S590">
        <v>12708.36</v>
      </c>
      <c r="T590">
        <v>47.11</v>
      </c>
      <c r="U590">
        <v>1</v>
      </c>
      <c r="V590">
        <v>980</v>
      </c>
      <c r="W590" t="s">
        <v>36</v>
      </c>
      <c r="X590">
        <v>1769.78</v>
      </c>
    </row>
    <row r="591" spans="1:24" x14ac:dyDescent="0.25">
      <c r="A591" s="2">
        <v>100589</v>
      </c>
      <c r="B591" s="1">
        <v>45997</v>
      </c>
      <c r="C591" s="1">
        <v>45997</v>
      </c>
      <c r="D591" s="1">
        <v>46001</v>
      </c>
      <c r="E591" t="s">
        <v>1720</v>
      </c>
      <c r="F591" t="s">
        <v>38</v>
      </c>
      <c r="G591" t="s">
        <v>147</v>
      </c>
      <c r="H591" t="s">
        <v>1721</v>
      </c>
      <c r="I591" t="s">
        <v>79</v>
      </c>
      <c r="J591" t="s">
        <v>80</v>
      </c>
      <c r="K591" t="s">
        <v>902</v>
      </c>
      <c r="L591" t="s">
        <v>31</v>
      </c>
      <c r="M591" t="s">
        <v>25</v>
      </c>
      <c r="N591" t="s">
        <v>102</v>
      </c>
      <c r="O591" t="s">
        <v>103</v>
      </c>
      <c r="P591" t="s">
        <v>35</v>
      </c>
      <c r="Q591">
        <v>191</v>
      </c>
      <c r="R591">
        <v>141.87</v>
      </c>
      <c r="S591">
        <v>27097.17</v>
      </c>
      <c r="T591">
        <v>17.89</v>
      </c>
      <c r="U591">
        <v>4</v>
      </c>
      <c r="V591">
        <v>876</v>
      </c>
      <c r="W591" t="s">
        <v>36</v>
      </c>
      <c r="X591">
        <v>4062.32</v>
      </c>
    </row>
    <row r="592" spans="1:24" x14ac:dyDescent="0.25">
      <c r="A592" s="2">
        <v>100590</v>
      </c>
      <c r="B592" s="1">
        <v>45447</v>
      </c>
      <c r="C592" s="1">
        <v>45451</v>
      </c>
      <c r="D592" s="1">
        <v>45455</v>
      </c>
      <c r="E592" t="s">
        <v>1411</v>
      </c>
      <c r="F592" t="s">
        <v>38</v>
      </c>
      <c r="G592" t="s">
        <v>147</v>
      </c>
      <c r="H592" t="s">
        <v>1722</v>
      </c>
      <c r="I592" t="s">
        <v>230</v>
      </c>
      <c r="J592" t="s">
        <v>80</v>
      </c>
      <c r="K592" t="s">
        <v>1723</v>
      </c>
      <c r="L592" t="s">
        <v>64</v>
      </c>
      <c r="M592" t="s">
        <v>54</v>
      </c>
      <c r="N592" t="s">
        <v>45</v>
      </c>
      <c r="O592" t="s">
        <v>46</v>
      </c>
      <c r="P592" t="s">
        <v>68</v>
      </c>
      <c r="Q592">
        <v>391</v>
      </c>
      <c r="R592">
        <v>332.39</v>
      </c>
      <c r="S592">
        <v>129964.49</v>
      </c>
      <c r="T592">
        <v>53.85</v>
      </c>
      <c r="U592">
        <v>4</v>
      </c>
      <c r="V592">
        <v>892</v>
      </c>
      <c r="W592" t="s">
        <v>36</v>
      </c>
      <c r="X592">
        <v>33050.36</v>
      </c>
    </row>
    <row r="593" spans="1:24" x14ac:dyDescent="0.25">
      <c r="A593" s="2">
        <v>100591</v>
      </c>
      <c r="B593" s="1">
        <v>45622</v>
      </c>
      <c r="C593" s="1">
        <v>45626</v>
      </c>
      <c r="D593" s="1">
        <v>45627</v>
      </c>
      <c r="E593" t="s">
        <v>1724</v>
      </c>
      <c r="F593" t="s">
        <v>32</v>
      </c>
      <c r="G593" t="s">
        <v>137</v>
      </c>
      <c r="H593" t="s">
        <v>1725</v>
      </c>
      <c r="I593" t="s">
        <v>144</v>
      </c>
      <c r="J593" t="s">
        <v>52</v>
      </c>
      <c r="K593" t="s">
        <v>830</v>
      </c>
      <c r="L593" t="s">
        <v>44</v>
      </c>
      <c r="M593" t="s">
        <v>54</v>
      </c>
      <c r="N593" t="s">
        <v>74</v>
      </c>
      <c r="O593" t="s">
        <v>75</v>
      </c>
      <c r="P593" t="s">
        <v>68</v>
      </c>
      <c r="Q593">
        <v>40</v>
      </c>
      <c r="R593">
        <v>74.150000000000006</v>
      </c>
      <c r="S593">
        <v>2966</v>
      </c>
      <c r="T593">
        <v>31.1</v>
      </c>
      <c r="U593">
        <v>1</v>
      </c>
      <c r="V593">
        <v>4481</v>
      </c>
      <c r="W593" t="s">
        <v>36</v>
      </c>
      <c r="X593">
        <v>339.15</v>
      </c>
    </row>
    <row r="594" spans="1:24" x14ac:dyDescent="0.25">
      <c r="A594" s="2">
        <v>100592</v>
      </c>
      <c r="B594" s="1">
        <v>45310</v>
      </c>
      <c r="C594" s="1">
        <v>45313</v>
      </c>
      <c r="D594" s="1">
        <v>45322</v>
      </c>
      <c r="E594" t="s">
        <v>1726</v>
      </c>
      <c r="F594" t="s">
        <v>32</v>
      </c>
      <c r="G594" t="s">
        <v>180</v>
      </c>
      <c r="H594" t="s">
        <v>1727</v>
      </c>
      <c r="I594" t="s">
        <v>85</v>
      </c>
      <c r="J594" t="s">
        <v>52</v>
      </c>
      <c r="K594" t="s">
        <v>163</v>
      </c>
      <c r="L594" t="s">
        <v>118</v>
      </c>
      <c r="M594" t="s">
        <v>32</v>
      </c>
      <c r="N594" t="s">
        <v>92</v>
      </c>
      <c r="O594" t="s">
        <v>93</v>
      </c>
      <c r="P594" t="s">
        <v>35</v>
      </c>
      <c r="Q594">
        <v>474</v>
      </c>
      <c r="R594">
        <v>30.47</v>
      </c>
      <c r="S594">
        <v>14442.78</v>
      </c>
      <c r="T594">
        <v>19.190000000000001</v>
      </c>
      <c r="U594">
        <v>9</v>
      </c>
      <c r="V594">
        <v>2768</v>
      </c>
      <c r="W594" t="s">
        <v>36</v>
      </c>
      <c r="X594">
        <v>2827.78</v>
      </c>
    </row>
    <row r="595" spans="1:24" x14ac:dyDescent="0.25">
      <c r="A595" s="2">
        <v>100593</v>
      </c>
      <c r="B595" s="1">
        <v>45582</v>
      </c>
      <c r="C595" s="1">
        <v>45586</v>
      </c>
      <c r="D595" s="1">
        <v>45610</v>
      </c>
      <c r="E595" t="s">
        <v>1728</v>
      </c>
      <c r="F595" t="s">
        <v>32</v>
      </c>
      <c r="G595" t="s">
        <v>110</v>
      </c>
      <c r="H595" t="s">
        <v>1729</v>
      </c>
      <c r="I595" t="s">
        <v>85</v>
      </c>
      <c r="J595" t="s">
        <v>52</v>
      </c>
      <c r="K595" t="s">
        <v>1730</v>
      </c>
      <c r="L595" t="s">
        <v>113</v>
      </c>
      <c r="M595" t="s">
        <v>65</v>
      </c>
      <c r="N595" t="s">
        <v>151</v>
      </c>
      <c r="O595" t="s">
        <v>152</v>
      </c>
      <c r="P595" t="s">
        <v>76</v>
      </c>
      <c r="Q595">
        <v>433</v>
      </c>
      <c r="R595">
        <v>16.11</v>
      </c>
      <c r="S595">
        <v>6975.63</v>
      </c>
      <c r="T595">
        <v>15.91</v>
      </c>
      <c r="U595">
        <v>24</v>
      </c>
      <c r="V595">
        <v>293</v>
      </c>
      <c r="W595" t="s">
        <v>57</v>
      </c>
      <c r="X595">
        <v>663.07</v>
      </c>
    </row>
    <row r="596" spans="1:24" x14ac:dyDescent="0.25">
      <c r="A596" s="2">
        <v>100594</v>
      </c>
      <c r="B596" s="1">
        <v>45942</v>
      </c>
      <c r="C596" s="1">
        <v>45946</v>
      </c>
      <c r="D596" s="1">
        <v>45968</v>
      </c>
      <c r="E596" t="s">
        <v>1731</v>
      </c>
      <c r="F596" t="s">
        <v>54</v>
      </c>
      <c r="G596" t="s">
        <v>193</v>
      </c>
      <c r="H596" t="s">
        <v>1732</v>
      </c>
      <c r="I596" t="s">
        <v>139</v>
      </c>
      <c r="J596" t="s">
        <v>42</v>
      </c>
      <c r="K596" t="s">
        <v>297</v>
      </c>
      <c r="L596" t="s">
        <v>64</v>
      </c>
      <c r="M596" t="s">
        <v>32</v>
      </c>
      <c r="N596" t="s">
        <v>151</v>
      </c>
      <c r="O596" t="s">
        <v>152</v>
      </c>
      <c r="P596" t="s">
        <v>76</v>
      </c>
      <c r="Q596">
        <v>111</v>
      </c>
      <c r="R596">
        <v>315.08999999999997</v>
      </c>
      <c r="S596">
        <v>34974.99</v>
      </c>
      <c r="T596">
        <v>10.039999999999999</v>
      </c>
      <c r="U596">
        <v>22</v>
      </c>
      <c r="V596">
        <v>600</v>
      </c>
      <c r="W596" t="s">
        <v>36</v>
      </c>
      <c r="X596">
        <v>7428</v>
      </c>
    </row>
    <row r="597" spans="1:24" x14ac:dyDescent="0.25">
      <c r="A597" s="2">
        <v>100595</v>
      </c>
      <c r="B597" s="1">
        <v>45733</v>
      </c>
      <c r="C597" s="1">
        <v>45736</v>
      </c>
      <c r="D597" s="1">
        <v>45750</v>
      </c>
      <c r="E597" t="s">
        <v>1733</v>
      </c>
      <c r="F597" t="s">
        <v>38</v>
      </c>
      <c r="G597" t="s">
        <v>83</v>
      </c>
      <c r="H597" t="s">
        <v>1734</v>
      </c>
      <c r="I597" t="s">
        <v>182</v>
      </c>
      <c r="J597" t="s">
        <v>80</v>
      </c>
      <c r="K597" t="s">
        <v>1283</v>
      </c>
      <c r="L597" t="s">
        <v>113</v>
      </c>
      <c r="M597" t="s">
        <v>25</v>
      </c>
      <c r="N597" t="s">
        <v>151</v>
      </c>
      <c r="O597" t="s">
        <v>152</v>
      </c>
      <c r="P597" t="s">
        <v>76</v>
      </c>
      <c r="Q597">
        <v>93</v>
      </c>
      <c r="R597">
        <v>62.44</v>
      </c>
      <c r="S597">
        <v>5806.92</v>
      </c>
      <c r="T597">
        <v>9.7100000000000009</v>
      </c>
      <c r="U597">
        <v>14</v>
      </c>
      <c r="V597">
        <v>594</v>
      </c>
      <c r="W597" t="s">
        <v>36</v>
      </c>
      <c r="X597">
        <v>899.58</v>
      </c>
    </row>
    <row r="598" spans="1:24" x14ac:dyDescent="0.25">
      <c r="A598" s="2">
        <v>100596</v>
      </c>
      <c r="B598" s="1">
        <v>45915</v>
      </c>
      <c r="C598" s="1">
        <v>45916</v>
      </c>
      <c r="D598" s="1">
        <v>45917</v>
      </c>
      <c r="E598" t="s">
        <v>1735</v>
      </c>
      <c r="F598" t="s">
        <v>25</v>
      </c>
      <c r="G598" t="s">
        <v>26</v>
      </c>
      <c r="H598" t="s">
        <v>1736</v>
      </c>
      <c r="I598" t="s">
        <v>134</v>
      </c>
      <c r="J598" t="s">
        <v>52</v>
      </c>
      <c r="K598" t="s">
        <v>309</v>
      </c>
      <c r="L598" t="s">
        <v>98</v>
      </c>
      <c r="M598" t="s">
        <v>38</v>
      </c>
      <c r="N598" t="s">
        <v>102</v>
      </c>
      <c r="O598" t="s">
        <v>103</v>
      </c>
      <c r="P598" t="s">
        <v>68</v>
      </c>
      <c r="Q598">
        <v>277</v>
      </c>
      <c r="R598">
        <v>80.78</v>
      </c>
      <c r="S598">
        <v>22376.06</v>
      </c>
      <c r="T598">
        <v>46.46</v>
      </c>
      <c r="U598">
        <v>1</v>
      </c>
      <c r="V598">
        <v>2424</v>
      </c>
      <c r="W598" t="s">
        <v>36</v>
      </c>
      <c r="X598">
        <v>4300.7</v>
      </c>
    </row>
    <row r="599" spans="1:24" x14ac:dyDescent="0.25">
      <c r="A599" s="2">
        <v>100597</v>
      </c>
      <c r="B599" s="1">
        <v>45580</v>
      </c>
      <c r="C599" s="1">
        <v>45585</v>
      </c>
      <c r="D599" s="1">
        <v>45605</v>
      </c>
      <c r="E599" t="s">
        <v>1737</v>
      </c>
      <c r="F599" t="s">
        <v>54</v>
      </c>
      <c r="G599" t="s">
        <v>129</v>
      </c>
      <c r="H599" t="s">
        <v>1738</v>
      </c>
      <c r="I599" t="s">
        <v>368</v>
      </c>
      <c r="J599" t="s">
        <v>29</v>
      </c>
      <c r="K599" t="s">
        <v>1019</v>
      </c>
      <c r="L599" t="s">
        <v>44</v>
      </c>
      <c r="M599" t="s">
        <v>38</v>
      </c>
      <c r="N599" t="s">
        <v>107</v>
      </c>
      <c r="O599" t="s">
        <v>108</v>
      </c>
      <c r="P599" t="s">
        <v>76</v>
      </c>
      <c r="Q599">
        <v>288</v>
      </c>
      <c r="R599">
        <v>102.68</v>
      </c>
      <c r="S599">
        <v>29571.84</v>
      </c>
      <c r="T599">
        <v>13.27</v>
      </c>
      <c r="U599">
        <v>20</v>
      </c>
      <c r="V599">
        <v>3027</v>
      </c>
      <c r="W599" t="s">
        <v>36</v>
      </c>
      <c r="X599">
        <v>3391.22</v>
      </c>
    </row>
    <row r="600" spans="1:24" x14ac:dyDescent="0.25">
      <c r="A600" s="2">
        <v>100598</v>
      </c>
      <c r="B600" s="1">
        <v>45540</v>
      </c>
      <c r="C600" s="1">
        <v>45545</v>
      </c>
      <c r="D600" s="1">
        <v>45559</v>
      </c>
      <c r="E600" t="s">
        <v>1739</v>
      </c>
      <c r="F600" t="s">
        <v>32</v>
      </c>
      <c r="G600" t="s">
        <v>110</v>
      </c>
      <c r="H600" t="s">
        <v>1740</v>
      </c>
      <c r="I600" t="s">
        <v>207</v>
      </c>
      <c r="J600" t="s">
        <v>80</v>
      </c>
      <c r="K600" t="s">
        <v>792</v>
      </c>
      <c r="L600" t="s">
        <v>64</v>
      </c>
      <c r="M600" t="s">
        <v>54</v>
      </c>
      <c r="N600" t="s">
        <v>92</v>
      </c>
      <c r="O600" t="s">
        <v>93</v>
      </c>
      <c r="P600" t="s">
        <v>123</v>
      </c>
      <c r="Q600">
        <v>447</v>
      </c>
      <c r="R600">
        <v>81.069999999999993</v>
      </c>
      <c r="S600">
        <v>36238.29</v>
      </c>
      <c r="T600">
        <v>21.55</v>
      </c>
      <c r="U600">
        <v>14</v>
      </c>
      <c r="V600">
        <v>1924</v>
      </c>
      <c r="W600" t="s">
        <v>36</v>
      </c>
      <c r="X600">
        <v>9747.26</v>
      </c>
    </row>
    <row r="601" spans="1:24" x14ac:dyDescent="0.25">
      <c r="A601" s="2">
        <v>100599</v>
      </c>
      <c r="B601" s="1">
        <v>45634</v>
      </c>
      <c r="C601" s="1">
        <v>45638</v>
      </c>
      <c r="D601" s="1">
        <v>45653</v>
      </c>
      <c r="E601" t="s">
        <v>1741</v>
      </c>
      <c r="F601" t="s">
        <v>38</v>
      </c>
      <c r="G601" t="s">
        <v>49</v>
      </c>
      <c r="H601" t="s">
        <v>1742</v>
      </c>
      <c r="I601" t="s">
        <v>230</v>
      </c>
      <c r="J601" t="s">
        <v>80</v>
      </c>
      <c r="K601" t="s">
        <v>1557</v>
      </c>
      <c r="L601" t="s">
        <v>31</v>
      </c>
      <c r="M601" t="s">
        <v>25</v>
      </c>
      <c r="N601" t="s">
        <v>102</v>
      </c>
      <c r="O601" t="s">
        <v>103</v>
      </c>
      <c r="P601" t="s">
        <v>35</v>
      </c>
      <c r="Q601">
        <v>326</v>
      </c>
      <c r="R601">
        <v>114.62</v>
      </c>
      <c r="S601">
        <v>37366.120000000003</v>
      </c>
      <c r="T601">
        <v>21.72</v>
      </c>
      <c r="U601">
        <v>15</v>
      </c>
      <c r="V601">
        <v>1204</v>
      </c>
      <c r="W601" t="s">
        <v>188</v>
      </c>
      <c r="X601">
        <v>10013.370000000001</v>
      </c>
    </row>
    <row r="602" spans="1:24" x14ac:dyDescent="0.25">
      <c r="A602" s="2">
        <v>100600</v>
      </c>
      <c r="B602" s="1">
        <v>45652</v>
      </c>
      <c r="C602" s="1">
        <v>45653</v>
      </c>
      <c r="D602" s="1">
        <v>45656</v>
      </c>
      <c r="E602" t="s">
        <v>1743</v>
      </c>
      <c r="F602" t="s">
        <v>32</v>
      </c>
      <c r="G602" t="s">
        <v>273</v>
      </c>
      <c r="H602" t="s">
        <v>1744</v>
      </c>
      <c r="I602" t="s">
        <v>191</v>
      </c>
      <c r="J602" t="s">
        <v>62</v>
      </c>
      <c r="K602" t="s">
        <v>1576</v>
      </c>
      <c r="L602" t="s">
        <v>64</v>
      </c>
      <c r="M602" t="s">
        <v>38</v>
      </c>
      <c r="N602" t="s">
        <v>33</v>
      </c>
      <c r="O602" t="s">
        <v>34</v>
      </c>
      <c r="P602" t="s">
        <v>68</v>
      </c>
      <c r="Q602">
        <v>228</v>
      </c>
      <c r="R602">
        <v>34.76</v>
      </c>
      <c r="S602">
        <v>7925.28</v>
      </c>
      <c r="T602">
        <v>43.29</v>
      </c>
      <c r="U602">
        <v>3</v>
      </c>
      <c r="V602">
        <v>1948</v>
      </c>
      <c r="W602" t="s">
        <v>36</v>
      </c>
      <c r="X602">
        <v>751.88</v>
      </c>
    </row>
    <row r="603" spans="1:24" x14ac:dyDescent="0.25">
      <c r="A603" s="2">
        <v>100601</v>
      </c>
      <c r="B603" s="1">
        <v>45402</v>
      </c>
      <c r="C603" s="1">
        <v>45406</v>
      </c>
      <c r="D603" s="1">
        <v>45422</v>
      </c>
      <c r="E603" t="s">
        <v>1745</v>
      </c>
      <c r="F603" t="s">
        <v>54</v>
      </c>
      <c r="G603" t="s">
        <v>165</v>
      </c>
      <c r="H603" t="s">
        <v>1746</v>
      </c>
      <c r="I603" t="s">
        <v>72</v>
      </c>
      <c r="J603" t="s">
        <v>42</v>
      </c>
      <c r="K603" t="s">
        <v>1747</v>
      </c>
      <c r="L603" t="s">
        <v>113</v>
      </c>
      <c r="M603" t="s">
        <v>54</v>
      </c>
      <c r="N603" t="s">
        <v>45</v>
      </c>
      <c r="O603" t="s">
        <v>46</v>
      </c>
      <c r="P603" t="s">
        <v>76</v>
      </c>
      <c r="Q603">
        <v>419</v>
      </c>
      <c r="R603">
        <v>134.69</v>
      </c>
      <c r="S603">
        <v>56435.11</v>
      </c>
      <c r="T603">
        <v>11.6</v>
      </c>
      <c r="U603">
        <v>16</v>
      </c>
      <c r="V603">
        <v>328</v>
      </c>
      <c r="W603" t="s">
        <v>47</v>
      </c>
      <c r="X603">
        <v>-27.59</v>
      </c>
    </row>
    <row r="604" spans="1:24" x14ac:dyDescent="0.25">
      <c r="A604" s="2">
        <v>100602</v>
      </c>
      <c r="B604" s="1">
        <v>45343</v>
      </c>
      <c r="C604" s="1">
        <v>45343</v>
      </c>
      <c r="D604" s="1">
        <v>45358</v>
      </c>
      <c r="E604" t="s">
        <v>1748</v>
      </c>
      <c r="F604" t="s">
        <v>54</v>
      </c>
      <c r="G604" t="s">
        <v>158</v>
      </c>
      <c r="H604" t="s">
        <v>1749</v>
      </c>
      <c r="I604" t="s">
        <v>89</v>
      </c>
      <c r="J604" t="s">
        <v>62</v>
      </c>
      <c r="K604" t="s">
        <v>584</v>
      </c>
      <c r="L604" t="s">
        <v>122</v>
      </c>
      <c r="M604" t="s">
        <v>38</v>
      </c>
      <c r="N604" t="s">
        <v>55</v>
      </c>
      <c r="O604" t="s">
        <v>56</v>
      </c>
      <c r="P604" t="s">
        <v>76</v>
      </c>
      <c r="Q604">
        <v>150</v>
      </c>
      <c r="R604">
        <v>32.17</v>
      </c>
      <c r="S604">
        <v>4825.5</v>
      </c>
      <c r="T604">
        <v>10.75</v>
      </c>
      <c r="U604">
        <v>15</v>
      </c>
      <c r="V604">
        <v>920</v>
      </c>
      <c r="W604" t="s">
        <v>36</v>
      </c>
      <c r="X604">
        <v>76.75</v>
      </c>
    </row>
    <row r="605" spans="1:24" x14ac:dyDescent="0.25">
      <c r="A605" s="2">
        <v>100603</v>
      </c>
      <c r="B605" s="1">
        <v>45908</v>
      </c>
      <c r="C605" s="1">
        <v>45909</v>
      </c>
      <c r="D605" s="1">
        <v>45922</v>
      </c>
      <c r="E605" t="s">
        <v>1750</v>
      </c>
      <c r="F605" t="s">
        <v>32</v>
      </c>
      <c r="G605" t="s">
        <v>255</v>
      </c>
      <c r="H605" t="s">
        <v>1751</v>
      </c>
      <c r="I605" t="s">
        <v>198</v>
      </c>
      <c r="J605" t="s">
        <v>52</v>
      </c>
      <c r="K605" t="s">
        <v>1752</v>
      </c>
      <c r="L605" t="s">
        <v>212</v>
      </c>
      <c r="M605" t="s">
        <v>32</v>
      </c>
      <c r="N605" t="s">
        <v>151</v>
      </c>
      <c r="O605" t="s">
        <v>152</v>
      </c>
      <c r="P605" t="s">
        <v>76</v>
      </c>
      <c r="Q605">
        <v>238</v>
      </c>
      <c r="R605">
        <v>78.760000000000005</v>
      </c>
      <c r="S605">
        <v>18744.88</v>
      </c>
      <c r="T605">
        <v>9.15</v>
      </c>
      <c r="U605">
        <v>13</v>
      </c>
      <c r="V605">
        <v>467</v>
      </c>
      <c r="W605" t="s">
        <v>36</v>
      </c>
      <c r="X605">
        <v>1346.83</v>
      </c>
    </row>
    <row r="606" spans="1:24" x14ac:dyDescent="0.25">
      <c r="A606" s="2">
        <v>100604</v>
      </c>
      <c r="B606" s="1">
        <v>45802</v>
      </c>
      <c r="C606" s="1">
        <v>45802</v>
      </c>
      <c r="D606" s="1">
        <v>45814</v>
      </c>
      <c r="E606" t="s">
        <v>1753</v>
      </c>
      <c r="F606" t="s">
        <v>65</v>
      </c>
      <c r="G606" t="s">
        <v>70</v>
      </c>
      <c r="H606" t="s">
        <v>1754</v>
      </c>
      <c r="I606" t="s">
        <v>51</v>
      </c>
      <c r="J606" t="s">
        <v>52</v>
      </c>
      <c r="K606" t="s">
        <v>1755</v>
      </c>
      <c r="L606" t="s">
        <v>212</v>
      </c>
      <c r="M606" t="s">
        <v>38</v>
      </c>
      <c r="N606" t="s">
        <v>151</v>
      </c>
      <c r="O606" t="s">
        <v>152</v>
      </c>
      <c r="P606" t="s">
        <v>76</v>
      </c>
      <c r="Q606">
        <v>290</v>
      </c>
      <c r="R606">
        <v>44.7</v>
      </c>
      <c r="S606">
        <v>12963</v>
      </c>
      <c r="T606">
        <v>13.3</v>
      </c>
      <c r="U606">
        <v>12</v>
      </c>
      <c r="V606">
        <v>816</v>
      </c>
      <c r="W606" t="s">
        <v>36</v>
      </c>
      <c r="X606">
        <v>1720.61</v>
      </c>
    </row>
    <row r="607" spans="1:24" x14ac:dyDescent="0.25">
      <c r="A607" s="2">
        <v>100605</v>
      </c>
      <c r="B607" s="1">
        <v>45580</v>
      </c>
      <c r="C607" s="1">
        <v>45581</v>
      </c>
      <c r="D607" s="1">
        <v>45582</v>
      </c>
      <c r="E607" t="s">
        <v>1756</v>
      </c>
      <c r="F607" t="s">
        <v>25</v>
      </c>
      <c r="G607" t="s">
        <v>244</v>
      </c>
      <c r="H607" t="s">
        <v>1757</v>
      </c>
      <c r="I607" t="s">
        <v>79</v>
      </c>
      <c r="J607" t="s">
        <v>80</v>
      </c>
      <c r="K607" t="s">
        <v>778</v>
      </c>
      <c r="L607" t="s">
        <v>113</v>
      </c>
      <c r="M607" t="s">
        <v>54</v>
      </c>
      <c r="N607" t="s">
        <v>66</v>
      </c>
      <c r="O607" t="s">
        <v>67</v>
      </c>
      <c r="P607" t="s">
        <v>68</v>
      </c>
      <c r="Q607">
        <v>440</v>
      </c>
      <c r="R607">
        <v>249.9</v>
      </c>
      <c r="S607">
        <v>109956</v>
      </c>
      <c r="T607">
        <v>57.02</v>
      </c>
      <c r="U607">
        <v>1</v>
      </c>
      <c r="V607">
        <v>319</v>
      </c>
      <c r="W607" t="s">
        <v>36</v>
      </c>
      <c r="X607">
        <v>21055.45</v>
      </c>
    </row>
    <row r="608" spans="1:24" x14ac:dyDescent="0.25">
      <c r="A608" s="2">
        <v>100606</v>
      </c>
      <c r="B608" s="1">
        <v>45363</v>
      </c>
      <c r="C608" s="1">
        <v>45364</v>
      </c>
      <c r="D608" s="1">
        <v>45375</v>
      </c>
      <c r="E608" t="s">
        <v>1758</v>
      </c>
      <c r="F608" t="s">
        <v>54</v>
      </c>
      <c r="G608" t="s">
        <v>225</v>
      </c>
      <c r="H608" t="s">
        <v>1759</v>
      </c>
      <c r="I608" t="s">
        <v>116</v>
      </c>
      <c r="J608" t="s">
        <v>62</v>
      </c>
      <c r="K608" t="s">
        <v>195</v>
      </c>
      <c r="L608" t="s">
        <v>122</v>
      </c>
      <c r="M608" t="s">
        <v>38</v>
      </c>
      <c r="N608" t="s">
        <v>102</v>
      </c>
      <c r="O608" t="s">
        <v>103</v>
      </c>
      <c r="P608" t="s">
        <v>76</v>
      </c>
      <c r="Q608">
        <v>337</v>
      </c>
      <c r="R608">
        <v>24.46</v>
      </c>
      <c r="S608">
        <v>8243.02</v>
      </c>
      <c r="T608">
        <v>14.16</v>
      </c>
      <c r="U608">
        <v>11</v>
      </c>
      <c r="V608">
        <v>1209</v>
      </c>
      <c r="W608" t="s">
        <v>36</v>
      </c>
      <c r="X608">
        <v>593.69000000000005</v>
      </c>
    </row>
    <row r="609" spans="1:24" x14ac:dyDescent="0.25">
      <c r="A609" s="2">
        <v>100607</v>
      </c>
      <c r="B609" s="1">
        <v>45637</v>
      </c>
      <c r="C609" s="1">
        <v>45637</v>
      </c>
      <c r="D609" s="1">
        <v>45641</v>
      </c>
      <c r="E609" t="s">
        <v>1760</v>
      </c>
      <c r="F609" t="s">
        <v>32</v>
      </c>
      <c r="G609" t="s">
        <v>255</v>
      </c>
      <c r="H609" t="s">
        <v>1761</v>
      </c>
      <c r="I609" t="s">
        <v>177</v>
      </c>
      <c r="J609" t="s">
        <v>29</v>
      </c>
      <c r="K609" t="s">
        <v>392</v>
      </c>
      <c r="L609" t="s">
        <v>212</v>
      </c>
      <c r="M609" t="s">
        <v>38</v>
      </c>
      <c r="N609" t="s">
        <v>33</v>
      </c>
      <c r="O609" t="s">
        <v>34</v>
      </c>
      <c r="P609" t="s">
        <v>68</v>
      </c>
      <c r="Q609">
        <v>412</v>
      </c>
      <c r="R609">
        <v>12.02</v>
      </c>
      <c r="S609">
        <v>4952.24</v>
      </c>
      <c r="T609">
        <v>55.21</v>
      </c>
      <c r="U609">
        <v>4</v>
      </c>
      <c r="V609">
        <v>2797</v>
      </c>
      <c r="W609" t="s">
        <v>36</v>
      </c>
      <c r="X609">
        <v>477.63</v>
      </c>
    </row>
    <row r="610" spans="1:24" x14ac:dyDescent="0.25">
      <c r="A610" s="2">
        <v>100608</v>
      </c>
      <c r="B610" s="1">
        <v>45876</v>
      </c>
      <c r="C610" s="1">
        <v>45879</v>
      </c>
      <c r="D610" s="1">
        <v>45904</v>
      </c>
      <c r="E610" t="s">
        <v>1762</v>
      </c>
      <c r="F610" t="s">
        <v>54</v>
      </c>
      <c r="G610" t="s">
        <v>129</v>
      </c>
      <c r="H610" t="s">
        <v>1763</v>
      </c>
      <c r="I610" t="s">
        <v>89</v>
      </c>
      <c r="J610" t="s">
        <v>62</v>
      </c>
      <c r="K610" t="s">
        <v>1573</v>
      </c>
      <c r="L610" t="s">
        <v>187</v>
      </c>
      <c r="M610" t="s">
        <v>32</v>
      </c>
      <c r="N610" t="s">
        <v>102</v>
      </c>
      <c r="O610" t="s">
        <v>103</v>
      </c>
      <c r="P610" t="s">
        <v>76</v>
      </c>
      <c r="Q610">
        <v>147</v>
      </c>
      <c r="R610">
        <v>31.66</v>
      </c>
      <c r="S610">
        <v>4654.0200000000004</v>
      </c>
      <c r="T610">
        <v>10.7</v>
      </c>
      <c r="U610">
        <v>25</v>
      </c>
      <c r="V610">
        <v>2089</v>
      </c>
      <c r="W610" t="s">
        <v>36</v>
      </c>
      <c r="X610">
        <v>388.64</v>
      </c>
    </row>
    <row r="611" spans="1:24" x14ac:dyDescent="0.25">
      <c r="A611" s="2">
        <v>100609</v>
      </c>
      <c r="B611" s="1">
        <v>45495</v>
      </c>
      <c r="C611" s="1">
        <v>45499</v>
      </c>
      <c r="D611" s="1">
        <v>45509</v>
      </c>
      <c r="E611" t="s">
        <v>1764</v>
      </c>
      <c r="F611" t="s">
        <v>32</v>
      </c>
      <c r="G611" t="s">
        <v>110</v>
      </c>
      <c r="H611" t="s">
        <v>1765</v>
      </c>
      <c r="I611" t="s">
        <v>126</v>
      </c>
      <c r="J611" t="s">
        <v>42</v>
      </c>
      <c r="K611" t="s">
        <v>1766</v>
      </c>
      <c r="L611" t="s">
        <v>113</v>
      </c>
      <c r="M611" t="s">
        <v>38</v>
      </c>
      <c r="N611" t="s">
        <v>55</v>
      </c>
      <c r="O611" t="s">
        <v>56</v>
      </c>
      <c r="P611" t="s">
        <v>123</v>
      </c>
      <c r="Q611">
        <v>67</v>
      </c>
      <c r="R611">
        <v>319</v>
      </c>
      <c r="S611">
        <v>21373</v>
      </c>
      <c r="T611">
        <v>12.32</v>
      </c>
      <c r="U611">
        <v>10</v>
      </c>
      <c r="V611">
        <v>1595</v>
      </c>
      <c r="W611" t="s">
        <v>36</v>
      </c>
      <c r="X611">
        <v>3852.92</v>
      </c>
    </row>
    <row r="612" spans="1:24" x14ac:dyDescent="0.25">
      <c r="A612" s="2">
        <v>100610</v>
      </c>
      <c r="B612" s="1">
        <v>45590</v>
      </c>
      <c r="C612" s="1">
        <v>45594</v>
      </c>
      <c r="D612" s="1">
        <v>45599</v>
      </c>
      <c r="E612" t="s">
        <v>1767</v>
      </c>
      <c r="F612" t="s">
        <v>38</v>
      </c>
      <c r="G612" t="s">
        <v>147</v>
      </c>
      <c r="H612" t="s">
        <v>1768</v>
      </c>
      <c r="I612" t="s">
        <v>41</v>
      </c>
      <c r="J612" t="s">
        <v>42</v>
      </c>
      <c r="K612" t="s">
        <v>584</v>
      </c>
      <c r="L612" t="s">
        <v>113</v>
      </c>
      <c r="M612" t="s">
        <v>32</v>
      </c>
      <c r="N612" t="s">
        <v>55</v>
      </c>
      <c r="O612" t="s">
        <v>56</v>
      </c>
      <c r="P612" t="s">
        <v>35</v>
      </c>
      <c r="Q612">
        <v>240</v>
      </c>
      <c r="R612">
        <v>330.1</v>
      </c>
      <c r="S612">
        <v>79224</v>
      </c>
      <c r="T612">
        <v>19.28</v>
      </c>
      <c r="U612">
        <v>5</v>
      </c>
      <c r="V612">
        <v>141</v>
      </c>
      <c r="W612" t="s">
        <v>36</v>
      </c>
      <c r="X612">
        <v>11774.12</v>
      </c>
    </row>
    <row r="613" spans="1:24" x14ac:dyDescent="0.25">
      <c r="A613" s="2">
        <v>100611</v>
      </c>
      <c r="B613" s="1">
        <v>45726</v>
      </c>
      <c r="C613" s="1">
        <v>45727</v>
      </c>
      <c r="D613" s="1">
        <v>45731</v>
      </c>
      <c r="E613" t="s">
        <v>1769</v>
      </c>
      <c r="F613" t="s">
        <v>54</v>
      </c>
      <c r="G613" t="s">
        <v>225</v>
      </c>
      <c r="H613" t="s">
        <v>1770</v>
      </c>
      <c r="I613" t="s">
        <v>207</v>
      </c>
      <c r="J613" t="s">
        <v>80</v>
      </c>
      <c r="K613" t="s">
        <v>1771</v>
      </c>
      <c r="L613" t="s">
        <v>187</v>
      </c>
      <c r="M613" t="s">
        <v>38</v>
      </c>
      <c r="N613" t="s">
        <v>203</v>
      </c>
      <c r="O613" t="s">
        <v>204</v>
      </c>
      <c r="P613" t="s">
        <v>35</v>
      </c>
      <c r="Q613">
        <v>475</v>
      </c>
      <c r="R613">
        <v>127.63</v>
      </c>
      <c r="S613">
        <v>60624.25</v>
      </c>
      <c r="T613">
        <v>25.94</v>
      </c>
      <c r="U613">
        <v>4</v>
      </c>
      <c r="V613">
        <v>1657</v>
      </c>
      <c r="W613" t="s">
        <v>36</v>
      </c>
      <c r="X613">
        <v>11967.4</v>
      </c>
    </row>
    <row r="614" spans="1:24" x14ac:dyDescent="0.25">
      <c r="A614" s="2">
        <v>100612</v>
      </c>
      <c r="B614" s="1">
        <v>45604</v>
      </c>
      <c r="C614" s="1">
        <v>45608</v>
      </c>
      <c r="D614" s="1">
        <v>45626</v>
      </c>
      <c r="E614" t="s">
        <v>1772</v>
      </c>
      <c r="F614" t="s">
        <v>54</v>
      </c>
      <c r="G614" t="s">
        <v>129</v>
      </c>
      <c r="H614" t="s">
        <v>1773</v>
      </c>
      <c r="I614" t="s">
        <v>368</v>
      </c>
      <c r="J614" t="s">
        <v>29</v>
      </c>
      <c r="K614" t="s">
        <v>1774</v>
      </c>
      <c r="L614" t="s">
        <v>212</v>
      </c>
      <c r="M614" t="s">
        <v>25</v>
      </c>
      <c r="N614" t="s">
        <v>203</v>
      </c>
      <c r="O614" t="s">
        <v>204</v>
      </c>
      <c r="P614" t="s">
        <v>76</v>
      </c>
      <c r="Q614">
        <v>300</v>
      </c>
      <c r="R614">
        <v>24.58</v>
      </c>
      <c r="S614">
        <v>7374</v>
      </c>
      <c r="T614">
        <v>13.49</v>
      </c>
      <c r="U614">
        <v>18</v>
      </c>
      <c r="V614">
        <v>2005</v>
      </c>
      <c r="W614" t="s">
        <v>57</v>
      </c>
      <c r="X614">
        <v>1644.13</v>
      </c>
    </row>
    <row r="615" spans="1:24" x14ac:dyDescent="0.25">
      <c r="A615" s="2">
        <v>100613</v>
      </c>
      <c r="B615" s="1">
        <v>45387</v>
      </c>
      <c r="C615" s="1">
        <v>45392</v>
      </c>
      <c r="D615" s="1">
        <v>45415</v>
      </c>
      <c r="E615" t="s">
        <v>1775</v>
      </c>
      <c r="F615" t="s">
        <v>65</v>
      </c>
      <c r="G615" t="s">
        <v>154</v>
      </c>
      <c r="H615" t="s">
        <v>1776</v>
      </c>
      <c r="I615" t="s">
        <v>89</v>
      </c>
      <c r="J615" t="s">
        <v>62</v>
      </c>
      <c r="K615" t="s">
        <v>833</v>
      </c>
      <c r="L615" t="s">
        <v>98</v>
      </c>
      <c r="M615" t="s">
        <v>38</v>
      </c>
      <c r="N615" t="s">
        <v>102</v>
      </c>
      <c r="O615" t="s">
        <v>103</v>
      </c>
      <c r="P615" t="s">
        <v>76</v>
      </c>
      <c r="Q615">
        <v>92</v>
      </c>
      <c r="R615">
        <v>9.68</v>
      </c>
      <c r="S615">
        <v>890.56</v>
      </c>
      <c r="T615">
        <v>9.6999999999999993</v>
      </c>
      <c r="U615">
        <v>23</v>
      </c>
      <c r="V615">
        <v>3328</v>
      </c>
      <c r="W615" t="s">
        <v>36</v>
      </c>
      <c r="X615">
        <v>130.08000000000001</v>
      </c>
    </row>
    <row r="616" spans="1:24" x14ac:dyDescent="0.25">
      <c r="A616" s="2">
        <v>100614</v>
      </c>
      <c r="B616" s="1">
        <v>45681</v>
      </c>
      <c r="C616" s="1">
        <v>45684</v>
      </c>
      <c r="D616" s="1">
        <v>45696</v>
      </c>
      <c r="E616" t="s">
        <v>1777</v>
      </c>
      <c r="F616" t="s">
        <v>65</v>
      </c>
      <c r="G616" t="s">
        <v>70</v>
      </c>
      <c r="H616" t="s">
        <v>1778</v>
      </c>
      <c r="I616" t="s">
        <v>41</v>
      </c>
      <c r="J616" t="s">
        <v>42</v>
      </c>
      <c r="K616" t="s">
        <v>1779</v>
      </c>
      <c r="L616" t="s">
        <v>212</v>
      </c>
      <c r="M616" t="s">
        <v>38</v>
      </c>
      <c r="N616" t="s">
        <v>33</v>
      </c>
      <c r="O616" t="s">
        <v>34</v>
      </c>
      <c r="P616" t="s">
        <v>123</v>
      </c>
      <c r="Q616">
        <v>219</v>
      </c>
      <c r="R616">
        <v>305.39999999999998</v>
      </c>
      <c r="S616">
        <v>66882.600000000006</v>
      </c>
      <c r="T616">
        <v>16.010000000000002</v>
      </c>
      <c r="U616">
        <v>12</v>
      </c>
      <c r="V616">
        <v>1064</v>
      </c>
      <c r="W616" t="s">
        <v>36</v>
      </c>
      <c r="X616">
        <v>11179.26</v>
      </c>
    </row>
    <row r="617" spans="1:24" x14ac:dyDescent="0.25">
      <c r="A617" s="2">
        <v>100615</v>
      </c>
      <c r="B617" s="1">
        <v>45881</v>
      </c>
      <c r="C617" s="1">
        <v>45884</v>
      </c>
      <c r="D617" s="1">
        <v>45893</v>
      </c>
      <c r="E617" t="s">
        <v>1780</v>
      </c>
      <c r="F617" t="s">
        <v>54</v>
      </c>
      <c r="G617" t="s">
        <v>193</v>
      </c>
      <c r="H617" t="s">
        <v>1781</v>
      </c>
      <c r="I617" t="s">
        <v>177</v>
      </c>
      <c r="J617" t="s">
        <v>29</v>
      </c>
      <c r="K617" t="s">
        <v>1782</v>
      </c>
      <c r="L617" t="s">
        <v>64</v>
      </c>
      <c r="M617" t="s">
        <v>25</v>
      </c>
      <c r="N617" t="s">
        <v>66</v>
      </c>
      <c r="O617" t="s">
        <v>67</v>
      </c>
      <c r="P617" t="s">
        <v>35</v>
      </c>
      <c r="Q617">
        <v>131</v>
      </c>
      <c r="R617">
        <v>20.65</v>
      </c>
      <c r="S617">
        <v>2705.15</v>
      </c>
      <c r="T617">
        <v>16.190000000000001</v>
      </c>
      <c r="U617">
        <v>9</v>
      </c>
      <c r="V617">
        <v>2735</v>
      </c>
      <c r="W617" t="s">
        <v>36</v>
      </c>
      <c r="X617">
        <v>501.09</v>
      </c>
    </row>
    <row r="618" spans="1:24" x14ac:dyDescent="0.25">
      <c r="A618" s="2">
        <v>100616</v>
      </c>
      <c r="B618" s="1">
        <v>45564</v>
      </c>
      <c r="C618" s="1">
        <v>45567</v>
      </c>
      <c r="D618" s="1">
        <v>45581</v>
      </c>
      <c r="E618" t="s">
        <v>1783</v>
      </c>
      <c r="F618" t="s">
        <v>38</v>
      </c>
      <c r="G618" t="s">
        <v>83</v>
      </c>
      <c r="H618" t="s">
        <v>1784</v>
      </c>
      <c r="I618" t="s">
        <v>368</v>
      </c>
      <c r="J618" t="s">
        <v>29</v>
      </c>
      <c r="K618" t="s">
        <v>1785</v>
      </c>
      <c r="L618" t="s">
        <v>91</v>
      </c>
      <c r="M618" t="s">
        <v>38</v>
      </c>
      <c r="N618" t="s">
        <v>74</v>
      </c>
      <c r="O618" t="s">
        <v>75</v>
      </c>
      <c r="P618" t="s">
        <v>123</v>
      </c>
      <c r="Q618">
        <v>120</v>
      </c>
      <c r="R618">
        <v>29.34</v>
      </c>
      <c r="S618">
        <v>3520.8</v>
      </c>
      <c r="T618">
        <v>10.08</v>
      </c>
      <c r="U618">
        <v>14</v>
      </c>
      <c r="V618">
        <v>3310</v>
      </c>
      <c r="W618" t="s">
        <v>36</v>
      </c>
      <c r="X618">
        <v>736.25</v>
      </c>
    </row>
    <row r="619" spans="1:24" x14ac:dyDescent="0.25">
      <c r="A619" s="2">
        <v>100617</v>
      </c>
      <c r="B619" s="1">
        <v>45985</v>
      </c>
      <c r="C619" s="1">
        <v>45985</v>
      </c>
      <c r="D619" s="1">
        <v>45990</v>
      </c>
      <c r="E619" t="s">
        <v>1786</v>
      </c>
      <c r="F619" t="s">
        <v>54</v>
      </c>
      <c r="G619" t="s">
        <v>193</v>
      </c>
      <c r="H619" t="s">
        <v>1787</v>
      </c>
      <c r="I619" t="s">
        <v>79</v>
      </c>
      <c r="J619" t="s">
        <v>80</v>
      </c>
      <c r="K619" t="s">
        <v>1788</v>
      </c>
      <c r="L619" t="s">
        <v>118</v>
      </c>
      <c r="M619" t="s">
        <v>54</v>
      </c>
      <c r="N619" t="s">
        <v>66</v>
      </c>
      <c r="O619" t="s">
        <v>67</v>
      </c>
      <c r="P619" t="s">
        <v>68</v>
      </c>
      <c r="Q619">
        <v>174</v>
      </c>
      <c r="R619">
        <v>277.51</v>
      </c>
      <c r="S619">
        <v>48286.74</v>
      </c>
      <c r="T619">
        <v>29.47</v>
      </c>
      <c r="U619">
        <v>5</v>
      </c>
      <c r="V619">
        <v>1593</v>
      </c>
      <c r="W619" t="s">
        <v>36</v>
      </c>
      <c r="X619">
        <v>10678.13</v>
      </c>
    </row>
    <row r="620" spans="1:24" x14ac:dyDescent="0.25">
      <c r="A620" s="2">
        <v>100618</v>
      </c>
      <c r="B620" s="1">
        <v>45905</v>
      </c>
      <c r="C620" s="1">
        <v>45910</v>
      </c>
      <c r="D620" s="1">
        <v>45911</v>
      </c>
      <c r="E620" t="s">
        <v>1789</v>
      </c>
      <c r="F620" t="s">
        <v>38</v>
      </c>
      <c r="G620" t="s">
        <v>147</v>
      </c>
      <c r="H620" t="s">
        <v>1790</v>
      </c>
      <c r="I620" t="s">
        <v>207</v>
      </c>
      <c r="J620" t="s">
        <v>80</v>
      </c>
      <c r="K620" t="s">
        <v>1791</v>
      </c>
      <c r="L620" t="s">
        <v>98</v>
      </c>
      <c r="M620" t="s">
        <v>38</v>
      </c>
      <c r="N620" t="s">
        <v>74</v>
      </c>
      <c r="O620" t="s">
        <v>75</v>
      </c>
      <c r="P620" t="s">
        <v>68</v>
      </c>
      <c r="Q620">
        <v>232</v>
      </c>
      <c r="R620">
        <v>166.06</v>
      </c>
      <c r="S620">
        <v>38525.919999999998</v>
      </c>
      <c r="T620">
        <v>32.26</v>
      </c>
      <c r="U620">
        <v>1</v>
      </c>
      <c r="V620">
        <v>336</v>
      </c>
      <c r="W620" t="s">
        <v>36</v>
      </c>
      <c r="X620">
        <v>10407.049999999999</v>
      </c>
    </row>
    <row r="621" spans="1:24" x14ac:dyDescent="0.25">
      <c r="A621" s="2">
        <v>100619</v>
      </c>
      <c r="B621" s="1">
        <v>45314</v>
      </c>
      <c r="C621" s="1">
        <v>45318</v>
      </c>
      <c r="D621" s="1">
        <v>45329</v>
      </c>
      <c r="E621" t="s">
        <v>1792</v>
      </c>
      <c r="F621" t="s">
        <v>32</v>
      </c>
      <c r="G621" t="s">
        <v>180</v>
      </c>
      <c r="H621" t="s">
        <v>1793</v>
      </c>
      <c r="I621" t="s">
        <v>126</v>
      </c>
      <c r="J621" t="s">
        <v>42</v>
      </c>
      <c r="K621" t="s">
        <v>1794</v>
      </c>
      <c r="L621" t="s">
        <v>113</v>
      </c>
      <c r="M621" t="s">
        <v>32</v>
      </c>
      <c r="N621" t="s">
        <v>33</v>
      </c>
      <c r="O621" t="s">
        <v>34</v>
      </c>
      <c r="P621" t="s">
        <v>123</v>
      </c>
      <c r="Q621">
        <v>322</v>
      </c>
      <c r="R621">
        <v>99.45</v>
      </c>
      <c r="S621">
        <v>32022.9</v>
      </c>
      <c r="T621">
        <v>13.72</v>
      </c>
      <c r="U621">
        <v>11</v>
      </c>
      <c r="V621">
        <v>376</v>
      </c>
      <c r="W621" t="s">
        <v>36</v>
      </c>
      <c r="X621">
        <v>3645.22</v>
      </c>
    </row>
    <row r="622" spans="1:24" x14ac:dyDescent="0.25">
      <c r="A622" s="2">
        <v>100620</v>
      </c>
      <c r="B622" s="1">
        <v>45656</v>
      </c>
      <c r="C622" s="1">
        <v>45657</v>
      </c>
      <c r="D622" s="1">
        <v>45672</v>
      </c>
      <c r="E622" t="s">
        <v>1795</v>
      </c>
      <c r="F622" t="s">
        <v>38</v>
      </c>
      <c r="G622" t="s">
        <v>39</v>
      </c>
      <c r="H622" t="s">
        <v>1796</v>
      </c>
      <c r="I622" t="s">
        <v>368</v>
      </c>
      <c r="J622" t="s">
        <v>29</v>
      </c>
      <c r="K622" t="s">
        <v>1435</v>
      </c>
      <c r="L622" t="s">
        <v>212</v>
      </c>
      <c r="M622" t="s">
        <v>25</v>
      </c>
      <c r="N622" t="s">
        <v>66</v>
      </c>
      <c r="O622" t="s">
        <v>67</v>
      </c>
      <c r="P622" t="s">
        <v>76</v>
      </c>
      <c r="Q622">
        <v>283</v>
      </c>
      <c r="R622">
        <v>71.77</v>
      </c>
      <c r="S622">
        <v>20310.91</v>
      </c>
      <c r="T622">
        <v>13.18</v>
      </c>
      <c r="U622">
        <v>15</v>
      </c>
      <c r="V622">
        <v>2102</v>
      </c>
      <c r="W622" t="s">
        <v>57</v>
      </c>
      <c r="X622">
        <v>4227.24</v>
      </c>
    </row>
    <row r="623" spans="1:24" x14ac:dyDescent="0.25">
      <c r="A623" s="2">
        <v>100621</v>
      </c>
      <c r="B623" s="1">
        <v>45351</v>
      </c>
      <c r="C623" s="1">
        <v>45351</v>
      </c>
      <c r="D623" s="1">
        <v>45357</v>
      </c>
      <c r="E623" t="s">
        <v>1797</v>
      </c>
      <c r="F623" t="s">
        <v>25</v>
      </c>
      <c r="G623" t="s">
        <v>59</v>
      </c>
      <c r="H623" t="s">
        <v>1798</v>
      </c>
      <c r="I623" t="s">
        <v>126</v>
      </c>
      <c r="J623" t="s">
        <v>42</v>
      </c>
      <c r="K623" t="s">
        <v>81</v>
      </c>
      <c r="L623" t="s">
        <v>113</v>
      </c>
      <c r="M623" t="s">
        <v>38</v>
      </c>
      <c r="N623" t="s">
        <v>203</v>
      </c>
      <c r="O623" t="s">
        <v>204</v>
      </c>
      <c r="P623" t="s">
        <v>123</v>
      </c>
      <c r="Q623">
        <v>408</v>
      </c>
      <c r="R623">
        <v>437.56</v>
      </c>
      <c r="S623">
        <v>178524.48</v>
      </c>
      <c r="T623">
        <v>20.61</v>
      </c>
      <c r="U623">
        <v>6</v>
      </c>
      <c r="V623">
        <v>1791</v>
      </c>
      <c r="W623" t="s">
        <v>36</v>
      </c>
      <c r="X623">
        <v>27556.18</v>
      </c>
    </row>
    <row r="624" spans="1:24" x14ac:dyDescent="0.25">
      <c r="A624" s="2">
        <v>100622</v>
      </c>
      <c r="B624" s="1">
        <v>45382</v>
      </c>
      <c r="C624" s="1">
        <v>45383</v>
      </c>
      <c r="D624" s="1">
        <v>45385</v>
      </c>
      <c r="E624" t="s">
        <v>1799</v>
      </c>
      <c r="F624" t="s">
        <v>25</v>
      </c>
      <c r="G624" t="s">
        <v>169</v>
      </c>
      <c r="H624" t="s">
        <v>1800</v>
      </c>
      <c r="I624" t="s">
        <v>238</v>
      </c>
      <c r="J624" t="s">
        <v>62</v>
      </c>
      <c r="K624" t="s">
        <v>1506</v>
      </c>
      <c r="L624" t="s">
        <v>44</v>
      </c>
      <c r="M624" t="s">
        <v>38</v>
      </c>
      <c r="N624" t="s">
        <v>151</v>
      </c>
      <c r="O624" t="s">
        <v>152</v>
      </c>
      <c r="P624" t="s">
        <v>35</v>
      </c>
      <c r="Q624">
        <v>315</v>
      </c>
      <c r="R624">
        <v>46.82</v>
      </c>
      <c r="S624">
        <v>14748.3</v>
      </c>
      <c r="T624">
        <v>21.4</v>
      </c>
      <c r="U624">
        <v>2</v>
      </c>
      <c r="V624">
        <v>4790</v>
      </c>
      <c r="W624" t="s">
        <v>36</v>
      </c>
      <c r="X624">
        <v>264.87</v>
      </c>
    </row>
    <row r="625" spans="1:24" x14ac:dyDescent="0.25">
      <c r="A625" s="2">
        <v>100623</v>
      </c>
      <c r="B625" s="1">
        <v>45432</v>
      </c>
      <c r="C625" s="1">
        <v>45432</v>
      </c>
      <c r="D625" s="1">
        <v>45446</v>
      </c>
      <c r="E625" t="s">
        <v>1801</v>
      </c>
      <c r="F625" t="s">
        <v>54</v>
      </c>
      <c r="G625" t="s">
        <v>225</v>
      </c>
      <c r="H625" t="s">
        <v>1802</v>
      </c>
      <c r="I625" t="s">
        <v>134</v>
      </c>
      <c r="J625" t="s">
        <v>52</v>
      </c>
      <c r="K625" t="s">
        <v>1803</v>
      </c>
      <c r="L625" t="s">
        <v>212</v>
      </c>
      <c r="M625" t="s">
        <v>25</v>
      </c>
      <c r="N625" t="s">
        <v>66</v>
      </c>
      <c r="O625" t="s">
        <v>67</v>
      </c>
      <c r="P625" t="s">
        <v>123</v>
      </c>
      <c r="Q625">
        <v>223</v>
      </c>
      <c r="R625">
        <v>74.08</v>
      </c>
      <c r="S625">
        <v>16519.84</v>
      </c>
      <c r="T625">
        <v>16.11</v>
      </c>
      <c r="U625">
        <v>14</v>
      </c>
      <c r="V625">
        <v>1081</v>
      </c>
      <c r="W625" t="s">
        <v>36</v>
      </c>
      <c r="X625">
        <v>3063.75</v>
      </c>
    </row>
    <row r="626" spans="1:24" x14ac:dyDescent="0.25">
      <c r="A626" s="2">
        <v>100624</v>
      </c>
      <c r="B626" s="1">
        <v>45579</v>
      </c>
      <c r="C626" s="1">
        <v>45580</v>
      </c>
      <c r="D626" s="1">
        <v>45593</v>
      </c>
      <c r="E626" t="s">
        <v>1804</v>
      </c>
      <c r="F626" t="s">
        <v>54</v>
      </c>
      <c r="G626" t="s">
        <v>158</v>
      </c>
      <c r="H626" t="s">
        <v>1805</v>
      </c>
      <c r="I626" t="s">
        <v>116</v>
      </c>
      <c r="J626" t="s">
        <v>62</v>
      </c>
      <c r="K626" t="s">
        <v>1806</v>
      </c>
      <c r="L626" t="s">
        <v>98</v>
      </c>
      <c r="M626" t="s">
        <v>32</v>
      </c>
      <c r="N626" t="s">
        <v>151</v>
      </c>
      <c r="O626" t="s">
        <v>152</v>
      </c>
      <c r="P626" t="s">
        <v>123</v>
      </c>
      <c r="Q626">
        <v>406</v>
      </c>
      <c r="R626">
        <v>39.130000000000003</v>
      </c>
      <c r="S626">
        <v>15886.78</v>
      </c>
      <c r="T626">
        <v>20.56</v>
      </c>
      <c r="U626">
        <v>13</v>
      </c>
      <c r="V626">
        <v>337</v>
      </c>
      <c r="W626" t="s">
        <v>188</v>
      </c>
      <c r="X626">
        <v>989.73</v>
      </c>
    </row>
    <row r="627" spans="1:24" x14ac:dyDescent="0.25">
      <c r="A627" s="2">
        <v>100625</v>
      </c>
      <c r="B627" s="1">
        <v>45648</v>
      </c>
      <c r="C627" s="1">
        <v>45648</v>
      </c>
      <c r="D627" s="1">
        <v>45671</v>
      </c>
      <c r="E627" t="s">
        <v>923</v>
      </c>
      <c r="F627" t="s">
        <v>38</v>
      </c>
      <c r="G627" t="s">
        <v>49</v>
      </c>
      <c r="H627" t="s">
        <v>1807</v>
      </c>
      <c r="I627" t="s">
        <v>139</v>
      </c>
      <c r="J627" t="s">
        <v>42</v>
      </c>
      <c r="K627" t="s">
        <v>1808</v>
      </c>
      <c r="L627" t="s">
        <v>31</v>
      </c>
      <c r="M627" t="s">
        <v>25</v>
      </c>
      <c r="N627" t="s">
        <v>66</v>
      </c>
      <c r="O627" t="s">
        <v>67</v>
      </c>
      <c r="P627" t="s">
        <v>76</v>
      </c>
      <c r="Q627">
        <v>65</v>
      </c>
      <c r="R627">
        <v>388.56</v>
      </c>
      <c r="S627">
        <v>25256.400000000001</v>
      </c>
      <c r="T627">
        <v>9.1999999999999993</v>
      </c>
      <c r="U627">
        <v>23</v>
      </c>
      <c r="V627">
        <v>118</v>
      </c>
      <c r="W627" t="s">
        <v>36</v>
      </c>
      <c r="X627">
        <v>2238.5</v>
      </c>
    </row>
    <row r="628" spans="1:24" x14ac:dyDescent="0.25">
      <c r="A628" s="2">
        <v>100626</v>
      </c>
      <c r="B628" s="1">
        <v>45781</v>
      </c>
      <c r="C628" s="1">
        <v>45782</v>
      </c>
      <c r="D628" s="1">
        <v>45786</v>
      </c>
      <c r="E628" t="s">
        <v>1809</v>
      </c>
      <c r="F628" t="s">
        <v>65</v>
      </c>
      <c r="G628" t="s">
        <v>154</v>
      </c>
      <c r="H628" t="s">
        <v>1810</v>
      </c>
      <c r="I628" t="s">
        <v>177</v>
      </c>
      <c r="J628" t="s">
        <v>29</v>
      </c>
      <c r="K628" t="s">
        <v>117</v>
      </c>
      <c r="L628" t="s">
        <v>91</v>
      </c>
      <c r="M628" t="s">
        <v>38</v>
      </c>
      <c r="N628" t="s">
        <v>45</v>
      </c>
      <c r="O628" t="s">
        <v>46</v>
      </c>
      <c r="P628" t="s">
        <v>35</v>
      </c>
      <c r="Q628">
        <v>338</v>
      </c>
      <c r="R628">
        <v>24.19</v>
      </c>
      <c r="S628">
        <v>8176.22</v>
      </c>
      <c r="T628">
        <v>22.06</v>
      </c>
      <c r="U628">
        <v>4</v>
      </c>
      <c r="V628">
        <v>2129</v>
      </c>
      <c r="W628" t="s">
        <v>36</v>
      </c>
      <c r="X628">
        <v>1891.13</v>
      </c>
    </row>
    <row r="629" spans="1:24" x14ac:dyDescent="0.25">
      <c r="A629" s="2">
        <v>100627</v>
      </c>
      <c r="B629" s="1">
        <v>45725</v>
      </c>
      <c r="C629" s="1">
        <v>45727</v>
      </c>
      <c r="D629" s="1">
        <v>45737</v>
      </c>
      <c r="E629" t="s">
        <v>1811</v>
      </c>
      <c r="F629" t="s">
        <v>25</v>
      </c>
      <c r="G629" t="s">
        <v>172</v>
      </c>
      <c r="H629" t="s">
        <v>1812</v>
      </c>
      <c r="I629" t="s">
        <v>134</v>
      </c>
      <c r="J629" t="s">
        <v>52</v>
      </c>
      <c r="K629" t="s">
        <v>1355</v>
      </c>
      <c r="L629" t="s">
        <v>118</v>
      </c>
      <c r="M629" t="s">
        <v>38</v>
      </c>
      <c r="N629" t="s">
        <v>74</v>
      </c>
      <c r="O629" t="s">
        <v>75</v>
      </c>
      <c r="P629" t="s">
        <v>35</v>
      </c>
      <c r="Q629">
        <v>280</v>
      </c>
      <c r="R629">
        <v>71.2</v>
      </c>
      <c r="S629">
        <v>19936</v>
      </c>
      <c r="T629">
        <v>20.41</v>
      </c>
      <c r="U629">
        <v>10</v>
      </c>
      <c r="V629">
        <v>446</v>
      </c>
      <c r="W629" t="s">
        <v>47</v>
      </c>
      <c r="X629">
        <v>-155.63999999999999</v>
      </c>
    </row>
    <row r="630" spans="1:24" x14ac:dyDescent="0.25">
      <c r="A630" s="2">
        <v>100628</v>
      </c>
      <c r="B630" s="1">
        <v>45356</v>
      </c>
      <c r="C630" s="1">
        <v>45356</v>
      </c>
      <c r="D630" s="1">
        <v>45360</v>
      </c>
      <c r="E630" t="s">
        <v>1813</v>
      </c>
      <c r="F630" t="s">
        <v>65</v>
      </c>
      <c r="G630" t="s">
        <v>70</v>
      </c>
      <c r="H630" t="s">
        <v>1814</v>
      </c>
      <c r="I630" t="s">
        <v>85</v>
      </c>
      <c r="J630" t="s">
        <v>52</v>
      </c>
      <c r="K630" t="s">
        <v>1752</v>
      </c>
      <c r="L630" t="s">
        <v>113</v>
      </c>
      <c r="M630" t="s">
        <v>54</v>
      </c>
      <c r="N630" t="s">
        <v>55</v>
      </c>
      <c r="O630" t="s">
        <v>56</v>
      </c>
      <c r="P630" t="s">
        <v>68</v>
      </c>
      <c r="Q630">
        <v>316</v>
      </c>
      <c r="R630">
        <v>23.89</v>
      </c>
      <c r="S630">
        <v>7549.24</v>
      </c>
      <c r="T630">
        <v>48.99</v>
      </c>
      <c r="U630">
        <v>4</v>
      </c>
      <c r="V630">
        <v>2308</v>
      </c>
      <c r="W630" t="s">
        <v>36</v>
      </c>
      <c r="X630">
        <v>1042.28</v>
      </c>
    </row>
    <row r="631" spans="1:24" x14ac:dyDescent="0.25">
      <c r="A631" s="2">
        <v>100629</v>
      </c>
      <c r="B631" s="1">
        <v>45528</v>
      </c>
      <c r="C631" s="1">
        <v>45530</v>
      </c>
      <c r="D631" s="1">
        <v>45542</v>
      </c>
      <c r="E631" t="s">
        <v>1795</v>
      </c>
      <c r="F631" t="s">
        <v>65</v>
      </c>
      <c r="G631" t="s">
        <v>70</v>
      </c>
      <c r="H631" t="s">
        <v>1815</v>
      </c>
      <c r="I631" t="s">
        <v>79</v>
      </c>
      <c r="J631" t="s">
        <v>80</v>
      </c>
      <c r="K631" t="s">
        <v>1365</v>
      </c>
      <c r="L631" t="s">
        <v>44</v>
      </c>
      <c r="M631" t="s">
        <v>38</v>
      </c>
      <c r="N631" t="s">
        <v>33</v>
      </c>
      <c r="O631" t="s">
        <v>34</v>
      </c>
      <c r="P631" t="s">
        <v>35</v>
      </c>
      <c r="Q631">
        <v>256</v>
      </c>
      <c r="R631">
        <v>337.78</v>
      </c>
      <c r="S631">
        <v>86471.679999999993</v>
      </c>
      <c r="T631">
        <v>19.73</v>
      </c>
      <c r="U631">
        <v>12</v>
      </c>
      <c r="V631">
        <v>161</v>
      </c>
      <c r="W631" t="s">
        <v>188</v>
      </c>
      <c r="X631">
        <v>21836.1</v>
      </c>
    </row>
    <row r="632" spans="1:24" x14ac:dyDescent="0.25">
      <c r="A632" s="2">
        <v>100630</v>
      </c>
      <c r="B632" s="1">
        <v>45308</v>
      </c>
      <c r="C632" s="1">
        <v>45312</v>
      </c>
      <c r="D632" s="1">
        <v>45315</v>
      </c>
      <c r="E632" t="s">
        <v>1816</v>
      </c>
      <c r="F632" t="s">
        <v>65</v>
      </c>
      <c r="G632" t="s">
        <v>70</v>
      </c>
      <c r="H632" t="s">
        <v>1817</v>
      </c>
      <c r="I632" t="s">
        <v>134</v>
      </c>
      <c r="J632" t="s">
        <v>52</v>
      </c>
      <c r="K632" t="s">
        <v>596</v>
      </c>
      <c r="L632" t="s">
        <v>118</v>
      </c>
      <c r="M632" t="s">
        <v>38</v>
      </c>
      <c r="N632" t="s">
        <v>107</v>
      </c>
      <c r="O632" t="s">
        <v>108</v>
      </c>
      <c r="P632" t="s">
        <v>68</v>
      </c>
      <c r="Q632">
        <v>52</v>
      </c>
      <c r="R632">
        <v>71.739999999999995</v>
      </c>
      <c r="S632">
        <v>3730.48</v>
      </c>
      <c r="T632">
        <v>31.88</v>
      </c>
      <c r="U632">
        <v>3</v>
      </c>
      <c r="V632">
        <v>1772</v>
      </c>
      <c r="W632" t="s">
        <v>57</v>
      </c>
      <c r="X632">
        <v>307.89999999999998</v>
      </c>
    </row>
    <row r="633" spans="1:24" x14ac:dyDescent="0.25">
      <c r="A633" s="2">
        <v>100631</v>
      </c>
      <c r="B633" s="1">
        <v>45438</v>
      </c>
      <c r="C633" s="1">
        <v>45439</v>
      </c>
      <c r="D633" s="1">
        <v>45443</v>
      </c>
      <c r="E633" t="s">
        <v>1818</v>
      </c>
      <c r="F633" t="s">
        <v>54</v>
      </c>
      <c r="G633" t="s">
        <v>225</v>
      </c>
      <c r="H633" t="s">
        <v>1819</v>
      </c>
      <c r="I633" t="s">
        <v>230</v>
      </c>
      <c r="J633" t="s">
        <v>80</v>
      </c>
      <c r="K633" t="s">
        <v>1051</v>
      </c>
      <c r="L633" t="s">
        <v>64</v>
      </c>
      <c r="M633" t="s">
        <v>54</v>
      </c>
      <c r="N633" t="s">
        <v>92</v>
      </c>
      <c r="O633" t="s">
        <v>93</v>
      </c>
      <c r="P633" t="s">
        <v>123</v>
      </c>
      <c r="Q633">
        <v>165</v>
      </c>
      <c r="R633">
        <v>180.69</v>
      </c>
      <c r="S633">
        <v>29813.85</v>
      </c>
      <c r="T633">
        <v>10.89</v>
      </c>
      <c r="U633">
        <v>4</v>
      </c>
      <c r="V633">
        <v>1494</v>
      </c>
      <c r="W633" t="s">
        <v>36</v>
      </c>
      <c r="X633">
        <v>4302.09</v>
      </c>
    </row>
    <row r="634" spans="1:24" x14ac:dyDescent="0.25">
      <c r="A634" s="2">
        <v>100632</v>
      </c>
      <c r="B634" s="1">
        <v>45750</v>
      </c>
      <c r="C634" s="1">
        <v>45754</v>
      </c>
      <c r="D634" s="1">
        <v>45757</v>
      </c>
      <c r="E634" t="s">
        <v>1820</v>
      </c>
      <c r="F634" t="s">
        <v>54</v>
      </c>
      <c r="G634" t="s">
        <v>158</v>
      </c>
      <c r="H634" t="s">
        <v>1821</v>
      </c>
      <c r="I634" t="s">
        <v>246</v>
      </c>
      <c r="J634" t="s">
        <v>29</v>
      </c>
      <c r="K634" t="s">
        <v>183</v>
      </c>
      <c r="L634" t="s">
        <v>91</v>
      </c>
      <c r="M634" t="s">
        <v>32</v>
      </c>
      <c r="N634" t="s">
        <v>45</v>
      </c>
      <c r="O634" t="s">
        <v>46</v>
      </c>
      <c r="P634" t="s">
        <v>35</v>
      </c>
      <c r="Q634">
        <v>179</v>
      </c>
      <c r="R634">
        <v>42.82</v>
      </c>
      <c r="S634">
        <v>7664.78</v>
      </c>
      <c r="T634">
        <v>17.55</v>
      </c>
      <c r="U634">
        <v>3</v>
      </c>
      <c r="V634">
        <v>2534</v>
      </c>
      <c r="W634" t="s">
        <v>36</v>
      </c>
      <c r="X634">
        <v>1366.38</v>
      </c>
    </row>
    <row r="635" spans="1:24" x14ac:dyDescent="0.25">
      <c r="A635" s="2">
        <v>100633</v>
      </c>
      <c r="B635" s="1">
        <v>45857</v>
      </c>
      <c r="C635" s="1">
        <v>45862</v>
      </c>
      <c r="D635" s="1">
        <v>45864</v>
      </c>
      <c r="E635" t="s">
        <v>1822</v>
      </c>
      <c r="F635" t="s">
        <v>54</v>
      </c>
      <c r="G635" t="s">
        <v>165</v>
      </c>
      <c r="H635" t="s">
        <v>1823</v>
      </c>
      <c r="I635" t="s">
        <v>144</v>
      </c>
      <c r="J635" t="s">
        <v>52</v>
      </c>
      <c r="K635" t="s">
        <v>121</v>
      </c>
      <c r="L635" t="s">
        <v>187</v>
      </c>
      <c r="M635" t="s">
        <v>65</v>
      </c>
      <c r="N635" t="s">
        <v>45</v>
      </c>
      <c r="O635" t="s">
        <v>46</v>
      </c>
      <c r="P635" t="s">
        <v>68</v>
      </c>
      <c r="Q635">
        <v>40</v>
      </c>
      <c r="R635">
        <v>15.77</v>
      </c>
      <c r="S635">
        <v>630.79999999999995</v>
      </c>
      <c r="T635">
        <v>31.1</v>
      </c>
      <c r="U635">
        <v>2</v>
      </c>
      <c r="V635">
        <v>3351</v>
      </c>
      <c r="W635" t="s">
        <v>47</v>
      </c>
      <c r="X635">
        <v>-29.22</v>
      </c>
    </row>
    <row r="636" spans="1:24" x14ac:dyDescent="0.25">
      <c r="A636" s="2">
        <v>100634</v>
      </c>
      <c r="B636" s="1">
        <v>45979</v>
      </c>
      <c r="C636" s="1">
        <v>45984</v>
      </c>
      <c r="D636" s="1">
        <v>45988</v>
      </c>
      <c r="E636" t="s">
        <v>1824</v>
      </c>
      <c r="F636" t="s">
        <v>25</v>
      </c>
      <c r="G636" t="s">
        <v>233</v>
      </c>
      <c r="H636" t="s">
        <v>1825</v>
      </c>
      <c r="I636" t="s">
        <v>246</v>
      </c>
      <c r="J636" t="s">
        <v>29</v>
      </c>
      <c r="K636" t="s">
        <v>1826</v>
      </c>
      <c r="L636" t="s">
        <v>118</v>
      </c>
      <c r="M636" t="s">
        <v>32</v>
      </c>
      <c r="N636" t="s">
        <v>92</v>
      </c>
      <c r="O636" t="s">
        <v>93</v>
      </c>
      <c r="P636" t="s">
        <v>68</v>
      </c>
      <c r="Q636">
        <v>483</v>
      </c>
      <c r="R636">
        <v>85.46</v>
      </c>
      <c r="S636">
        <v>41277.18</v>
      </c>
      <c r="T636">
        <v>59.81</v>
      </c>
      <c r="U636">
        <v>4</v>
      </c>
      <c r="V636">
        <v>990</v>
      </c>
      <c r="W636" t="s">
        <v>36</v>
      </c>
      <c r="X636">
        <v>8793.3799999999992</v>
      </c>
    </row>
    <row r="637" spans="1:24" x14ac:dyDescent="0.25">
      <c r="A637" s="2">
        <v>100635</v>
      </c>
      <c r="B637" s="1">
        <v>45526</v>
      </c>
      <c r="C637" s="1">
        <v>45529</v>
      </c>
      <c r="D637" s="1">
        <v>45532</v>
      </c>
      <c r="E637" t="s">
        <v>1827</v>
      </c>
      <c r="F637" t="s">
        <v>65</v>
      </c>
      <c r="G637" t="s">
        <v>70</v>
      </c>
      <c r="H637" t="s">
        <v>1828</v>
      </c>
      <c r="I637" t="s">
        <v>134</v>
      </c>
      <c r="J637" t="s">
        <v>52</v>
      </c>
      <c r="K637" t="s">
        <v>1829</v>
      </c>
      <c r="L637" t="s">
        <v>122</v>
      </c>
      <c r="M637" t="s">
        <v>32</v>
      </c>
      <c r="N637" t="s">
        <v>92</v>
      </c>
      <c r="O637" t="s">
        <v>93</v>
      </c>
      <c r="P637" t="s">
        <v>68</v>
      </c>
      <c r="Q637">
        <v>432</v>
      </c>
      <c r="R637">
        <v>42.78</v>
      </c>
      <c r="S637">
        <v>18480.96</v>
      </c>
      <c r="T637">
        <v>56.51</v>
      </c>
      <c r="U637">
        <v>3</v>
      </c>
      <c r="V637">
        <v>756</v>
      </c>
      <c r="W637" t="s">
        <v>36</v>
      </c>
      <c r="X637">
        <v>2403</v>
      </c>
    </row>
    <row r="638" spans="1:24" x14ac:dyDescent="0.25">
      <c r="A638" s="2">
        <v>100636</v>
      </c>
      <c r="B638" s="1">
        <v>45358</v>
      </c>
      <c r="C638" s="1">
        <v>45362</v>
      </c>
      <c r="D638" s="1">
        <v>45375</v>
      </c>
      <c r="E638" t="s">
        <v>1830</v>
      </c>
      <c r="F638" t="s">
        <v>32</v>
      </c>
      <c r="G638" t="s">
        <v>255</v>
      </c>
      <c r="H638" t="s">
        <v>1831</v>
      </c>
      <c r="I638" t="s">
        <v>238</v>
      </c>
      <c r="J638" t="s">
        <v>62</v>
      </c>
      <c r="K638" t="s">
        <v>1832</v>
      </c>
      <c r="L638" t="s">
        <v>31</v>
      </c>
      <c r="M638" t="s">
        <v>32</v>
      </c>
      <c r="N638" t="s">
        <v>45</v>
      </c>
      <c r="O638" t="s">
        <v>46</v>
      </c>
      <c r="P638" t="s">
        <v>76</v>
      </c>
      <c r="Q638">
        <v>77</v>
      </c>
      <c r="R638">
        <v>22.57</v>
      </c>
      <c r="S638">
        <v>1737.89</v>
      </c>
      <c r="T638">
        <v>6.98</v>
      </c>
      <c r="U638">
        <v>13</v>
      </c>
      <c r="V638">
        <v>1374</v>
      </c>
      <c r="W638" t="s">
        <v>188</v>
      </c>
      <c r="X638">
        <v>199.01</v>
      </c>
    </row>
    <row r="639" spans="1:24" x14ac:dyDescent="0.25">
      <c r="A639" s="2">
        <v>100637</v>
      </c>
      <c r="B639" s="1">
        <v>45877</v>
      </c>
      <c r="C639" s="1">
        <v>45878</v>
      </c>
      <c r="D639" s="1">
        <v>45895</v>
      </c>
      <c r="E639" t="s">
        <v>1833</v>
      </c>
      <c r="F639" t="s">
        <v>38</v>
      </c>
      <c r="G639" t="s">
        <v>83</v>
      </c>
      <c r="H639" t="s">
        <v>1834</v>
      </c>
      <c r="I639" t="s">
        <v>89</v>
      </c>
      <c r="J639" t="s">
        <v>62</v>
      </c>
      <c r="K639" t="s">
        <v>1835</v>
      </c>
      <c r="L639" t="s">
        <v>44</v>
      </c>
      <c r="M639" t="s">
        <v>25</v>
      </c>
      <c r="N639" t="s">
        <v>92</v>
      </c>
      <c r="O639" t="s">
        <v>93</v>
      </c>
      <c r="P639" t="s">
        <v>76</v>
      </c>
      <c r="Q639">
        <v>195</v>
      </c>
      <c r="R639">
        <v>14.47</v>
      </c>
      <c r="S639">
        <v>2821.65</v>
      </c>
      <c r="T639">
        <v>11.57</v>
      </c>
      <c r="U639">
        <v>17</v>
      </c>
      <c r="V639">
        <v>2839</v>
      </c>
      <c r="W639" t="s">
        <v>36</v>
      </c>
      <c r="X639">
        <v>127.8</v>
      </c>
    </row>
    <row r="640" spans="1:24" x14ac:dyDescent="0.25">
      <c r="A640" s="2">
        <v>100638</v>
      </c>
      <c r="B640" s="1">
        <v>45679</v>
      </c>
      <c r="C640" s="1">
        <v>45679</v>
      </c>
      <c r="D640" s="1">
        <v>45682</v>
      </c>
      <c r="E640" t="s">
        <v>992</v>
      </c>
      <c r="F640" t="s">
        <v>38</v>
      </c>
      <c r="G640" t="s">
        <v>217</v>
      </c>
      <c r="H640" t="s">
        <v>1836</v>
      </c>
      <c r="I640" t="s">
        <v>207</v>
      </c>
      <c r="J640" t="s">
        <v>80</v>
      </c>
      <c r="K640" t="s">
        <v>1837</v>
      </c>
      <c r="L640" t="s">
        <v>212</v>
      </c>
      <c r="M640" t="s">
        <v>65</v>
      </c>
      <c r="N640" t="s">
        <v>92</v>
      </c>
      <c r="O640" t="s">
        <v>93</v>
      </c>
      <c r="P640" t="s">
        <v>35</v>
      </c>
      <c r="Q640">
        <v>461</v>
      </c>
      <c r="R640">
        <v>241.76</v>
      </c>
      <c r="S640">
        <v>111451.36</v>
      </c>
      <c r="T640">
        <v>25.54</v>
      </c>
      <c r="U640">
        <v>3</v>
      </c>
      <c r="V640">
        <v>1808</v>
      </c>
      <c r="W640" t="s">
        <v>36</v>
      </c>
      <c r="X640">
        <v>18125.400000000001</v>
      </c>
    </row>
    <row r="641" spans="1:24" x14ac:dyDescent="0.25">
      <c r="A641" s="2">
        <v>100639</v>
      </c>
      <c r="B641" s="1">
        <v>45832</v>
      </c>
      <c r="C641" s="1">
        <v>45835</v>
      </c>
      <c r="D641" s="1">
        <v>45838</v>
      </c>
      <c r="E641" t="s">
        <v>1838</v>
      </c>
      <c r="F641" t="s">
        <v>54</v>
      </c>
      <c r="G641" t="s">
        <v>193</v>
      </c>
      <c r="H641" t="s">
        <v>1839</v>
      </c>
      <c r="I641" t="s">
        <v>134</v>
      </c>
      <c r="J641" t="s">
        <v>52</v>
      </c>
      <c r="K641" t="s">
        <v>1840</v>
      </c>
      <c r="L641" t="s">
        <v>91</v>
      </c>
      <c r="M641" t="s">
        <v>32</v>
      </c>
      <c r="N641" t="s">
        <v>55</v>
      </c>
      <c r="O641" t="s">
        <v>56</v>
      </c>
      <c r="P641" t="s">
        <v>68</v>
      </c>
      <c r="Q641">
        <v>343</v>
      </c>
      <c r="R641">
        <v>58.1</v>
      </c>
      <c r="S641">
        <v>19928.3</v>
      </c>
      <c r="T641">
        <v>50.74</v>
      </c>
      <c r="U641">
        <v>3</v>
      </c>
      <c r="V641">
        <v>4439</v>
      </c>
      <c r="W641" t="s">
        <v>36</v>
      </c>
      <c r="X641">
        <v>3505.98</v>
      </c>
    </row>
    <row r="642" spans="1:24" x14ac:dyDescent="0.25">
      <c r="A642" s="2">
        <v>100640</v>
      </c>
      <c r="B642" s="1">
        <v>45714</v>
      </c>
      <c r="C642" s="1">
        <v>45714</v>
      </c>
      <c r="D642" s="1">
        <v>45724</v>
      </c>
      <c r="E642" t="s">
        <v>1841</v>
      </c>
      <c r="F642" t="s">
        <v>25</v>
      </c>
      <c r="G642" t="s">
        <v>221</v>
      </c>
      <c r="H642" t="s">
        <v>1842</v>
      </c>
      <c r="I642" t="s">
        <v>182</v>
      </c>
      <c r="J642" t="s">
        <v>80</v>
      </c>
      <c r="K642" t="s">
        <v>1843</v>
      </c>
      <c r="L642" t="s">
        <v>118</v>
      </c>
      <c r="M642" t="s">
        <v>25</v>
      </c>
      <c r="N642" t="s">
        <v>102</v>
      </c>
      <c r="O642" t="s">
        <v>103</v>
      </c>
      <c r="P642" t="s">
        <v>76</v>
      </c>
      <c r="Q642">
        <v>482</v>
      </c>
      <c r="R642">
        <v>220.6</v>
      </c>
      <c r="S642">
        <v>106329.2</v>
      </c>
      <c r="T642">
        <v>12.45</v>
      </c>
      <c r="U642">
        <v>10</v>
      </c>
      <c r="V642">
        <v>914</v>
      </c>
      <c r="W642" t="s">
        <v>36</v>
      </c>
      <c r="X642">
        <v>12964.23</v>
      </c>
    </row>
    <row r="643" spans="1:24" x14ac:dyDescent="0.25">
      <c r="A643" s="2">
        <v>100641</v>
      </c>
      <c r="B643" s="1">
        <v>45678</v>
      </c>
      <c r="C643" s="1">
        <v>45680</v>
      </c>
      <c r="D643" s="1">
        <v>45684</v>
      </c>
      <c r="E643" t="s">
        <v>1844</v>
      </c>
      <c r="F643" t="s">
        <v>54</v>
      </c>
      <c r="G643" t="s">
        <v>193</v>
      </c>
      <c r="H643" t="s">
        <v>1845</v>
      </c>
      <c r="I643" t="s">
        <v>416</v>
      </c>
      <c r="J643" t="s">
        <v>80</v>
      </c>
      <c r="K643" t="s">
        <v>1846</v>
      </c>
      <c r="L643" t="s">
        <v>118</v>
      </c>
      <c r="M643" t="s">
        <v>54</v>
      </c>
      <c r="N643" t="s">
        <v>74</v>
      </c>
      <c r="O643" t="s">
        <v>75</v>
      </c>
      <c r="P643" t="s">
        <v>68</v>
      </c>
      <c r="Q643">
        <v>118</v>
      </c>
      <c r="R643">
        <v>165.13</v>
      </c>
      <c r="S643">
        <v>19485.34</v>
      </c>
      <c r="T643">
        <v>26.78</v>
      </c>
      <c r="U643">
        <v>4</v>
      </c>
      <c r="V643">
        <v>1654</v>
      </c>
      <c r="W643" t="s">
        <v>36</v>
      </c>
      <c r="X643">
        <v>5221.26</v>
      </c>
    </row>
    <row r="644" spans="1:24" x14ac:dyDescent="0.25">
      <c r="A644" s="2">
        <v>100642</v>
      </c>
      <c r="B644" s="1">
        <v>45784</v>
      </c>
      <c r="C644" s="1">
        <v>45788</v>
      </c>
      <c r="D644" s="1">
        <v>45796</v>
      </c>
      <c r="E644" t="s">
        <v>1847</v>
      </c>
      <c r="F644" t="s">
        <v>25</v>
      </c>
      <c r="G644" t="s">
        <v>26</v>
      </c>
      <c r="H644" t="s">
        <v>1848</v>
      </c>
      <c r="I644" t="s">
        <v>61</v>
      </c>
      <c r="J644" t="s">
        <v>62</v>
      </c>
      <c r="K644" t="s">
        <v>1543</v>
      </c>
      <c r="L644" t="s">
        <v>212</v>
      </c>
      <c r="M644" t="s">
        <v>25</v>
      </c>
      <c r="N644" t="s">
        <v>74</v>
      </c>
      <c r="O644" t="s">
        <v>75</v>
      </c>
      <c r="P644" t="s">
        <v>35</v>
      </c>
      <c r="Q644">
        <v>106</v>
      </c>
      <c r="R644">
        <v>43.26</v>
      </c>
      <c r="S644">
        <v>4585.5600000000004</v>
      </c>
      <c r="T644">
        <v>11.47</v>
      </c>
      <c r="U644">
        <v>8</v>
      </c>
      <c r="V644">
        <v>2803</v>
      </c>
      <c r="W644" t="s">
        <v>36</v>
      </c>
      <c r="X644">
        <v>796.95</v>
      </c>
    </row>
    <row r="645" spans="1:24" x14ac:dyDescent="0.25">
      <c r="A645" s="2">
        <v>100643</v>
      </c>
      <c r="B645" s="1">
        <v>45773</v>
      </c>
      <c r="C645" s="1">
        <v>45774</v>
      </c>
      <c r="D645" s="1">
        <v>45776</v>
      </c>
      <c r="E645" t="s">
        <v>1849</v>
      </c>
      <c r="F645" t="s">
        <v>38</v>
      </c>
      <c r="G645" t="s">
        <v>83</v>
      </c>
      <c r="H645" t="s">
        <v>1850</v>
      </c>
      <c r="I645" t="s">
        <v>116</v>
      </c>
      <c r="J645" t="s">
        <v>62</v>
      </c>
      <c r="K645" t="s">
        <v>1851</v>
      </c>
      <c r="L645" t="s">
        <v>98</v>
      </c>
      <c r="M645" t="s">
        <v>32</v>
      </c>
      <c r="N645" t="s">
        <v>107</v>
      </c>
      <c r="O645" t="s">
        <v>108</v>
      </c>
      <c r="P645" t="s">
        <v>68</v>
      </c>
      <c r="Q645">
        <v>209</v>
      </c>
      <c r="R645">
        <v>42.66</v>
      </c>
      <c r="S645">
        <v>8915.94</v>
      </c>
      <c r="T645">
        <v>42.06</v>
      </c>
      <c r="U645">
        <v>2</v>
      </c>
      <c r="V645">
        <v>1216</v>
      </c>
      <c r="W645" t="s">
        <v>36</v>
      </c>
      <c r="X645">
        <v>1518.3</v>
      </c>
    </row>
    <row r="646" spans="1:24" x14ac:dyDescent="0.25">
      <c r="A646" s="2">
        <v>100644</v>
      </c>
      <c r="B646" s="1">
        <v>45373</v>
      </c>
      <c r="C646" s="1">
        <v>45378</v>
      </c>
      <c r="D646" s="1">
        <v>45385</v>
      </c>
      <c r="E646" t="s">
        <v>1852</v>
      </c>
      <c r="F646" t="s">
        <v>38</v>
      </c>
      <c r="G646" t="s">
        <v>83</v>
      </c>
      <c r="H646" t="s">
        <v>1853</v>
      </c>
      <c r="I646" t="s">
        <v>28</v>
      </c>
      <c r="J646" t="s">
        <v>29</v>
      </c>
      <c r="K646" t="s">
        <v>1854</v>
      </c>
      <c r="L646" t="s">
        <v>113</v>
      </c>
      <c r="M646" t="s">
        <v>54</v>
      </c>
      <c r="N646" t="s">
        <v>45</v>
      </c>
      <c r="O646" t="s">
        <v>46</v>
      </c>
      <c r="P646" t="s">
        <v>123</v>
      </c>
      <c r="Q646">
        <v>140</v>
      </c>
      <c r="R646">
        <v>45.71</v>
      </c>
      <c r="S646">
        <v>6399.4</v>
      </c>
      <c r="T646">
        <v>14.09</v>
      </c>
      <c r="U646">
        <v>7</v>
      </c>
      <c r="V646">
        <v>1391</v>
      </c>
      <c r="W646" t="s">
        <v>36</v>
      </c>
      <c r="X646">
        <v>1558.39</v>
      </c>
    </row>
    <row r="647" spans="1:24" x14ac:dyDescent="0.25">
      <c r="A647" s="2">
        <v>100645</v>
      </c>
      <c r="B647" s="1">
        <v>45678</v>
      </c>
      <c r="C647" s="1">
        <v>45679</v>
      </c>
      <c r="D647" s="1">
        <v>45683</v>
      </c>
      <c r="E647" t="s">
        <v>1855</v>
      </c>
      <c r="F647" t="s">
        <v>65</v>
      </c>
      <c r="G647" t="s">
        <v>154</v>
      </c>
      <c r="H647" t="s">
        <v>1856</v>
      </c>
      <c r="I647" t="s">
        <v>207</v>
      </c>
      <c r="J647" t="s">
        <v>80</v>
      </c>
      <c r="K647" t="s">
        <v>291</v>
      </c>
      <c r="L647" t="s">
        <v>113</v>
      </c>
      <c r="M647" t="s">
        <v>32</v>
      </c>
      <c r="N647" t="s">
        <v>55</v>
      </c>
      <c r="O647" t="s">
        <v>56</v>
      </c>
      <c r="P647" t="s">
        <v>123</v>
      </c>
      <c r="Q647">
        <v>136</v>
      </c>
      <c r="R647">
        <v>159.09</v>
      </c>
      <c r="S647">
        <v>21636.240000000002</v>
      </c>
      <c r="T647">
        <v>14</v>
      </c>
      <c r="U647">
        <v>4</v>
      </c>
      <c r="V647">
        <v>967</v>
      </c>
      <c r="W647" t="s">
        <v>36</v>
      </c>
      <c r="X647">
        <v>5010.08</v>
      </c>
    </row>
    <row r="648" spans="1:24" x14ac:dyDescent="0.25">
      <c r="A648" s="2">
        <v>100646</v>
      </c>
      <c r="B648" s="1">
        <v>45759</v>
      </c>
      <c r="C648" s="1">
        <v>45760</v>
      </c>
      <c r="D648" s="1">
        <v>45774</v>
      </c>
      <c r="E648" t="s">
        <v>1857</v>
      </c>
      <c r="F648" t="s">
        <v>38</v>
      </c>
      <c r="G648" t="s">
        <v>49</v>
      </c>
      <c r="H648" t="s">
        <v>1858</v>
      </c>
      <c r="I648" t="s">
        <v>139</v>
      </c>
      <c r="J648" t="s">
        <v>42</v>
      </c>
      <c r="K648" t="s">
        <v>413</v>
      </c>
      <c r="L648" t="s">
        <v>31</v>
      </c>
      <c r="M648" t="s">
        <v>38</v>
      </c>
      <c r="N648" t="s">
        <v>203</v>
      </c>
      <c r="O648" t="s">
        <v>204</v>
      </c>
      <c r="P648" t="s">
        <v>76</v>
      </c>
      <c r="Q648">
        <v>284</v>
      </c>
      <c r="R648">
        <v>290.45999999999998</v>
      </c>
      <c r="S648">
        <v>82490.64</v>
      </c>
      <c r="T648">
        <v>9.77</v>
      </c>
      <c r="U648">
        <v>14</v>
      </c>
      <c r="V648">
        <v>1563</v>
      </c>
      <c r="W648" t="s">
        <v>36</v>
      </c>
      <c r="X648">
        <v>11889.98</v>
      </c>
    </row>
    <row r="649" spans="1:24" x14ac:dyDescent="0.25">
      <c r="A649" s="2">
        <v>100647</v>
      </c>
      <c r="B649" s="1">
        <v>45999</v>
      </c>
      <c r="C649" s="1">
        <v>46004</v>
      </c>
      <c r="D649" s="1">
        <v>46011</v>
      </c>
      <c r="E649" t="s">
        <v>1859</v>
      </c>
      <c r="F649" t="s">
        <v>32</v>
      </c>
      <c r="G649" t="s">
        <v>273</v>
      </c>
      <c r="H649" t="s">
        <v>1860</v>
      </c>
      <c r="I649" t="s">
        <v>61</v>
      </c>
      <c r="J649" t="s">
        <v>62</v>
      </c>
      <c r="K649" t="s">
        <v>1861</v>
      </c>
      <c r="L649" t="s">
        <v>187</v>
      </c>
      <c r="M649" t="s">
        <v>32</v>
      </c>
      <c r="N649" t="s">
        <v>203</v>
      </c>
      <c r="O649" t="s">
        <v>204</v>
      </c>
      <c r="P649" t="s">
        <v>123</v>
      </c>
      <c r="Q649">
        <v>457</v>
      </c>
      <c r="R649">
        <v>25.92</v>
      </c>
      <c r="S649">
        <v>11845.44</v>
      </c>
      <c r="T649">
        <v>16.149999999999999</v>
      </c>
      <c r="U649">
        <v>7</v>
      </c>
      <c r="V649">
        <v>1034</v>
      </c>
      <c r="W649" t="s">
        <v>36</v>
      </c>
      <c r="X649">
        <v>1411.64</v>
      </c>
    </row>
    <row r="650" spans="1:24" x14ac:dyDescent="0.25">
      <c r="A650" s="2">
        <v>100648</v>
      </c>
      <c r="B650" s="1">
        <v>45931</v>
      </c>
      <c r="C650" s="1">
        <v>45932</v>
      </c>
      <c r="D650" s="1">
        <v>45949</v>
      </c>
      <c r="E650" t="s">
        <v>1862</v>
      </c>
      <c r="F650" t="s">
        <v>32</v>
      </c>
      <c r="G650" t="s">
        <v>180</v>
      </c>
      <c r="H650" t="s">
        <v>1863</v>
      </c>
      <c r="I650" t="s">
        <v>144</v>
      </c>
      <c r="J650" t="s">
        <v>52</v>
      </c>
      <c r="K650" t="s">
        <v>1864</v>
      </c>
      <c r="L650" t="s">
        <v>64</v>
      </c>
      <c r="M650" t="s">
        <v>54</v>
      </c>
      <c r="N650" t="s">
        <v>107</v>
      </c>
      <c r="O650" t="s">
        <v>108</v>
      </c>
      <c r="P650" t="s">
        <v>123</v>
      </c>
      <c r="Q650">
        <v>277</v>
      </c>
      <c r="R650">
        <v>36.049999999999997</v>
      </c>
      <c r="S650">
        <v>9985.85</v>
      </c>
      <c r="T650">
        <v>17.420000000000002</v>
      </c>
      <c r="U650">
        <v>17</v>
      </c>
      <c r="V650">
        <v>1792</v>
      </c>
      <c r="W650" t="s">
        <v>188</v>
      </c>
      <c r="X650">
        <v>730.53</v>
      </c>
    </row>
    <row r="651" spans="1:24" x14ac:dyDescent="0.25">
      <c r="A651" s="2">
        <v>100649</v>
      </c>
      <c r="B651" s="1">
        <v>45475</v>
      </c>
      <c r="C651" s="1">
        <v>45480</v>
      </c>
      <c r="D651" s="1">
        <v>45481</v>
      </c>
      <c r="E651" t="s">
        <v>1865</v>
      </c>
      <c r="F651" t="s">
        <v>38</v>
      </c>
      <c r="G651" t="s">
        <v>147</v>
      </c>
      <c r="H651" t="s">
        <v>1866</v>
      </c>
      <c r="I651" t="s">
        <v>72</v>
      </c>
      <c r="J651" t="s">
        <v>42</v>
      </c>
      <c r="K651" t="s">
        <v>1867</v>
      </c>
      <c r="L651" t="s">
        <v>44</v>
      </c>
      <c r="M651" t="s">
        <v>32</v>
      </c>
      <c r="N651" t="s">
        <v>151</v>
      </c>
      <c r="O651" t="s">
        <v>152</v>
      </c>
      <c r="P651" t="s">
        <v>68</v>
      </c>
      <c r="Q651">
        <v>77</v>
      </c>
      <c r="R651">
        <v>286.51</v>
      </c>
      <c r="S651">
        <v>22061.27</v>
      </c>
      <c r="T651">
        <v>33.5</v>
      </c>
      <c r="U651">
        <v>1</v>
      </c>
      <c r="V651">
        <v>686</v>
      </c>
      <c r="W651" t="s">
        <v>36</v>
      </c>
      <c r="X651">
        <v>3678.59</v>
      </c>
    </row>
    <row r="652" spans="1:24" x14ac:dyDescent="0.25">
      <c r="A652" s="2">
        <v>100650</v>
      </c>
      <c r="B652" s="1">
        <v>45952</v>
      </c>
      <c r="C652" s="1">
        <v>45957</v>
      </c>
      <c r="D652" s="1">
        <v>45975</v>
      </c>
      <c r="E652" t="s">
        <v>1868</v>
      </c>
      <c r="F652" t="s">
        <v>65</v>
      </c>
      <c r="G652" t="s">
        <v>154</v>
      </c>
      <c r="H652" t="s">
        <v>1869</v>
      </c>
      <c r="I652" t="s">
        <v>72</v>
      </c>
      <c r="J652" t="s">
        <v>42</v>
      </c>
      <c r="K652" t="s">
        <v>1187</v>
      </c>
      <c r="L652" t="s">
        <v>64</v>
      </c>
      <c r="M652" t="s">
        <v>65</v>
      </c>
      <c r="N652" t="s">
        <v>74</v>
      </c>
      <c r="O652" t="s">
        <v>75</v>
      </c>
      <c r="P652" t="s">
        <v>76</v>
      </c>
      <c r="Q652">
        <v>17</v>
      </c>
      <c r="R652">
        <v>146.61000000000001</v>
      </c>
      <c r="S652">
        <v>2492.37</v>
      </c>
      <c r="T652">
        <v>6.17</v>
      </c>
      <c r="U652">
        <v>18</v>
      </c>
      <c r="V652">
        <v>1710</v>
      </c>
      <c r="W652" t="s">
        <v>57</v>
      </c>
      <c r="X652">
        <v>260.22000000000003</v>
      </c>
    </row>
    <row r="653" spans="1:24" x14ac:dyDescent="0.25">
      <c r="A653" s="2">
        <v>100651</v>
      </c>
      <c r="B653" s="1">
        <v>45734</v>
      </c>
      <c r="C653" s="1">
        <v>45735</v>
      </c>
      <c r="D653" s="1">
        <v>45740</v>
      </c>
      <c r="E653" t="s">
        <v>770</v>
      </c>
      <c r="F653" t="s">
        <v>38</v>
      </c>
      <c r="G653" t="s">
        <v>147</v>
      </c>
      <c r="H653" t="s">
        <v>1870</v>
      </c>
      <c r="I653" t="s">
        <v>278</v>
      </c>
      <c r="J653" t="s">
        <v>29</v>
      </c>
      <c r="K653" t="s">
        <v>1659</v>
      </c>
      <c r="L653" t="s">
        <v>187</v>
      </c>
      <c r="M653" t="s">
        <v>54</v>
      </c>
      <c r="N653" t="s">
        <v>33</v>
      </c>
      <c r="O653" t="s">
        <v>34</v>
      </c>
      <c r="P653" t="s">
        <v>68</v>
      </c>
      <c r="Q653">
        <v>34</v>
      </c>
      <c r="R653">
        <v>90.83</v>
      </c>
      <c r="S653">
        <v>3088.22</v>
      </c>
      <c r="T653">
        <v>30.72</v>
      </c>
      <c r="U653">
        <v>5</v>
      </c>
      <c r="V653">
        <v>1868</v>
      </c>
      <c r="W653" t="s">
        <v>36</v>
      </c>
      <c r="X653">
        <v>636.48</v>
      </c>
    </row>
    <row r="654" spans="1:24" x14ac:dyDescent="0.25">
      <c r="A654" s="2">
        <v>100652</v>
      </c>
      <c r="B654" s="1">
        <v>45437</v>
      </c>
      <c r="C654" s="1">
        <v>45441</v>
      </c>
      <c r="D654" s="1">
        <v>45442</v>
      </c>
      <c r="E654" t="s">
        <v>1871</v>
      </c>
      <c r="F654" t="s">
        <v>38</v>
      </c>
      <c r="G654" t="s">
        <v>49</v>
      </c>
      <c r="H654" t="s">
        <v>1872</v>
      </c>
      <c r="I654" t="s">
        <v>144</v>
      </c>
      <c r="J654" t="s">
        <v>52</v>
      </c>
      <c r="K654" t="s">
        <v>1873</v>
      </c>
      <c r="L654" t="s">
        <v>118</v>
      </c>
      <c r="M654" t="s">
        <v>32</v>
      </c>
      <c r="N654" t="s">
        <v>107</v>
      </c>
      <c r="O654" t="s">
        <v>108</v>
      </c>
      <c r="P654" t="s">
        <v>68</v>
      </c>
      <c r="Q654">
        <v>47</v>
      </c>
      <c r="R654">
        <v>74.069999999999993</v>
      </c>
      <c r="S654">
        <v>3481.29</v>
      </c>
      <c r="T654">
        <v>31.56</v>
      </c>
      <c r="U654">
        <v>1</v>
      </c>
      <c r="V654">
        <v>4117</v>
      </c>
      <c r="W654" t="s">
        <v>36</v>
      </c>
      <c r="X654">
        <v>293.07</v>
      </c>
    </row>
    <row r="655" spans="1:24" x14ac:dyDescent="0.25">
      <c r="A655" s="2">
        <v>100653</v>
      </c>
      <c r="B655" s="1">
        <v>45841</v>
      </c>
      <c r="C655" s="1">
        <v>45846</v>
      </c>
      <c r="D655" s="1">
        <v>45855</v>
      </c>
      <c r="E655" t="s">
        <v>1874</v>
      </c>
      <c r="F655" t="s">
        <v>65</v>
      </c>
      <c r="G655" t="s">
        <v>142</v>
      </c>
      <c r="H655" t="s">
        <v>1875</v>
      </c>
      <c r="I655" t="s">
        <v>51</v>
      </c>
      <c r="J655" t="s">
        <v>52</v>
      </c>
      <c r="K655" t="s">
        <v>1138</v>
      </c>
      <c r="L655" t="s">
        <v>113</v>
      </c>
      <c r="M655" t="s">
        <v>25</v>
      </c>
      <c r="N655" t="s">
        <v>203</v>
      </c>
      <c r="O655" t="s">
        <v>204</v>
      </c>
      <c r="P655" t="s">
        <v>68</v>
      </c>
      <c r="Q655">
        <v>356</v>
      </c>
      <c r="R655">
        <v>43.92</v>
      </c>
      <c r="S655">
        <v>15635.52</v>
      </c>
      <c r="T655">
        <v>51.58</v>
      </c>
      <c r="U655">
        <v>9</v>
      </c>
      <c r="V655">
        <v>4111</v>
      </c>
      <c r="W655" t="s">
        <v>57</v>
      </c>
      <c r="X655">
        <v>2525.7399999999998</v>
      </c>
    </row>
    <row r="656" spans="1:24" x14ac:dyDescent="0.25">
      <c r="A656" s="2">
        <v>100654</v>
      </c>
      <c r="B656" s="1">
        <v>45505</v>
      </c>
      <c r="C656" s="1">
        <v>45506</v>
      </c>
      <c r="D656" s="1">
        <v>45510</v>
      </c>
      <c r="E656" t="s">
        <v>1876</v>
      </c>
      <c r="F656" t="s">
        <v>54</v>
      </c>
      <c r="G656" t="s">
        <v>193</v>
      </c>
      <c r="H656" t="s">
        <v>1877</v>
      </c>
      <c r="I656" t="s">
        <v>238</v>
      </c>
      <c r="J656" t="s">
        <v>62</v>
      </c>
      <c r="K656" t="s">
        <v>573</v>
      </c>
      <c r="L656" t="s">
        <v>91</v>
      </c>
      <c r="M656" t="s">
        <v>38</v>
      </c>
      <c r="N656" t="s">
        <v>55</v>
      </c>
      <c r="O656" t="s">
        <v>56</v>
      </c>
      <c r="P656" t="s">
        <v>68</v>
      </c>
      <c r="Q656">
        <v>356</v>
      </c>
      <c r="R656">
        <v>26.99</v>
      </c>
      <c r="S656">
        <v>9608.44</v>
      </c>
      <c r="T656">
        <v>51.58</v>
      </c>
      <c r="U656">
        <v>4</v>
      </c>
      <c r="V656">
        <v>1340</v>
      </c>
      <c r="W656" t="s">
        <v>36</v>
      </c>
      <c r="X656">
        <v>1475.43</v>
      </c>
    </row>
    <row r="657" spans="1:24" x14ac:dyDescent="0.25">
      <c r="A657" s="2">
        <v>100655</v>
      </c>
      <c r="B657" s="1">
        <v>45897</v>
      </c>
      <c r="C657" s="1">
        <v>45898</v>
      </c>
      <c r="D657" s="1">
        <v>45908</v>
      </c>
      <c r="E657" t="s">
        <v>1878</v>
      </c>
      <c r="F657" t="s">
        <v>25</v>
      </c>
      <c r="G657" t="s">
        <v>172</v>
      </c>
      <c r="H657" t="s">
        <v>1879</v>
      </c>
      <c r="I657" t="s">
        <v>238</v>
      </c>
      <c r="J657" t="s">
        <v>62</v>
      </c>
      <c r="K657" t="s">
        <v>1880</v>
      </c>
      <c r="L657" t="s">
        <v>31</v>
      </c>
      <c r="M657" t="s">
        <v>65</v>
      </c>
      <c r="N657" t="s">
        <v>74</v>
      </c>
      <c r="O657" t="s">
        <v>75</v>
      </c>
      <c r="P657" t="s">
        <v>123</v>
      </c>
      <c r="Q657">
        <v>50</v>
      </c>
      <c r="R657">
        <v>24.72</v>
      </c>
      <c r="S657">
        <v>1236</v>
      </c>
      <c r="T657">
        <v>11.91</v>
      </c>
      <c r="U657">
        <v>10</v>
      </c>
      <c r="V657">
        <v>4712</v>
      </c>
      <c r="W657" t="s">
        <v>36</v>
      </c>
      <c r="X657">
        <v>69.150000000000006</v>
      </c>
    </row>
    <row r="658" spans="1:24" x14ac:dyDescent="0.25">
      <c r="A658" s="2">
        <v>100656</v>
      </c>
      <c r="B658" s="1">
        <v>45549</v>
      </c>
      <c r="C658" s="1">
        <v>45550</v>
      </c>
      <c r="D658" s="1">
        <v>45555</v>
      </c>
      <c r="E658" t="s">
        <v>1881</v>
      </c>
      <c r="F658" t="s">
        <v>65</v>
      </c>
      <c r="G658" t="s">
        <v>142</v>
      </c>
      <c r="H658" t="s">
        <v>1882</v>
      </c>
      <c r="I658" t="s">
        <v>207</v>
      </c>
      <c r="J658" t="s">
        <v>80</v>
      </c>
      <c r="K658" t="s">
        <v>1474</v>
      </c>
      <c r="L658" t="s">
        <v>113</v>
      </c>
      <c r="M658" t="s">
        <v>65</v>
      </c>
      <c r="N658" t="s">
        <v>55</v>
      </c>
      <c r="O658" t="s">
        <v>56</v>
      </c>
      <c r="P658" t="s">
        <v>68</v>
      </c>
      <c r="Q658">
        <v>202</v>
      </c>
      <c r="R658">
        <v>273.52999999999997</v>
      </c>
      <c r="S658">
        <v>55253.06</v>
      </c>
      <c r="T658">
        <v>30.82</v>
      </c>
      <c r="U658">
        <v>5</v>
      </c>
      <c r="V658">
        <v>2046</v>
      </c>
      <c r="W658" t="s">
        <v>36</v>
      </c>
      <c r="X658">
        <v>14113.41</v>
      </c>
    </row>
    <row r="659" spans="1:24" x14ac:dyDescent="0.25">
      <c r="A659" s="2">
        <v>100657</v>
      </c>
      <c r="B659" s="1">
        <v>45802</v>
      </c>
      <c r="C659" s="1">
        <v>45806</v>
      </c>
      <c r="D659" s="1">
        <v>45814</v>
      </c>
      <c r="E659" t="s">
        <v>1883</v>
      </c>
      <c r="F659" t="s">
        <v>54</v>
      </c>
      <c r="G659" t="s">
        <v>193</v>
      </c>
      <c r="H659" t="s">
        <v>1884</v>
      </c>
      <c r="I659" t="s">
        <v>89</v>
      </c>
      <c r="J659" t="s">
        <v>62</v>
      </c>
      <c r="K659" t="s">
        <v>1885</v>
      </c>
      <c r="L659" t="s">
        <v>122</v>
      </c>
      <c r="M659" t="s">
        <v>32</v>
      </c>
      <c r="N659" t="s">
        <v>107</v>
      </c>
      <c r="O659" t="s">
        <v>108</v>
      </c>
      <c r="P659" t="s">
        <v>123</v>
      </c>
      <c r="Q659">
        <v>331</v>
      </c>
      <c r="R659">
        <v>42.61</v>
      </c>
      <c r="S659">
        <v>14103.91</v>
      </c>
      <c r="T659">
        <v>18.739999999999998</v>
      </c>
      <c r="U659">
        <v>8</v>
      </c>
      <c r="V659">
        <v>2640</v>
      </c>
      <c r="W659" t="s">
        <v>36</v>
      </c>
      <c r="X659">
        <v>1715.71</v>
      </c>
    </row>
    <row r="660" spans="1:24" x14ac:dyDescent="0.25">
      <c r="A660" s="2">
        <v>100658</v>
      </c>
      <c r="B660" s="1">
        <v>45718</v>
      </c>
      <c r="C660" s="1">
        <v>45719</v>
      </c>
      <c r="D660" s="1">
        <v>45728</v>
      </c>
      <c r="E660" t="s">
        <v>1886</v>
      </c>
      <c r="F660" t="s">
        <v>32</v>
      </c>
      <c r="G660" t="s">
        <v>273</v>
      </c>
      <c r="H660" t="s">
        <v>1887</v>
      </c>
      <c r="I660" t="s">
        <v>416</v>
      </c>
      <c r="J660" t="s">
        <v>80</v>
      </c>
      <c r="K660" t="s">
        <v>1888</v>
      </c>
      <c r="L660" t="s">
        <v>44</v>
      </c>
      <c r="M660" t="s">
        <v>25</v>
      </c>
      <c r="N660" t="s">
        <v>92</v>
      </c>
      <c r="O660" t="s">
        <v>93</v>
      </c>
      <c r="P660" t="s">
        <v>35</v>
      </c>
      <c r="Q660">
        <v>166</v>
      </c>
      <c r="R660">
        <v>130.38999999999999</v>
      </c>
      <c r="S660">
        <v>21644.74</v>
      </c>
      <c r="T660">
        <v>17.18</v>
      </c>
      <c r="U660">
        <v>9</v>
      </c>
      <c r="V660">
        <v>818</v>
      </c>
      <c r="W660" t="s">
        <v>36</v>
      </c>
      <c r="X660">
        <v>4415.2299999999996</v>
      </c>
    </row>
    <row r="661" spans="1:24" x14ac:dyDescent="0.25">
      <c r="A661" s="2">
        <v>100659</v>
      </c>
      <c r="B661" s="1">
        <v>45523</v>
      </c>
      <c r="C661" s="1">
        <v>45525</v>
      </c>
      <c r="D661" s="1">
        <v>45533</v>
      </c>
      <c r="E661" t="s">
        <v>1278</v>
      </c>
      <c r="F661" t="s">
        <v>25</v>
      </c>
      <c r="G661" t="s">
        <v>59</v>
      </c>
      <c r="H661" t="s">
        <v>1889</v>
      </c>
      <c r="I661" t="s">
        <v>79</v>
      </c>
      <c r="J661" t="s">
        <v>80</v>
      </c>
      <c r="K661" t="s">
        <v>1890</v>
      </c>
      <c r="L661" t="s">
        <v>44</v>
      </c>
      <c r="M661" t="s">
        <v>25</v>
      </c>
      <c r="N661" t="s">
        <v>107</v>
      </c>
      <c r="O661" t="s">
        <v>108</v>
      </c>
      <c r="P661" t="s">
        <v>35</v>
      </c>
      <c r="Q661">
        <v>339</v>
      </c>
      <c r="R661">
        <v>268.89</v>
      </c>
      <c r="S661">
        <v>91153.71</v>
      </c>
      <c r="T661">
        <v>16.36</v>
      </c>
      <c r="U661">
        <v>8</v>
      </c>
      <c r="V661">
        <v>1220</v>
      </c>
      <c r="W661" t="s">
        <v>36</v>
      </c>
      <c r="X661">
        <v>12772.05</v>
      </c>
    </row>
    <row r="662" spans="1:24" x14ac:dyDescent="0.25">
      <c r="A662" s="2">
        <v>100660</v>
      </c>
      <c r="B662" s="1">
        <v>45656</v>
      </c>
      <c r="C662" s="1">
        <v>45657</v>
      </c>
      <c r="D662" s="1">
        <v>45682</v>
      </c>
      <c r="E662" t="s">
        <v>1891</v>
      </c>
      <c r="F662" t="s">
        <v>25</v>
      </c>
      <c r="G662" t="s">
        <v>26</v>
      </c>
      <c r="H662" t="s">
        <v>1892</v>
      </c>
      <c r="I662" t="s">
        <v>207</v>
      </c>
      <c r="J662" t="s">
        <v>80</v>
      </c>
      <c r="K662" t="s">
        <v>515</v>
      </c>
      <c r="L662" t="s">
        <v>31</v>
      </c>
      <c r="M662" t="s">
        <v>32</v>
      </c>
      <c r="N662" t="s">
        <v>107</v>
      </c>
      <c r="O662" t="s">
        <v>108</v>
      </c>
      <c r="P662" t="s">
        <v>76</v>
      </c>
      <c r="Q662">
        <v>494</v>
      </c>
      <c r="R662">
        <v>50.4</v>
      </c>
      <c r="S662">
        <v>24897.599999999999</v>
      </c>
      <c r="T662">
        <v>17.02</v>
      </c>
      <c r="U662">
        <v>25</v>
      </c>
      <c r="V662">
        <v>831</v>
      </c>
      <c r="W662" t="s">
        <v>36</v>
      </c>
      <c r="X662">
        <v>2663.85</v>
      </c>
    </row>
    <row r="663" spans="1:24" x14ac:dyDescent="0.25">
      <c r="A663" s="2">
        <v>100661</v>
      </c>
      <c r="B663" s="1">
        <v>45898</v>
      </c>
      <c r="C663" s="1">
        <v>45898</v>
      </c>
      <c r="D663" s="1">
        <v>45906</v>
      </c>
      <c r="E663" t="s">
        <v>1893</v>
      </c>
      <c r="F663" t="s">
        <v>32</v>
      </c>
      <c r="G663" t="s">
        <v>273</v>
      </c>
      <c r="H663" t="s">
        <v>1894</v>
      </c>
      <c r="I663" t="s">
        <v>85</v>
      </c>
      <c r="J663" t="s">
        <v>52</v>
      </c>
      <c r="K663" t="s">
        <v>1453</v>
      </c>
      <c r="L663" t="s">
        <v>187</v>
      </c>
      <c r="M663" t="s">
        <v>25</v>
      </c>
      <c r="N663" t="s">
        <v>74</v>
      </c>
      <c r="O663" t="s">
        <v>75</v>
      </c>
      <c r="P663" t="s">
        <v>123</v>
      </c>
      <c r="Q663">
        <v>319</v>
      </c>
      <c r="R663">
        <v>55.71</v>
      </c>
      <c r="S663">
        <v>17771.490000000002</v>
      </c>
      <c r="T663">
        <v>18.440000000000001</v>
      </c>
      <c r="U663">
        <v>8</v>
      </c>
      <c r="V663">
        <v>2086</v>
      </c>
      <c r="W663" t="s">
        <v>36</v>
      </c>
      <c r="X663">
        <v>3356.37</v>
      </c>
    </row>
    <row r="664" spans="1:24" x14ac:dyDescent="0.25">
      <c r="A664" s="2">
        <v>100662</v>
      </c>
      <c r="B664" s="1">
        <v>45597</v>
      </c>
      <c r="C664" s="1">
        <v>45600</v>
      </c>
      <c r="D664" s="1">
        <v>45603</v>
      </c>
      <c r="E664" t="s">
        <v>1895</v>
      </c>
      <c r="F664" t="s">
        <v>54</v>
      </c>
      <c r="G664" t="s">
        <v>129</v>
      </c>
      <c r="H664" t="s">
        <v>1896</v>
      </c>
      <c r="I664" t="s">
        <v>134</v>
      </c>
      <c r="J664" t="s">
        <v>52</v>
      </c>
      <c r="K664" t="s">
        <v>1897</v>
      </c>
      <c r="L664" t="s">
        <v>118</v>
      </c>
      <c r="M664" t="s">
        <v>54</v>
      </c>
      <c r="N664" t="s">
        <v>66</v>
      </c>
      <c r="O664" t="s">
        <v>67</v>
      </c>
      <c r="P664" t="s">
        <v>68</v>
      </c>
      <c r="Q664">
        <v>486</v>
      </c>
      <c r="R664">
        <v>84.12</v>
      </c>
      <c r="S664">
        <v>40882.32</v>
      </c>
      <c r="T664">
        <v>44.45</v>
      </c>
      <c r="U664">
        <v>3</v>
      </c>
      <c r="V664">
        <v>1773</v>
      </c>
      <c r="W664" t="s">
        <v>36</v>
      </c>
      <c r="X664">
        <v>7779.54</v>
      </c>
    </row>
    <row r="665" spans="1:24" x14ac:dyDescent="0.25">
      <c r="A665" s="2">
        <v>100663</v>
      </c>
      <c r="B665" s="1">
        <v>45377</v>
      </c>
      <c r="C665" s="1">
        <v>45380</v>
      </c>
      <c r="D665" s="1">
        <v>45403</v>
      </c>
      <c r="E665" t="s">
        <v>1898</v>
      </c>
      <c r="F665" t="s">
        <v>38</v>
      </c>
      <c r="G665" t="s">
        <v>147</v>
      </c>
      <c r="H665" t="s">
        <v>1899</v>
      </c>
      <c r="I665" t="s">
        <v>79</v>
      </c>
      <c r="J665" t="s">
        <v>80</v>
      </c>
      <c r="K665" t="s">
        <v>988</v>
      </c>
      <c r="L665" t="s">
        <v>91</v>
      </c>
      <c r="M665" t="s">
        <v>38</v>
      </c>
      <c r="N665" t="s">
        <v>102</v>
      </c>
      <c r="O665" t="s">
        <v>103</v>
      </c>
      <c r="P665" t="s">
        <v>76</v>
      </c>
      <c r="Q665">
        <v>335</v>
      </c>
      <c r="R665">
        <v>214.8</v>
      </c>
      <c r="S665">
        <v>71958</v>
      </c>
      <c r="T665">
        <v>10.46</v>
      </c>
      <c r="U665">
        <v>23</v>
      </c>
      <c r="V665">
        <v>651</v>
      </c>
      <c r="W665" t="s">
        <v>188</v>
      </c>
      <c r="X665">
        <v>16283.97</v>
      </c>
    </row>
    <row r="666" spans="1:24" x14ac:dyDescent="0.25">
      <c r="A666" s="2">
        <v>100664</v>
      </c>
      <c r="B666" s="1">
        <v>45915</v>
      </c>
      <c r="C666" s="1">
        <v>45918</v>
      </c>
      <c r="D666" s="1">
        <v>45923</v>
      </c>
      <c r="E666" t="s">
        <v>1900</v>
      </c>
      <c r="F666" t="s">
        <v>65</v>
      </c>
      <c r="G666" t="s">
        <v>154</v>
      </c>
      <c r="H666" t="s">
        <v>1901</v>
      </c>
      <c r="I666" t="s">
        <v>85</v>
      </c>
      <c r="J666" t="s">
        <v>52</v>
      </c>
      <c r="K666" t="s">
        <v>708</v>
      </c>
      <c r="L666" t="s">
        <v>44</v>
      </c>
      <c r="M666" t="s">
        <v>54</v>
      </c>
      <c r="N666" t="s">
        <v>107</v>
      </c>
      <c r="O666" t="s">
        <v>108</v>
      </c>
      <c r="P666" t="s">
        <v>68</v>
      </c>
      <c r="Q666">
        <v>434</v>
      </c>
      <c r="R666">
        <v>44.47</v>
      </c>
      <c r="S666">
        <v>19299.98</v>
      </c>
      <c r="T666">
        <v>56.64</v>
      </c>
      <c r="U666">
        <v>5</v>
      </c>
      <c r="V666">
        <v>1412</v>
      </c>
      <c r="W666" t="s">
        <v>36</v>
      </c>
      <c r="X666">
        <v>1691.49</v>
      </c>
    </row>
    <row r="667" spans="1:24" x14ac:dyDescent="0.25">
      <c r="A667" s="2">
        <v>100665</v>
      </c>
      <c r="B667" s="1">
        <v>45546</v>
      </c>
      <c r="C667" s="1">
        <v>45549</v>
      </c>
      <c r="D667" s="1">
        <v>45550</v>
      </c>
      <c r="E667" t="s">
        <v>1902</v>
      </c>
      <c r="F667" t="s">
        <v>54</v>
      </c>
      <c r="G667" t="s">
        <v>165</v>
      </c>
      <c r="H667" t="s">
        <v>1903</v>
      </c>
      <c r="I667" t="s">
        <v>238</v>
      </c>
      <c r="J667" t="s">
        <v>62</v>
      </c>
      <c r="K667" t="s">
        <v>1904</v>
      </c>
      <c r="L667" t="s">
        <v>187</v>
      </c>
      <c r="M667" t="s">
        <v>25</v>
      </c>
      <c r="N667" t="s">
        <v>102</v>
      </c>
      <c r="O667" t="s">
        <v>103</v>
      </c>
      <c r="P667" t="s">
        <v>68</v>
      </c>
      <c r="Q667">
        <v>125</v>
      </c>
      <c r="R667">
        <v>5.65</v>
      </c>
      <c r="S667">
        <v>706.25</v>
      </c>
      <c r="T667">
        <v>36.61</v>
      </c>
      <c r="U667">
        <v>1</v>
      </c>
      <c r="V667">
        <v>2803</v>
      </c>
      <c r="W667" t="s">
        <v>36</v>
      </c>
      <c r="X667">
        <v>84.66</v>
      </c>
    </row>
    <row r="668" spans="1:24" x14ac:dyDescent="0.25">
      <c r="A668" s="2">
        <v>100666</v>
      </c>
      <c r="B668" s="1">
        <v>46002</v>
      </c>
      <c r="C668" s="1">
        <v>46002</v>
      </c>
      <c r="D668" s="1">
        <v>46013</v>
      </c>
      <c r="E668" t="s">
        <v>1905</v>
      </c>
      <c r="F668" t="s">
        <v>65</v>
      </c>
      <c r="G668" t="s">
        <v>154</v>
      </c>
      <c r="H668" t="s">
        <v>1906</v>
      </c>
      <c r="I668" t="s">
        <v>79</v>
      </c>
      <c r="J668" t="s">
        <v>80</v>
      </c>
      <c r="K668" t="s">
        <v>1295</v>
      </c>
      <c r="L668" t="s">
        <v>187</v>
      </c>
      <c r="M668" t="s">
        <v>54</v>
      </c>
      <c r="N668" t="s">
        <v>92</v>
      </c>
      <c r="O668" t="s">
        <v>93</v>
      </c>
      <c r="P668" t="s">
        <v>76</v>
      </c>
      <c r="Q668">
        <v>447</v>
      </c>
      <c r="R668">
        <v>259.72000000000003</v>
      </c>
      <c r="S668">
        <v>116094.84</v>
      </c>
      <c r="T668">
        <v>16.170000000000002</v>
      </c>
      <c r="U668">
        <v>11</v>
      </c>
      <c r="V668">
        <v>882</v>
      </c>
      <c r="W668" t="s">
        <v>36</v>
      </c>
      <c r="X668">
        <v>18183.900000000001</v>
      </c>
    </row>
    <row r="669" spans="1:24" x14ac:dyDescent="0.25">
      <c r="A669" s="2">
        <v>100667</v>
      </c>
      <c r="B669" s="1">
        <v>45392</v>
      </c>
      <c r="C669" s="1">
        <v>45397</v>
      </c>
      <c r="D669" s="1">
        <v>45400</v>
      </c>
      <c r="E669" t="s">
        <v>1907</v>
      </c>
      <c r="F669" t="s">
        <v>25</v>
      </c>
      <c r="G669" t="s">
        <v>59</v>
      </c>
      <c r="H669" t="s">
        <v>1908</v>
      </c>
      <c r="I669" t="s">
        <v>207</v>
      </c>
      <c r="J669" t="s">
        <v>80</v>
      </c>
      <c r="K669" t="s">
        <v>1909</v>
      </c>
      <c r="L669" t="s">
        <v>212</v>
      </c>
      <c r="M669" t="s">
        <v>32</v>
      </c>
      <c r="N669" t="s">
        <v>151</v>
      </c>
      <c r="O669" t="s">
        <v>152</v>
      </c>
      <c r="P669" t="s">
        <v>68</v>
      </c>
      <c r="Q669">
        <v>290</v>
      </c>
      <c r="R669">
        <v>237.92</v>
      </c>
      <c r="S669">
        <v>68996.800000000003</v>
      </c>
      <c r="T669">
        <v>47.3</v>
      </c>
      <c r="U669">
        <v>3</v>
      </c>
      <c r="V669">
        <v>480</v>
      </c>
      <c r="W669" t="s">
        <v>36</v>
      </c>
      <c r="X669">
        <v>12007.1</v>
      </c>
    </row>
    <row r="670" spans="1:24" x14ac:dyDescent="0.25">
      <c r="A670" s="2">
        <v>100668</v>
      </c>
      <c r="B670" s="1">
        <v>45544</v>
      </c>
      <c r="C670" s="1">
        <v>45548</v>
      </c>
      <c r="D670" s="1">
        <v>45549</v>
      </c>
      <c r="E670" t="s">
        <v>1910</v>
      </c>
      <c r="F670" t="s">
        <v>32</v>
      </c>
      <c r="G670" t="s">
        <v>137</v>
      </c>
      <c r="H670" t="s">
        <v>1911</v>
      </c>
      <c r="I670" t="s">
        <v>51</v>
      </c>
      <c r="J670" t="s">
        <v>52</v>
      </c>
      <c r="K670" t="s">
        <v>1912</v>
      </c>
      <c r="L670" t="s">
        <v>91</v>
      </c>
      <c r="M670" t="s">
        <v>32</v>
      </c>
      <c r="N670" t="s">
        <v>66</v>
      </c>
      <c r="O670" t="s">
        <v>67</v>
      </c>
      <c r="P670" t="s">
        <v>68</v>
      </c>
      <c r="Q670">
        <v>243</v>
      </c>
      <c r="R670">
        <v>61.49</v>
      </c>
      <c r="S670">
        <v>14942.07</v>
      </c>
      <c r="T670">
        <v>32.78</v>
      </c>
      <c r="U670">
        <v>1</v>
      </c>
      <c r="V670">
        <v>1531</v>
      </c>
      <c r="W670" t="s">
        <v>36</v>
      </c>
      <c r="X670">
        <v>1298.5</v>
      </c>
    </row>
    <row r="671" spans="1:24" x14ac:dyDescent="0.25">
      <c r="A671" s="2">
        <v>100669</v>
      </c>
      <c r="B671" s="1">
        <v>45655</v>
      </c>
      <c r="C671" s="1">
        <v>45660</v>
      </c>
      <c r="D671" s="1">
        <v>45670</v>
      </c>
      <c r="E671" t="s">
        <v>1913</v>
      </c>
      <c r="F671" t="s">
        <v>54</v>
      </c>
      <c r="G671" t="s">
        <v>193</v>
      </c>
      <c r="H671" t="s">
        <v>1914</v>
      </c>
      <c r="I671" t="s">
        <v>246</v>
      </c>
      <c r="J671" t="s">
        <v>29</v>
      </c>
      <c r="K671" t="s">
        <v>1915</v>
      </c>
      <c r="L671" t="s">
        <v>91</v>
      </c>
      <c r="M671" t="s">
        <v>32</v>
      </c>
      <c r="N671" t="s">
        <v>102</v>
      </c>
      <c r="O671" t="s">
        <v>103</v>
      </c>
      <c r="P671" t="s">
        <v>123</v>
      </c>
      <c r="Q671">
        <v>341</v>
      </c>
      <c r="R671">
        <v>51.94</v>
      </c>
      <c r="S671">
        <v>17711.54</v>
      </c>
      <c r="T671">
        <v>18.98</v>
      </c>
      <c r="U671">
        <v>10</v>
      </c>
      <c r="V671">
        <v>1844</v>
      </c>
      <c r="W671" t="s">
        <v>36</v>
      </c>
      <c r="X671">
        <v>1032.54</v>
      </c>
    </row>
    <row r="672" spans="1:24" x14ac:dyDescent="0.25">
      <c r="A672" s="2">
        <v>100670</v>
      </c>
      <c r="B672" s="1">
        <v>45693</v>
      </c>
      <c r="C672" s="1">
        <v>45693</v>
      </c>
      <c r="D672" s="1">
        <v>45694</v>
      </c>
      <c r="E672" t="s">
        <v>1916</v>
      </c>
      <c r="F672" t="s">
        <v>65</v>
      </c>
      <c r="G672" t="s">
        <v>142</v>
      </c>
      <c r="H672" t="s">
        <v>1917</v>
      </c>
      <c r="I672" t="s">
        <v>134</v>
      </c>
      <c r="J672" t="s">
        <v>52</v>
      </c>
      <c r="K672" t="s">
        <v>1918</v>
      </c>
      <c r="L672" t="s">
        <v>91</v>
      </c>
      <c r="M672" t="s">
        <v>32</v>
      </c>
      <c r="N672" t="s">
        <v>33</v>
      </c>
      <c r="O672" t="s">
        <v>34</v>
      </c>
      <c r="P672" t="s">
        <v>68</v>
      </c>
      <c r="Q672">
        <v>395</v>
      </c>
      <c r="R672">
        <v>85.12</v>
      </c>
      <c r="S672">
        <v>33622.400000000001</v>
      </c>
      <c r="T672">
        <v>54.11</v>
      </c>
      <c r="U672">
        <v>1</v>
      </c>
      <c r="V672">
        <v>1458</v>
      </c>
      <c r="W672" t="s">
        <v>36</v>
      </c>
      <c r="X672">
        <v>3848.61</v>
      </c>
    </row>
    <row r="673" spans="1:24" x14ac:dyDescent="0.25">
      <c r="A673" s="2">
        <v>100671</v>
      </c>
      <c r="B673" s="1">
        <v>45970</v>
      </c>
      <c r="C673" s="1">
        <v>45971</v>
      </c>
      <c r="D673" s="1">
        <v>45986</v>
      </c>
      <c r="E673" t="s">
        <v>1919</v>
      </c>
      <c r="F673" t="s">
        <v>32</v>
      </c>
      <c r="G673" t="s">
        <v>95</v>
      </c>
      <c r="H673" t="s">
        <v>1920</v>
      </c>
      <c r="I673" t="s">
        <v>72</v>
      </c>
      <c r="J673" t="s">
        <v>42</v>
      </c>
      <c r="K673" t="s">
        <v>1921</v>
      </c>
      <c r="L673" t="s">
        <v>212</v>
      </c>
      <c r="M673" t="s">
        <v>54</v>
      </c>
      <c r="N673" t="s">
        <v>107</v>
      </c>
      <c r="O673" t="s">
        <v>108</v>
      </c>
      <c r="P673" t="s">
        <v>76</v>
      </c>
      <c r="Q673">
        <v>130</v>
      </c>
      <c r="R673">
        <v>213.03</v>
      </c>
      <c r="S673">
        <v>27693.9</v>
      </c>
      <c r="T673">
        <v>10.39</v>
      </c>
      <c r="U673">
        <v>15</v>
      </c>
      <c r="V673">
        <v>1505</v>
      </c>
      <c r="W673" t="s">
        <v>36</v>
      </c>
      <c r="X673">
        <v>3004.6</v>
      </c>
    </row>
    <row r="674" spans="1:24" x14ac:dyDescent="0.25">
      <c r="A674" s="2">
        <v>100672</v>
      </c>
      <c r="B674" s="1">
        <v>45994</v>
      </c>
      <c r="C674" s="1">
        <v>45994</v>
      </c>
      <c r="D674" s="1">
        <v>46000</v>
      </c>
      <c r="E674" t="s">
        <v>1922</v>
      </c>
      <c r="F674" t="s">
        <v>32</v>
      </c>
      <c r="G674" t="s">
        <v>95</v>
      </c>
      <c r="H674" t="s">
        <v>1923</v>
      </c>
      <c r="I674" t="s">
        <v>126</v>
      </c>
      <c r="J674" t="s">
        <v>42</v>
      </c>
      <c r="K674" t="s">
        <v>1924</v>
      </c>
      <c r="L674" t="s">
        <v>187</v>
      </c>
      <c r="M674" t="s">
        <v>38</v>
      </c>
      <c r="N674" t="s">
        <v>151</v>
      </c>
      <c r="O674" t="s">
        <v>152</v>
      </c>
      <c r="P674" t="s">
        <v>123</v>
      </c>
      <c r="Q674">
        <v>114</v>
      </c>
      <c r="R674">
        <v>281.64</v>
      </c>
      <c r="S674">
        <v>32106.959999999999</v>
      </c>
      <c r="T674">
        <v>13.46</v>
      </c>
      <c r="U674">
        <v>6</v>
      </c>
      <c r="V674">
        <v>1323</v>
      </c>
      <c r="W674" t="s">
        <v>36</v>
      </c>
      <c r="X674">
        <v>5612.75</v>
      </c>
    </row>
    <row r="675" spans="1:24" x14ac:dyDescent="0.25">
      <c r="A675" s="2">
        <v>100673</v>
      </c>
      <c r="B675" s="1">
        <v>45547</v>
      </c>
      <c r="C675" s="1">
        <v>45549</v>
      </c>
      <c r="D675" s="1">
        <v>45564</v>
      </c>
      <c r="E675" t="s">
        <v>375</v>
      </c>
      <c r="F675" t="s">
        <v>25</v>
      </c>
      <c r="G675" t="s">
        <v>169</v>
      </c>
      <c r="H675" t="s">
        <v>1925</v>
      </c>
      <c r="I675" t="s">
        <v>28</v>
      </c>
      <c r="J675" t="s">
        <v>29</v>
      </c>
      <c r="K675" t="s">
        <v>422</v>
      </c>
      <c r="L675" t="s">
        <v>113</v>
      </c>
      <c r="M675" t="s">
        <v>25</v>
      </c>
      <c r="N675" t="s">
        <v>45</v>
      </c>
      <c r="O675" t="s">
        <v>46</v>
      </c>
      <c r="P675" t="s">
        <v>76</v>
      </c>
      <c r="Q675">
        <v>178</v>
      </c>
      <c r="R675">
        <v>43.35</v>
      </c>
      <c r="S675">
        <v>7716.3</v>
      </c>
      <c r="T675">
        <v>8.34</v>
      </c>
      <c r="U675">
        <v>15</v>
      </c>
      <c r="V675">
        <v>382</v>
      </c>
      <c r="W675" t="s">
        <v>36</v>
      </c>
      <c r="X675">
        <v>1553.9</v>
      </c>
    </row>
    <row r="676" spans="1:24" x14ac:dyDescent="0.25">
      <c r="A676" s="2">
        <v>100674</v>
      </c>
      <c r="B676" s="1">
        <v>45525</v>
      </c>
      <c r="C676" s="1">
        <v>45529</v>
      </c>
      <c r="D676" s="1">
        <v>45538</v>
      </c>
      <c r="E676" t="s">
        <v>1926</v>
      </c>
      <c r="F676" t="s">
        <v>32</v>
      </c>
      <c r="G676" t="s">
        <v>364</v>
      </c>
      <c r="H676" t="s">
        <v>1927</v>
      </c>
      <c r="I676" t="s">
        <v>230</v>
      </c>
      <c r="J676" t="s">
        <v>80</v>
      </c>
      <c r="K676" t="s">
        <v>1928</v>
      </c>
      <c r="L676" t="s">
        <v>64</v>
      </c>
      <c r="M676" t="s">
        <v>54</v>
      </c>
      <c r="N676" t="s">
        <v>107</v>
      </c>
      <c r="O676" t="s">
        <v>108</v>
      </c>
      <c r="P676" t="s">
        <v>35</v>
      </c>
      <c r="Q676">
        <v>390</v>
      </c>
      <c r="R676">
        <v>218.2</v>
      </c>
      <c r="S676">
        <v>85098</v>
      </c>
      <c r="T676">
        <v>23.53</v>
      </c>
      <c r="U676">
        <v>9</v>
      </c>
      <c r="V676">
        <v>781</v>
      </c>
      <c r="W676" t="s">
        <v>36</v>
      </c>
      <c r="X676">
        <v>14896.92</v>
      </c>
    </row>
    <row r="677" spans="1:24" x14ac:dyDescent="0.25">
      <c r="A677" s="2">
        <v>100675</v>
      </c>
      <c r="B677" s="1">
        <v>45426</v>
      </c>
      <c r="C677" s="1">
        <v>45427</v>
      </c>
      <c r="D677" s="1">
        <v>45438</v>
      </c>
      <c r="E677" t="s">
        <v>782</v>
      </c>
      <c r="F677" t="s">
        <v>65</v>
      </c>
      <c r="G677" t="s">
        <v>154</v>
      </c>
      <c r="H677" t="s">
        <v>1929</v>
      </c>
      <c r="I677" t="s">
        <v>139</v>
      </c>
      <c r="J677" t="s">
        <v>42</v>
      </c>
      <c r="K677" t="s">
        <v>1930</v>
      </c>
      <c r="L677" t="s">
        <v>44</v>
      </c>
      <c r="M677" t="s">
        <v>32</v>
      </c>
      <c r="N677" t="s">
        <v>151</v>
      </c>
      <c r="O677" t="s">
        <v>152</v>
      </c>
      <c r="P677" t="s">
        <v>123</v>
      </c>
      <c r="Q677">
        <v>410</v>
      </c>
      <c r="R677">
        <v>268.85000000000002</v>
      </c>
      <c r="S677">
        <v>110228.5</v>
      </c>
      <c r="T677">
        <v>20.66</v>
      </c>
      <c r="U677">
        <v>11</v>
      </c>
      <c r="V677">
        <v>1183</v>
      </c>
      <c r="W677" t="s">
        <v>47</v>
      </c>
      <c r="X677">
        <v>-103.27</v>
      </c>
    </row>
    <row r="678" spans="1:24" x14ac:dyDescent="0.25">
      <c r="A678" s="2">
        <v>100676</v>
      </c>
      <c r="B678" s="1">
        <v>45457</v>
      </c>
      <c r="C678" s="1">
        <v>45458</v>
      </c>
      <c r="D678" s="1">
        <v>45466</v>
      </c>
      <c r="E678" t="s">
        <v>1931</v>
      </c>
      <c r="F678" t="s">
        <v>54</v>
      </c>
      <c r="G678" t="s">
        <v>158</v>
      </c>
      <c r="H678" t="s">
        <v>1932</v>
      </c>
      <c r="I678" t="s">
        <v>51</v>
      </c>
      <c r="J678" t="s">
        <v>52</v>
      </c>
      <c r="K678" t="s">
        <v>1803</v>
      </c>
      <c r="L678" t="s">
        <v>122</v>
      </c>
      <c r="M678" t="s">
        <v>32</v>
      </c>
      <c r="N678" t="s">
        <v>107</v>
      </c>
      <c r="O678" t="s">
        <v>108</v>
      </c>
      <c r="P678" t="s">
        <v>68</v>
      </c>
      <c r="Q678">
        <v>428</v>
      </c>
      <c r="R678">
        <v>25.22</v>
      </c>
      <c r="S678">
        <v>10794.16</v>
      </c>
      <c r="T678">
        <v>56.25</v>
      </c>
      <c r="U678">
        <v>8</v>
      </c>
      <c r="V678">
        <v>2866</v>
      </c>
      <c r="W678" t="s">
        <v>36</v>
      </c>
      <c r="X678">
        <v>1500.89</v>
      </c>
    </row>
    <row r="679" spans="1:24" x14ac:dyDescent="0.25">
      <c r="A679" s="2">
        <v>100677</v>
      </c>
      <c r="B679" s="1">
        <v>45454</v>
      </c>
      <c r="C679" s="1">
        <v>45457</v>
      </c>
      <c r="D679" s="1">
        <v>45466</v>
      </c>
      <c r="E679" t="s">
        <v>1933</v>
      </c>
      <c r="F679" t="s">
        <v>25</v>
      </c>
      <c r="G679" t="s">
        <v>172</v>
      </c>
      <c r="H679" t="s">
        <v>1934</v>
      </c>
      <c r="I679" t="s">
        <v>61</v>
      </c>
      <c r="J679" t="s">
        <v>62</v>
      </c>
      <c r="K679" t="s">
        <v>1935</v>
      </c>
      <c r="L679" t="s">
        <v>113</v>
      </c>
      <c r="M679" t="s">
        <v>32</v>
      </c>
      <c r="N679" t="s">
        <v>151</v>
      </c>
      <c r="O679" t="s">
        <v>152</v>
      </c>
      <c r="P679" t="s">
        <v>123</v>
      </c>
      <c r="Q679">
        <v>402</v>
      </c>
      <c r="R679">
        <v>22.96</v>
      </c>
      <c r="S679">
        <v>9229.92</v>
      </c>
      <c r="T679">
        <v>20.46</v>
      </c>
      <c r="U679">
        <v>9</v>
      </c>
      <c r="V679">
        <v>4191</v>
      </c>
      <c r="W679" t="s">
        <v>36</v>
      </c>
      <c r="X679">
        <v>1378.97</v>
      </c>
    </row>
    <row r="680" spans="1:24" x14ac:dyDescent="0.25">
      <c r="A680" s="2">
        <v>100678</v>
      </c>
      <c r="B680" s="1">
        <v>45418</v>
      </c>
      <c r="C680" s="1">
        <v>45421</v>
      </c>
      <c r="D680" s="1">
        <v>45431</v>
      </c>
      <c r="E680" t="s">
        <v>1936</v>
      </c>
      <c r="F680" t="s">
        <v>54</v>
      </c>
      <c r="G680" t="s">
        <v>158</v>
      </c>
      <c r="H680" t="s">
        <v>1937</v>
      </c>
      <c r="I680" t="s">
        <v>85</v>
      </c>
      <c r="J680" t="s">
        <v>52</v>
      </c>
      <c r="K680" t="s">
        <v>1938</v>
      </c>
      <c r="L680" t="s">
        <v>113</v>
      </c>
      <c r="M680" t="s">
        <v>54</v>
      </c>
      <c r="N680" t="s">
        <v>107</v>
      </c>
      <c r="O680" t="s">
        <v>108</v>
      </c>
      <c r="P680" t="s">
        <v>76</v>
      </c>
      <c r="Q680">
        <v>224</v>
      </c>
      <c r="R680">
        <v>15.18</v>
      </c>
      <c r="S680">
        <v>3400.32</v>
      </c>
      <c r="T680">
        <v>8.9600000000000009</v>
      </c>
      <c r="U680">
        <v>10</v>
      </c>
      <c r="V680">
        <v>3309</v>
      </c>
      <c r="W680" t="s">
        <v>36</v>
      </c>
      <c r="X680">
        <v>529.53</v>
      </c>
    </row>
    <row r="681" spans="1:24" x14ac:dyDescent="0.25">
      <c r="A681" s="2">
        <v>100679</v>
      </c>
      <c r="B681" s="1">
        <v>46004</v>
      </c>
      <c r="C681" s="1">
        <v>46008</v>
      </c>
      <c r="D681" s="1">
        <v>46010</v>
      </c>
      <c r="E681" t="s">
        <v>1939</v>
      </c>
      <c r="F681" t="s">
        <v>32</v>
      </c>
      <c r="G681" t="s">
        <v>255</v>
      </c>
      <c r="H681" t="s">
        <v>1940</v>
      </c>
      <c r="I681" t="s">
        <v>149</v>
      </c>
      <c r="J681" t="s">
        <v>42</v>
      </c>
      <c r="K681" t="s">
        <v>1935</v>
      </c>
      <c r="L681" t="s">
        <v>118</v>
      </c>
      <c r="M681" t="s">
        <v>25</v>
      </c>
      <c r="N681" t="s">
        <v>107</v>
      </c>
      <c r="O681" t="s">
        <v>108</v>
      </c>
      <c r="P681" t="s">
        <v>68</v>
      </c>
      <c r="Q681">
        <v>490</v>
      </c>
      <c r="R681">
        <v>230.14</v>
      </c>
      <c r="S681">
        <v>112768.6</v>
      </c>
      <c r="T681">
        <v>60.26</v>
      </c>
      <c r="U681">
        <v>2</v>
      </c>
      <c r="V681">
        <v>1424</v>
      </c>
      <c r="W681" t="s">
        <v>36</v>
      </c>
      <c r="X681">
        <v>10217.73</v>
      </c>
    </row>
    <row r="682" spans="1:24" x14ac:dyDescent="0.25">
      <c r="A682" s="2">
        <v>100680</v>
      </c>
      <c r="B682" s="1">
        <v>45327</v>
      </c>
      <c r="C682" s="1">
        <v>45329</v>
      </c>
      <c r="D682" s="1">
        <v>45339</v>
      </c>
      <c r="E682" t="s">
        <v>1941</v>
      </c>
      <c r="F682" t="s">
        <v>65</v>
      </c>
      <c r="G682" t="s">
        <v>70</v>
      </c>
      <c r="H682" t="s">
        <v>1942</v>
      </c>
      <c r="I682" t="s">
        <v>246</v>
      </c>
      <c r="J682" t="s">
        <v>29</v>
      </c>
      <c r="K682" t="s">
        <v>1943</v>
      </c>
      <c r="L682" t="s">
        <v>31</v>
      </c>
      <c r="M682" t="s">
        <v>25</v>
      </c>
      <c r="N682" t="s">
        <v>45</v>
      </c>
      <c r="O682" t="s">
        <v>46</v>
      </c>
      <c r="P682" t="s">
        <v>123</v>
      </c>
      <c r="Q682">
        <v>477</v>
      </c>
      <c r="R682">
        <v>100.4</v>
      </c>
      <c r="S682">
        <v>47890.8</v>
      </c>
      <c r="T682">
        <v>22.28</v>
      </c>
      <c r="U682">
        <v>10</v>
      </c>
      <c r="V682">
        <v>2906</v>
      </c>
      <c r="W682" t="s">
        <v>36</v>
      </c>
      <c r="X682">
        <v>5124.57</v>
      </c>
    </row>
    <row r="683" spans="1:24" x14ac:dyDescent="0.25">
      <c r="A683" s="2">
        <v>100681</v>
      </c>
      <c r="B683" s="1">
        <v>45822</v>
      </c>
      <c r="C683" s="1">
        <v>45826</v>
      </c>
      <c r="D683" s="1">
        <v>45835</v>
      </c>
      <c r="E683" t="s">
        <v>1944</v>
      </c>
      <c r="F683" t="s">
        <v>65</v>
      </c>
      <c r="G683" t="s">
        <v>70</v>
      </c>
      <c r="H683" t="s">
        <v>1945</v>
      </c>
      <c r="I683" t="s">
        <v>238</v>
      </c>
      <c r="J683" t="s">
        <v>62</v>
      </c>
      <c r="K683" t="s">
        <v>1946</v>
      </c>
      <c r="L683" t="s">
        <v>212</v>
      </c>
      <c r="M683" t="s">
        <v>25</v>
      </c>
      <c r="N683" t="s">
        <v>203</v>
      </c>
      <c r="O683" t="s">
        <v>204</v>
      </c>
      <c r="P683" t="s">
        <v>123</v>
      </c>
      <c r="Q683">
        <v>114</v>
      </c>
      <c r="R683">
        <v>14.43</v>
      </c>
      <c r="S683">
        <v>1645.02</v>
      </c>
      <c r="T683">
        <v>13.46</v>
      </c>
      <c r="U683">
        <v>9</v>
      </c>
      <c r="V683">
        <v>1212</v>
      </c>
      <c r="W683" t="s">
        <v>36</v>
      </c>
      <c r="X683">
        <v>202.44</v>
      </c>
    </row>
    <row r="684" spans="1:24" x14ac:dyDescent="0.25">
      <c r="A684" s="2">
        <v>100682</v>
      </c>
      <c r="B684" s="1">
        <v>45602</v>
      </c>
      <c r="C684" s="1">
        <v>45604</v>
      </c>
      <c r="D684" s="1">
        <v>45626</v>
      </c>
      <c r="E684" t="s">
        <v>1947</v>
      </c>
      <c r="F684" t="s">
        <v>25</v>
      </c>
      <c r="G684" t="s">
        <v>172</v>
      </c>
      <c r="H684" t="s">
        <v>1948</v>
      </c>
      <c r="I684" t="s">
        <v>51</v>
      </c>
      <c r="J684" t="s">
        <v>52</v>
      </c>
      <c r="K684" t="s">
        <v>1597</v>
      </c>
      <c r="L684" t="s">
        <v>212</v>
      </c>
      <c r="M684" t="s">
        <v>32</v>
      </c>
      <c r="N684" t="s">
        <v>74</v>
      </c>
      <c r="O684" t="s">
        <v>75</v>
      </c>
      <c r="P684" t="s">
        <v>76</v>
      </c>
      <c r="Q684">
        <v>376</v>
      </c>
      <c r="R684">
        <v>12.68</v>
      </c>
      <c r="S684">
        <v>4767.68</v>
      </c>
      <c r="T684">
        <v>14.87</v>
      </c>
      <c r="U684">
        <v>22</v>
      </c>
      <c r="V684">
        <v>842</v>
      </c>
      <c r="W684" t="s">
        <v>36</v>
      </c>
      <c r="X684">
        <v>864.25</v>
      </c>
    </row>
    <row r="685" spans="1:24" x14ac:dyDescent="0.25">
      <c r="A685" s="2">
        <v>100683</v>
      </c>
      <c r="B685" s="1">
        <v>45974</v>
      </c>
      <c r="C685" s="1">
        <v>45975</v>
      </c>
      <c r="D685" s="1">
        <v>45983</v>
      </c>
      <c r="E685" t="s">
        <v>1949</v>
      </c>
      <c r="F685" t="s">
        <v>32</v>
      </c>
      <c r="G685" t="s">
        <v>273</v>
      </c>
      <c r="H685" t="s">
        <v>1950</v>
      </c>
      <c r="I685" t="s">
        <v>416</v>
      </c>
      <c r="J685" t="s">
        <v>80</v>
      </c>
      <c r="K685" t="s">
        <v>1951</v>
      </c>
      <c r="L685" t="s">
        <v>212</v>
      </c>
      <c r="M685" t="s">
        <v>65</v>
      </c>
      <c r="N685" t="s">
        <v>151</v>
      </c>
      <c r="O685" t="s">
        <v>152</v>
      </c>
      <c r="P685" t="s">
        <v>35</v>
      </c>
      <c r="Q685">
        <v>137</v>
      </c>
      <c r="R685">
        <v>225.47</v>
      </c>
      <c r="S685">
        <v>30889.39</v>
      </c>
      <c r="T685">
        <v>16.36</v>
      </c>
      <c r="U685">
        <v>8</v>
      </c>
      <c r="V685">
        <v>182</v>
      </c>
      <c r="W685" t="s">
        <v>47</v>
      </c>
      <c r="X685">
        <v>-234.6</v>
      </c>
    </row>
    <row r="686" spans="1:24" x14ac:dyDescent="0.25">
      <c r="A686" s="2">
        <v>100684</v>
      </c>
      <c r="B686" s="1">
        <v>45584</v>
      </c>
      <c r="C686" s="1">
        <v>45586</v>
      </c>
      <c r="D686" s="1">
        <v>45590</v>
      </c>
      <c r="E686" t="s">
        <v>1952</v>
      </c>
      <c r="F686" t="s">
        <v>65</v>
      </c>
      <c r="G686" t="s">
        <v>142</v>
      </c>
      <c r="H686" t="s">
        <v>1953</v>
      </c>
      <c r="I686" t="s">
        <v>116</v>
      </c>
      <c r="J686" t="s">
        <v>62</v>
      </c>
      <c r="K686" t="s">
        <v>1543</v>
      </c>
      <c r="L686" t="s">
        <v>44</v>
      </c>
      <c r="M686" t="s">
        <v>32</v>
      </c>
      <c r="N686" t="s">
        <v>92</v>
      </c>
      <c r="O686" t="s">
        <v>93</v>
      </c>
      <c r="P686" t="s">
        <v>35</v>
      </c>
      <c r="Q686">
        <v>390</v>
      </c>
      <c r="R686">
        <v>20.84</v>
      </c>
      <c r="S686">
        <v>8127.6</v>
      </c>
      <c r="T686">
        <v>23.53</v>
      </c>
      <c r="U686">
        <v>4</v>
      </c>
      <c r="V686">
        <v>2164</v>
      </c>
      <c r="W686" t="s">
        <v>36</v>
      </c>
      <c r="X686">
        <v>1132.1600000000001</v>
      </c>
    </row>
    <row r="687" spans="1:24" x14ac:dyDescent="0.25">
      <c r="A687" s="2">
        <v>100685</v>
      </c>
      <c r="B687" s="1">
        <v>45512</v>
      </c>
      <c r="C687" s="1">
        <v>45514</v>
      </c>
      <c r="D687" s="1">
        <v>45534</v>
      </c>
      <c r="E687" t="s">
        <v>1954</v>
      </c>
      <c r="F687" t="s">
        <v>65</v>
      </c>
      <c r="G687" t="s">
        <v>142</v>
      </c>
      <c r="H687" t="s">
        <v>1955</v>
      </c>
      <c r="I687" t="s">
        <v>177</v>
      </c>
      <c r="J687" t="s">
        <v>29</v>
      </c>
      <c r="K687" t="s">
        <v>1956</v>
      </c>
      <c r="L687" t="s">
        <v>31</v>
      </c>
      <c r="M687" t="s">
        <v>25</v>
      </c>
      <c r="N687" t="s">
        <v>203</v>
      </c>
      <c r="O687" t="s">
        <v>204</v>
      </c>
      <c r="P687" t="s">
        <v>76</v>
      </c>
      <c r="Q687">
        <v>200</v>
      </c>
      <c r="R687">
        <v>102.29</v>
      </c>
      <c r="S687">
        <v>20458</v>
      </c>
      <c r="T687">
        <v>11.66</v>
      </c>
      <c r="U687">
        <v>20</v>
      </c>
      <c r="V687">
        <v>2258</v>
      </c>
      <c r="W687" t="s">
        <v>36</v>
      </c>
      <c r="X687">
        <v>4713.22</v>
      </c>
    </row>
    <row r="688" spans="1:24" x14ac:dyDescent="0.25">
      <c r="A688" s="2">
        <v>100686</v>
      </c>
      <c r="B688" s="1">
        <v>46007</v>
      </c>
      <c r="C688" s="1">
        <v>46009</v>
      </c>
      <c r="D688" s="1">
        <v>46011</v>
      </c>
      <c r="E688" t="s">
        <v>1957</v>
      </c>
      <c r="F688" t="s">
        <v>32</v>
      </c>
      <c r="G688" t="s">
        <v>95</v>
      </c>
      <c r="H688" t="s">
        <v>1958</v>
      </c>
      <c r="I688" t="s">
        <v>72</v>
      </c>
      <c r="J688" t="s">
        <v>42</v>
      </c>
      <c r="K688" t="s">
        <v>1679</v>
      </c>
      <c r="L688" t="s">
        <v>113</v>
      </c>
      <c r="M688" t="s">
        <v>38</v>
      </c>
      <c r="N688" t="s">
        <v>107</v>
      </c>
      <c r="O688" t="s">
        <v>108</v>
      </c>
      <c r="P688" t="s">
        <v>68</v>
      </c>
      <c r="Q688">
        <v>444</v>
      </c>
      <c r="R688">
        <v>237.58</v>
      </c>
      <c r="S688">
        <v>105485.52</v>
      </c>
      <c r="T688">
        <v>57.28</v>
      </c>
      <c r="U688">
        <v>2</v>
      </c>
      <c r="V688">
        <v>1322</v>
      </c>
      <c r="W688" t="s">
        <v>36</v>
      </c>
      <c r="X688">
        <v>19242.47</v>
      </c>
    </row>
    <row r="689" spans="1:24" x14ac:dyDescent="0.25">
      <c r="A689" s="2">
        <v>100687</v>
      </c>
      <c r="B689" s="1">
        <v>45942</v>
      </c>
      <c r="C689" s="1">
        <v>45946</v>
      </c>
      <c r="D689" s="1">
        <v>45950</v>
      </c>
      <c r="E689" t="s">
        <v>1959</v>
      </c>
      <c r="F689" t="s">
        <v>32</v>
      </c>
      <c r="G689" t="s">
        <v>110</v>
      </c>
      <c r="H689" t="s">
        <v>1960</v>
      </c>
      <c r="I689" t="s">
        <v>116</v>
      </c>
      <c r="J689" t="s">
        <v>62</v>
      </c>
      <c r="K689" t="s">
        <v>489</v>
      </c>
      <c r="L689" t="s">
        <v>64</v>
      </c>
      <c r="M689" t="s">
        <v>65</v>
      </c>
      <c r="N689" t="s">
        <v>92</v>
      </c>
      <c r="O689" t="s">
        <v>93</v>
      </c>
      <c r="P689" t="s">
        <v>123</v>
      </c>
      <c r="Q689">
        <v>285</v>
      </c>
      <c r="R689">
        <v>16.579999999999998</v>
      </c>
      <c r="S689">
        <v>4725.3</v>
      </c>
      <c r="T689">
        <v>17.62</v>
      </c>
      <c r="U689">
        <v>4</v>
      </c>
      <c r="V689">
        <v>1222</v>
      </c>
      <c r="W689" t="s">
        <v>36</v>
      </c>
      <c r="X689">
        <v>736.51</v>
      </c>
    </row>
    <row r="690" spans="1:24" x14ac:dyDescent="0.25">
      <c r="A690" s="2">
        <v>100688</v>
      </c>
      <c r="B690" s="1">
        <v>45527</v>
      </c>
      <c r="C690" s="1">
        <v>45532</v>
      </c>
      <c r="D690" s="1">
        <v>45534</v>
      </c>
      <c r="E690" t="s">
        <v>1961</v>
      </c>
      <c r="F690" t="s">
        <v>38</v>
      </c>
      <c r="G690" t="s">
        <v>147</v>
      </c>
      <c r="H690" t="s">
        <v>1962</v>
      </c>
      <c r="I690" t="s">
        <v>89</v>
      </c>
      <c r="J690" t="s">
        <v>62</v>
      </c>
      <c r="K690" t="s">
        <v>1963</v>
      </c>
      <c r="L690" t="s">
        <v>118</v>
      </c>
      <c r="M690" t="s">
        <v>32</v>
      </c>
      <c r="N690" t="s">
        <v>92</v>
      </c>
      <c r="O690" t="s">
        <v>93</v>
      </c>
      <c r="P690" t="s">
        <v>68</v>
      </c>
      <c r="Q690">
        <v>243</v>
      </c>
      <c r="R690">
        <v>27.4</v>
      </c>
      <c r="S690">
        <v>6658.2</v>
      </c>
      <c r="T690">
        <v>44.26</v>
      </c>
      <c r="U690">
        <v>2</v>
      </c>
      <c r="V690">
        <v>1966</v>
      </c>
      <c r="W690" t="s">
        <v>36</v>
      </c>
      <c r="X690">
        <v>798.6</v>
      </c>
    </row>
    <row r="691" spans="1:24" x14ac:dyDescent="0.25">
      <c r="A691" s="2">
        <v>100689</v>
      </c>
      <c r="B691" s="1">
        <v>45453</v>
      </c>
      <c r="C691" s="1">
        <v>45457</v>
      </c>
      <c r="D691" s="1">
        <v>45461</v>
      </c>
      <c r="E691" t="s">
        <v>1964</v>
      </c>
      <c r="F691" t="s">
        <v>65</v>
      </c>
      <c r="G691" t="s">
        <v>142</v>
      </c>
      <c r="H691" t="s">
        <v>1965</v>
      </c>
      <c r="I691" t="s">
        <v>177</v>
      </c>
      <c r="J691" t="s">
        <v>29</v>
      </c>
      <c r="K691" t="s">
        <v>227</v>
      </c>
      <c r="L691" t="s">
        <v>187</v>
      </c>
      <c r="M691" t="s">
        <v>38</v>
      </c>
      <c r="N691" t="s">
        <v>203</v>
      </c>
      <c r="O691" t="s">
        <v>204</v>
      </c>
      <c r="P691" t="s">
        <v>68</v>
      </c>
      <c r="Q691">
        <v>475</v>
      </c>
      <c r="R691">
        <v>51.6</v>
      </c>
      <c r="S691">
        <v>24510</v>
      </c>
      <c r="T691">
        <v>59.29</v>
      </c>
      <c r="U691">
        <v>4</v>
      </c>
      <c r="V691">
        <v>3442</v>
      </c>
      <c r="W691" t="s">
        <v>36</v>
      </c>
      <c r="X691">
        <v>6201.57</v>
      </c>
    </row>
    <row r="692" spans="1:24" x14ac:dyDescent="0.25">
      <c r="A692" s="2">
        <v>100690</v>
      </c>
      <c r="B692" s="1">
        <v>45813</v>
      </c>
      <c r="C692" s="1">
        <v>45815</v>
      </c>
      <c r="D692" s="1">
        <v>45838</v>
      </c>
      <c r="E692" t="s">
        <v>1966</v>
      </c>
      <c r="F692" t="s">
        <v>25</v>
      </c>
      <c r="G692" t="s">
        <v>221</v>
      </c>
      <c r="H692" t="s">
        <v>1967</v>
      </c>
      <c r="I692" t="s">
        <v>368</v>
      </c>
      <c r="J692" t="s">
        <v>29</v>
      </c>
      <c r="K692" t="s">
        <v>649</v>
      </c>
      <c r="L692" t="s">
        <v>31</v>
      </c>
      <c r="M692" t="s">
        <v>65</v>
      </c>
      <c r="N692" t="s">
        <v>33</v>
      </c>
      <c r="O692" t="s">
        <v>34</v>
      </c>
      <c r="P692" t="s">
        <v>76</v>
      </c>
      <c r="Q692">
        <v>42</v>
      </c>
      <c r="R692">
        <v>21.08</v>
      </c>
      <c r="S692">
        <v>885.36</v>
      </c>
      <c r="T692">
        <v>8.7799999999999994</v>
      </c>
      <c r="U692">
        <v>23</v>
      </c>
      <c r="V692">
        <v>1988</v>
      </c>
      <c r="W692" t="s">
        <v>188</v>
      </c>
      <c r="X692">
        <v>163.26</v>
      </c>
    </row>
    <row r="693" spans="1:24" x14ac:dyDescent="0.25">
      <c r="A693" s="2">
        <v>100691</v>
      </c>
      <c r="B693" s="1">
        <v>45793</v>
      </c>
      <c r="C693" s="1">
        <v>45793</v>
      </c>
      <c r="D693" s="1">
        <v>45799</v>
      </c>
      <c r="E693" t="s">
        <v>1968</v>
      </c>
      <c r="F693" t="s">
        <v>32</v>
      </c>
      <c r="G693" t="s">
        <v>110</v>
      </c>
      <c r="H693" t="s">
        <v>1969</v>
      </c>
      <c r="I693" t="s">
        <v>79</v>
      </c>
      <c r="J693" t="s">
        <v>80</v>
      </c>
      <c r="K693" t="s">
        <v>239</v>
      </c>
      <c r="L693" t="s">
        <v>122</v>
      </c>
      <c r="M693" t="s">
        <v>38</v>
      </c>
      <c r="N693" t="s">
        <v>107</v>
      </c>
      <c r="O693" t="s">
        <v>108</v>
      </c>
      <c r="P693" t="s">
        <v>123</v>
      </c>
      <c r="Q693">
        <v>328</v>
      </c>
      <c r="R693">
        <v>288.43</v>
      </c>
      <c r="S693">
        <v>94605.04</v>
      </c>
      <c r="T693">
        <v>18.66</v>
      </c>
      <c r="U693">
        <v>6</v>
      </c>
      <c r="V693">
        <v>2098</v>
      </c>
      <c r="W693" t="s">
        <v>36</v>
      </c>
      <c r="X693">
        <v>21063.49</v>
      </c>
    </row>
    <row r="694" spans="1:24" x14ac:dyDescent="0.25">
      <c r="A694" s="2">
        <v>100692</v>
      </c>
      <c r="B694" s="1">
        <v>45615</v>
      </c>
      <c r="C694" s="1">
        <v>45618</v>
      </c>
      <c r="D694" s="1">
        <v>45622</v>
      </c>
      <c r="E694" t="s">
        <v>1970</v>
      </c>
      <c r="F694" t="s">
        <v>54</v>
      </c>
      <c r="G694" t="s">
        <v>165</v>
      </c>
      <c r="H694" t="s">
        <v>1971</v>
      </c>
      <c r="I694" t="s">
        <v>41</v>
      </c>
      <c r="J694" t="s">
        <v>42</v>
      </c>
      <c r="K694" t="s">
        <v>815</v>
      </c>
      <c r="L694" t="s">
        <v>118</v>
      </c>
      <c r="M694" t="s">
        <v>25</v>
      </c>
      <c r="N694" t="s">
        <v>151</v>
      </c>
      <c r="O694" t="s">
        <v>152</v>
      </c>
      <c r="P694" t="s">
        <v>68</v>
      </c>
      <c r="Q694">
        <v>75</v>
      </c>
      <c r="R694">
        <v>247.64</v>
      </c>
      <c r="S694">
        <v>18573</v>
      </c>
      <c r="T694">
        <v>33.369999999999997</v>
      </c>
      <c r="U694">
        <v>4</v>
      </c>
      <c r="V694">
        <v>98</v>
      </c>
      <c r="W694" t="s">
        <v>36</v>
      </c>
      <c r="X694">
        <v>2078.81</v>
      </c>
    </row>
    <row r="695" spans="1:24" x14ac:dyDescent="0.25">
      <c r="A695" s="2">
        <v>100693</v>
      </c>
      <c r="B695" s="1">
        <v>45869</v>
      </c>
      <c r="C695" s="1">
        <v>45873</v>
      </c>
      <c r="D695" s="1">
        <v>45897</v>
      </c>
      <c r="E695" t="s">
        <v>1972</v>
      </c>
      <c r="F695" t="s">
        <v>32</v>
      </c>
      <c r="G695" t="s">
        <v>180</v>
      </c>
      <c r="H695" t="s">
        <v>1973</v>
      </c>
      <c r="I695" t="s">
        <v>126</v>
      </c>
      <c r="J695" t="s">
        <v>42</v>
      </c>
      <c r="K695" t="s">
        <v>1974</v>
      </c>
      <c r="L695" t="s">
        <v>44</v>
      </c>
      <c r="M695" t="s">
        <v>54</v>
      </c>
      <c r="N695" t="s">
        <v>45</v>
      </c>
      <c r="O695" t="s">
        <v>46</v>
      </c>
      <c r="P695" t="s">
        <v>76</v>
      </c>
      <c r="Q695">
        <v>389</v>
      </c>
      <c r="R695">
        <v>288.23</v>
      </c>
      <c r="S695">
        <v>112121.47</v>
      </c>
      <c r="T695">
        <v>15.11</v>
      </c>
      <c r="U695">
        <v>24</v>
      </c>
      <c r="V695">
        <v>832</v>
      </c>
      <c r="W695" t="s">
        <v>36</v>
      </c>
      <c r="X695">
        <v>14628.53</v>
      </c>
    </row>
    <row r="696" spans="1:24" x14ac:dyDescent="0.25">
      <c r="A696" s="2">
        <v>100694</v>
      </c>
      <c r="B696" s="1">
        <v>45917</v>
      </c>
      <c r="C696" s="1">
        <v>45920</v>
      </c>
      <c r="D696" s="1">
        <v>45930</v>
      </c>
      <c r="E696" t="s">
        <v>1975</v>
      </c>
      <c r="F696" t="s">
        <v>25</v>
      </c>
      <c r="G696" t="s">
        <v>221</v>
      </c>
      <c r="H696" t="s">
        <v>1976</v>
      </c>
      <c r="I696" t="s">
        <v>182</v>
      </c>
      <c r="J696" t="s">
        <v>80</v>
      </c>
      <c r="K696" t="s">
        <v>1791</v>
      </c>
      <c r="L696" t="s">
        <v>118</v>
      </c>
      <c r="M696" t="s">
        <v>38</v>
      </c>
      <c r="N696" t="s">
        <v>55</v>
      </c>
      <c r="O696" t="s">
        <v>56</v>
      </c>
      <c r="P696" t="s">
        <v>35</v>
      </c>
      <c r="Q696">
        <v>104</v>
      </c>
      <c r="R696">
        <v>303.62</v>
      </c>
      <c r="S696">
        <v>31576.48</v>
      </c>
      <c r="T696">
        <v>15.42</v>
      </c>
      <c r="U696">
        <v>10</v>
      </c>
      <c r="V696">
        <v>1409</v>
      </c>
      <c r="W696" t="s">
        <v>36</v>
      </c>
      <c r="X696">
        <v>6013.52</v>
      </c>
    </row>
    <row r="697" spans="1:24" x14ac:dyDescent="0.25">
      <c r="A697" s="2">
        <v>100695</v>
      </c>
      <c r="B697" s="1">
        <v>45553</v>
      </c>
      <c r="C697" s="1">
        <v>45554</v>
      </c>
      <c r="D697" s="1">
        <v>45557</v>
      </c>
      <c r="E697" t="s">
        <v>1977</v>
      </c>
      <c r="F697" t="s">
        <v>25</v>
      </c>
      <c r="G697" t="s">
        <v>169</v>
      </c>
      <c r="H697" t="s">
        <v>1978</v>
      </c>
      <c r="I697" t="s">
        <v>116</v>
      </c>
      <c r="J697" t="s">
        <v>62</v>
      </c>
      <c r="K697" t="s">
        <v>1979</v>
      </c>
      <c r="L697" t="s">
        <v>44</v>
      </c>
      <c r="M697" t="s">
        <v>25</v>
      </c>
      <c r="N697" t="s">
        <v>45</v>
      </c>
      <c r="O697" t="s">
        <v>46</v>
      </c>
      <c r="P697" t="s">
        <v>68</v>
      </c>
      <c r="Q697">
        <v>134</v>
      </c>
      <c r="R697">
        <v>38.67</v>
      </c>
      <c r="S697">
        <v>5181.78</v>
      </c>
      <c r="T697">
        <v>27.55</v>
      </c>
      <c r="U697">
        <v>3</v>
      </c>
      <c r="V697">
        <v>1119</v>
      </c>
      <c r="W697" t="s">
        <v>36</v>
      </c>
      <c r="X697">
        <v>334.4</v>
      </c>
    </row>
    <row r="698" spans="1:24" x14ac:dyDescent="0.25">
      <c r="A698" s="2">
        <v>100696</v>
      </c>
      <c r="B698" s="1">
        <v>45746</v>
      </c>
      <c r="C698" s="1">
        <v>45747</v>
      </c>
      <c r="D698" s="1">
        <v>45753</v>
      </c>
      <c r="E698" t="s">
        <v>1980</v>
      </c>
      <c r="F698" t="s">
        <v>25</v>
      </c>
      <c r="G698" t="s">
        <v>233</v>
      </c>
      <c r="H698" t="s">
        <v>1981</v>
      </c>
      <c r="I698" t="s">
        <v>139</v>
      </c>
      <c r="J698" t="s">
        <v>42</v>
      </c>
      <c r="K698" t="s">
        <v>778</v>
      </c>
      <c r="L698" t="s">
        <v>118</v>
      </c>
      <c r="M698" t="s">
        <v>54</v>
      </c>
      <c r="N698" t="s">
        <v>74</v>
      </c>
      <c r="O698" t="s">
        <v>75</v>
      </c>
      <c r="P698" t="s">
        <v>123</v>
      </c>
      <c r="Q698">
        <v>254</v>
      </c>
      <c r="R698">
        <v>327.06</v>
      </c>
      <c r="S698">
        <v>83073.240000000005</v>
      </c>
      <c r="T698">
        <v>16.86</v>
      </c>
      <c r="U698">
        <v>6</v>
      </c>
      <c r="V698">
        <v>1067</v>
      </c>
      <c r="W698" t="s">
        <v>36</v>
      </c>
      <c r="X698">
        <v>14344.07</v>
      </c>
    </row>
    <row r="699" spans="1:24" x14ac:dyDescent="0.25">
      <c r="A699" s="2">
        <v>100697</v>
      </c>
      <c r="B699" s="1">
        <v>45310</v>
      </c>
      <c r="C699" s="1">
        <v>45311</v>
      </c>
      <c r="D699" s="1">
        <v>45319</v>
      </c>
      <c r="E699" t="s">
        <v>1982</v>
      </c>
      <c r="F699" t="s">
        <v>38</v>
      </c>
      <c r="G699" t="s">
        <v>83</v>
      </c>
      <c r="H699" t="s">
        <v>1983</v>
      </c>
      <c r="I699" t="s">
        <v>198</v>
      </c>
      <c r="J699" t="s">
        <v>52</v>
      </c>
      <c r="K699" t="s">
        <v>888</v>
      </c>
      <c r="L699" t="s">
        <v>44</v>
      </c>
      <c r="M699" t="s">
        <v>65</v>
      </c>
      <c r="N699" t="s">
        <v>33</v>
      </c>
      <c r="O699" t="s">
        <v>34</v>
      </c>
      <c r="P699" t="s">
        <v>35</v>
      </c>
      <c r="Q699">
        <v>418</v>
      </c>
      <c r="R699">
        <v>73.099999999999994</v>
      </c>
      <c r="S699">
        <v>30555.8</v>
      </c>
      <c r="T699">
        <v>24.32</v>
      </c>
      <c r="U699">
        <v>8</v>
      </c>
      <c r="V699">
        <v>3678</v>
      </c>
      <c r="W699" t="s">
        <v>36</v>
      </c>
      <c r="X699">
        <v>4716.18</v>
      </c>
    </row>
    <row r="700" spans="1:24" x14ac:dyDescent="0.25">
      <c r="A700" s="2">
        <v>100698</v>
      </c>
      <c r="B700" s="1">
        <v>45705</v>
      </c>
      <c r="C700" s="1">
        <v>45709</v>
      </c>
      <c r="D700" s="1">
        <v>45729</v>
      </c>
      <c r="E700" t="s">
        <v>1984</v>
      </c>
      <c r="F700" t="s">
        <v>38</v>
      </c>
      <c r="G700" t="s">
        <v>217</v>
      </c>
      <c r="H700" t="s">
        <v>1985</v>
      </c>
      <c r="I700" t="s">
        <v>126</v>
      </c>
      <c r="J700" t="s">
        <v>42</v>
      </c>
      <c r="K700" t="s">
        <v>584</v>
      </c>
      <c r="L700" t="s">
        <v>118</v>
      </c>
      <c r="M700" t="s">
        <v>54</v>
      </c>
      <c r="N700" t="s">
        <v>45</v>
      </c>
      <c r="O700" t="s">
        <v>46</v>
      </c>
      <c r="P700" t="s">
        <v>76</v>
      </c>
      <c r="Q700">
        <v>213</v>
      </c>
      <c r="R700">
        <v>297.33999999999997</v>
      </c>
      <c r="S700">
        <v>63333.42</v>
      </c>
      <c r="T700">
        <v>11.9</v>
      </c>
      <c r="U700">
        <v>20</v>
      </c>
      <c r="V700">
        <v>1590</v>
      </c>
      <c r="W700" t="s">
        <v>36</v>
      </c>
      <c r="X700">
        <v>6238.86</v>
      </c>
    </row>
    <row r="701" spans="1:24" x14ac:dyDescent="0.25">
      <c r="A701" s="2">
        <v>100699</v>
      </c>
      <c r="B701" s="1">
        <v>45544</v>
      </c>
      <c r="C701" s="1">
        <v>45544</v>
      </c>
      <c r="D701" s="1">
        <v>45566</v>
      </c>
      <c r="E701" t="s">
        <v>1986</v>
      </c>
      <c r="F701" t="s">
        <v>38</v>
      </c>
      <c r="G701" t="s">
        <v>49</v>
      </c>
      <c r="H701" t="s">
        <v>1987</v>
      </c>
      <c r="I701" t="s">
        <v>85</v>
      </c>
      <c r="J701" t="s">
        <v>52</v>
      </c>
      <c r="K701" t="s">
        <v>309</v>
      </c>
      <c r="L701" t="s">
        <v>118</v>
      </c>
      <c r="M701" t="s">
        <v>38</v>
      </c>
      <c r="N701" t="s">
        <v>203</v>
      </c>
      <c r="O701" t="s">
        <v>204</v>
      </c>
      <c r="P701" t="s">
        <v>76</v>
      </c>
      <c r="Q701">
        <v>243</v>
      </c>
      <c r="R701">
        <v>41.03</v>
      </c>
      <c r="S701">
        <v>9970.2900000000009</v>
      </c>
      <c r="T701">
        <v>9.2200000000000006</v>
      </c>
      <c r="U701">
        <v>22</v>
      </c>
      <c r="V701">
        <v>465</v>
      </c>
      <c r="W701" t="s">
        <v>36</v>
      </c>
      <c r="X701">
        <v>717.48</v>
      </c>
    </row>
    <row r="702" spans="1:24" x14ac:dyDescent="0.25">
      <c r="A702" s="2">
        <v>100700</v>
      </c>
      <c r="B702" s="1">
        <v>45731</v>
      </c>
      <c r="C702" s="1">
        <v>45733</v>
      </c>
      <c r="D702" s="1">
        <v>45743</v>
      </c>
      <c r="E702" t="s">
        <v>1988</v>
      </c>
      <c r="F702" t="s">
        <v>38</v>
      </c>
      <c r="G702" t="s">
        <v>83</v>
      </c>
      <c r="H702" t="s">
        <v>1989</v>
      </c>
      <c r="I702" t="s">
        <v>182</v>
      </c>
      <c r="J702" t="s">
        <v>80</v>
      </c>
      <c r="K702" t="s">
        <v>1245</v>
      </c>
      <c r="L702" t="s">
        <v>44</v>
      </c>
      <c r="M702" t="s">
        <v>32</v>
      </c>
      <c r="N702" t="s">
        <v>66</v>
      </c>
      <c r="O702" t="s">
        <v>67</v>
      </c>
      <c r="P702" t="s">
        <v>35</v>
      </c>
      <c r="Q702">
        <v>369</v>
      </c>
      <c r="R702">
        <v>317.64999999999998</v>
      </c>
      <c r="S702">
        <v>117212.85</v>
      </c>
      <c r="T702">
        <v>22.94</v>
      </c>
      <c r="U702">
        <v>10</v>
      </c>
      <c r="V702">
        <v>1449</v>
      </c>
      <c r="W702" t="s">
        <v>36</v>
      </c>
      <c r="X702">
        <v>30357.31</v>
      </c>
    </row>
    <row r="703" spans="1:24" x14ac:dyDescent="0.25">
      <c r="A703" s="2">
        <v>100701</v>
      </c>
      <c r="B703" s="1">
        <v>45657</v>
      </c>
      <c r="C703" s="1">
        <v>45659</v>
      </c>
      <c r="D703" s="1">
        <v>45667</v>
      </c>
      <c r="E703" t="s">
        <v>1990</v>
      </c>
      <c r="F703" t="s">
        <v>38</v>
      </c>
      <c r="G703" t="s">
        <v>83</v>
      </c>
      <c r="H703" t="s">
        <v>1991</v>
      </c>
      <c r="I703" t="s">
        <v>116</v>
      </c>
      <c r="J703" t="s">
        <v>62</v>
      </c>
      <c r="K703" t="s">
        <v>257</v>
      </c>
      <c r="L703" t="s">
        <v>212</v>
      </c>
      <c r="M703" t="s">
        <v>54</v>
      </c>
      <c r="N703" t="s">
        <v>74</v>
      </c>
      <c r="O703" t="s">
        <v>75</v>
      </c>
      <c r="P703" t="s">
        <v>123</v>
      </c>
      <c r="Q703">
        <v>306</v>
      </c>
      <c r="R703">
        <v>47.2</v>
      </c>
      <c r="S703">
        <v>14443.2</v>
      </c>
      <c r="T703">
        <v>18.13</v>
      </c>
      <c r="U703">
        <v>8</v>
      </c>
      <c r="V703">
        <v>1545</v>
      </c>
      <c r="W703" t="s">
        <v>57</v>
      </c>
      <c r="X703">
        <v>1991.21</v>
      </c>
    </row>
    <row r="704" spans="1:24" x14ac:dyDescent="0.25">
      <c r="A704" s="2">
        <v>100702</v>
      </c>
      <c r="B704" s="1">
        <v>45734</v>
      </c>
      <c r="C704" s="1">
        <v>45734</v>
      </c>
      <c r="D704" s="1">
        <v>45738</v>
      </c>
      <c r="E704" t="s">
        <v>1992</v>
      </c>
      <c r="F704" t="s">
        <v>38</v>
      </c>
      <c r="G704" t="s">
        <v>83</v>
      </c>
      <c r="H704" t="s">
        <v>1993</v>
      </c>
      <c r="I704" t="s">
        <v>177</v>
      </c>
      <c r="J704" t="s">
        <v>29</v>
      </c>
      <c r="K704" t="s">
        <v>1994</v>
      </c>
      <c r="L704" t="s">
        <v>91</v>
      </c>
      <c r="M704" t="s">
        <v>65</v>
      </c>
      <c r="N704" t="s">
        <v>55</v>
      </c>
      <c r="O704" t="s">
        <v>56</v>
      </c>
      <c r="P704" t="s">
        <v>68</v>
      </c>
      <c r="Q704">
        <v>128</v>
      </c>
      <c r="R704">
        <v>80.19</v>
      </c>
      <c r="S704">
        <v>10264.32</v>
      </c>
      <c r="T704">
        <v>36.81</v>
      </c>
      <c r="U704">
        <v>4</v>
      </c>
      <c r="V704">
        <v>1819</v>
      </c>
      <c r="W704" t="s">
        <v>36</v>
      </c>
      <c r="X704">
        <v>1012.19</v>
      </c>
    </row>
    <row r="705" spans="1:24" x14ac:dyDescent="0.25">
      <c r="A705" s="2">
        <v>100703</v>
      </c>
      <c r="B705" s="1">
        <v>45995</v>
      </c>
      <c r="C705" s="1">
        <v>45995</v>
      </c>
      <c r="D705" s="1">
        <v>46020</v>
      </c>
      <c r="E705" t="s">
        <v>1995</v>
      </c>
      <c r="F705" t="s">
        <v>38</v>
      </c>
      <c r="G705" t="s">
        <v>147</v>
      </c>
      <c r="H705" t="s">
        <v>1996</v>
      </c>
      <c r="I705" t="s">
        <v>61</v>
      </c>
      <c r="J705" t="s">
        <v>62</v>
      </c>
      <c r="K705" t="s">
        <v>913</v>
      </c>
      <c r="L705" t="s">
        <v>118</v>
      </c>
      <c r="M705" t="s">
        <v>65</v>
      </c>
      <c r="N705" t="s">
        <v>74</v>
      </c>
      <c r="O705" t="s">
        <v>75</v>
      </c>
      <c r="P705" t="s">
        <v>76</v>
      </c>
      <c r="Q705">
        <v>80</v>
      </c>
      <c r="R705">
        <v>14.21</v>
      </c>
      <c r="S705">
        <v>1136.8</v>
      </c>
      <c r="T705">
        <v>9.48</v>
      </c>
      <c r="U705">
        <v>25</v>
      </c>
      <c r="V705">
        <v>2280</v>
      </c>
      <c r="W705" t="s">
        <v>188</v>
      </c>
      <c r="X705">
        <v>101.27</v>
      </c>
    </row>
    <row r="706" spans="1:24" x14ac:dyDescent="0.25">
      <c r="A706" s="2">
        <v>100704</v>
      </c>
      <c r="B706" s="1">
        <v>45564</v>
      </c>
      <c r="C706" s="1">
        <v>45565</v>
      </c>
      <c r="D706" s="1">
        <v>45573</v>
      </c>
      <c r="E706" t="s">
        <v>1997</v>
      </c>
      <c r="F706" t="s">
        <v>54</v>
      </c>
      <c r="G706" t="s">
        <v>129</v>
      </c>
      <c r="H706" t="s">
        <v>1998</v>
      </c>
      <c r="I706" t="s">
        <v>41</v>
      </c>
      <c r="J706" t="s">
        <v>42</v>
      </c>
      <c r="K706" t="s">
        <v>1999</v>
      </c>
      <c r="L706" t="s">
        <v>98</v>
      </c>
      <c r="M706" t="s">
        <v>38</v>
      </c>
      <c r="N706" t="s">
        <v>151</v>
      </c>
      <c r="O706" t="s">
        <v>152</v>
      </c>
      <c r="P706" t="s">
        <v>123</v>
      </c>
      <c r="Q706">
        <v>225</v>
      </c>
      <c r="R706">
        <v>287.14</v>
      </c>
      <c r="S706">
        <v>64606.5</v>
      </c>
      <c r="T706">
        <v>16.16</v>
      </c>
      <c r="U706">
        <v>8</v>
      </c>
      <c r="V706">
        <v>1489</v>
      </c>
      <c r="W706" t="s">
        <v>57</v>
      </c>
      <c r="X706">
        <v>6882.55</v>
      </c>
    </row>
    <row r="707" spans="1:24" x14ac:dyDescent="0.25">
      <c r="A707" s="2">
        <v>100705</v>
      </c>
      <c r="B707" s="1">
        <v>45309</v>
      </c>
      <c r="C707" s="1">
        <v>45313</v>
      </c>
      <c r="D707" s="1">
        <v>45335</v>
      </c>
      <c r="E707" t="s">
        <v>2000</v>
      </c>
      <c r="F707" t="s">
        <v>65</v>
      </c>
      <c r="G707" t="s">
        <v>70</v>
      </c>
      <c r="H707" t="s">
        <v>2001</v>
      </c>
      <c r="I707" t="s">
        <v>28</v>
      </c>
      <c r="J707" t="s">
        <v>29</v>
      </c>
      <c r="K707" t="s">
        <v>2002</v>
      </c>
      <c r="L707" t="s">
        <v>31</v>
      </c>
      <c r="M707" t="s">
        <v>65</v>
      </c>
      <c r="N707" t="s">
        <v>151</v>
      </c>
      <c r="O707" t="s">
        <v>152</v>
      </c>
      <c r="P707" t="s">
        <v>76</v>
      </c>
      <c r="Q707">
        <v>10</v>
      </c>
      <c r="R707">
        <v>16.440000000000001</v>
      </c>
      <c r="S707">
        <v>164.4</v>
      </c>
      <c r="T707">
        <v>6.08</v>
      </c>
      <c r="U707">
        <v>22</v>
      </c>
      <c r="V707">
        <v>1207</v>
      </c>
      <c r="W707" t="s">
        <v>36</v>
      </c>
      <c r="X707">
        <v>42.61</v>
      </c>
    </row>
    <row r="708" spans="1:24" x14ac:dyDescent="0.25">
      <c r="A708" s="2">
        <v>100706</v>
      </c>
      <c r="B708" s="1">
        <v>45704</v>
      </c>
      <c r="C708" s="1">
        <v>45707</v>
      </c>
      <c r="D708" s="1">
        <v>45711</v>
      </c>
      <c r="E708" t="s">
        <v>2003</v>
      </c>
      <c r="F708" t="s">
        <v>38</v>
      </c>
      <c r="G708" t="s">
        <v>147</v>
      </c>
      <c r="H708" t="s">
        <v>2004</v>
      </c>
      <c r="I708" t="s">
        <v>144</v>
      </c>
      <c r="J708" t="s">
        <v>52</v>
      </c>
      <c r="K708" t="s">
        <v>2005</v>
      </c>
      <c r="L708" t="s">
        <v>212</v>
      </c>
      <c r="M708" t="s">
        <v>32</v>
      </c>
      <c r="N708" t="s">
        <v>33</v>
      </c>
      <c r="O708" t="s">
        <v>34</v>
      </c>
      <c r="P708" t="s">
        <v>68</v>
      </c>
      <c r="Q708">
        <v>220</v>
      </c>
      <c r="R708">
        <v>33.700000000000003</v>
      </c>
      <c r="S708">
        <v>7414</v>
      </c>
      <c r="T708">
        <v>42.77</v>
      </c>
      <c r="U708">
        <v>4</v>
      </c>
      <c r="V708">
        <v>467</v>
      </c>
      <c r="W708" t="s">
        <v>36</v>
      </c>
      <c r="X708">
        <v>1251.4100000000001</v>
      </c>
    </row>
    <row r="709" spans="1:24" x14ac:dyDescent="0.25">
      <c r="A709" s="2">
        <v>100707</v>
      </c>
      <c r="B709" s="1">
        <v>45656</v>
      </c>
      <c r="C709" s="1">
        <v>45658</v>
      </c>
      <c r="D709" s="1">
        <v>45660</v>
      </c>
      <c r="E709" t="s">
        <v>2006</v>
      </c>
      <c r="F709" t="s">
        <v>54</v>
      </c>
      <c r="G709" t="s">
        <v>165</v>
      </c>
      <c r="H709" t="s">
        <v>2007</v>
      </c>
      <c r="I709" t="s">
        <v>191</v>
      </c>
      <c r="J709" t="s">
        <v>62</v>
      </c>
      <c r="K709" t="s">
        <v>1474</v>
      </c>
      <c r="L709" t="s">
        <v>98</v>
      </c>
      <c r="M709" t="s">
        <v>65</v>
      </c>
      <c r="N709" t="s">
        <v>55</v>
      </c>
      <c r="O709" t="s">
        <v>56</v>
      </c>
      <c r="P709" t="s">
        <v>35</v>
      </c>
      <c r="Q709">
        <v>260</v>
      </c>
      <c r="R709">
        <v>39.270000000000003</v>
      </c>
      <c r="S709">
        <v>10210.200000000001</v>
      </c>
      <c r="T709">
        <v>19.84</v>
      </c>
      <c r="U709">
        <v>2</v>
      </c>
      <c r="V709">
        <v>689</v>
      </c>
      <c r="W709" t="s">
        <v>47</v>
      </c>
      <c r="X709">
        <v>-87.82</v>
      </c>
    </row>
    <row r="710" spans="1:24" x14ac:dyDescent="0.25">
      <c r="A710" s="2">
        <v>100708</v>
      </c>
      <c r="B710" s="1">
        <v>45547</v>
      </c>
      <c r="C710" s="1">
        <v>45552</v>
      </c>
      <c r="D710" s="1">
        <v>45577</v>
      </c>
      <c r="E710" t="s">
        <v>2008</v>
      </c>
      <c r="F710" t="s">
        <v>32</v>
      </c>
      <c r="G710" t="s">
        <v>95</v>
      </c>
      <c r="H710" t="s">
        <v>2009</v>
      </c>
      <c r="I710" t="s">
        <v>246</v>
      </c>
      <c r="J710" t="s">
        <v>29</v>
      </c>
      <c r="K710" t="s">
        <v>1048</v>
      </c>
      <c r="L710" t="s">
        <v>212</v>
      </c>
      <c r="M710" t="s">
        <v>54</v>
      </c>
      <c r="N710" t="s">
        <v>55</v>
      </c>
      <c r="O710" t="s">
        <v>56</v>
      </c>
      <c r="P710" t="s">
        <v>76</v>
      </c>
      <c r="Q710">
        <v>95</v>
      </c>
      <c r="R710">
        <v>26.79</v>
      </c>
      <c r="S710">
        <v>2545.0500000000002</v>
      </c>
      <c r="T710">
        <v>9.75</v>
      </c>
      <c r="U710">
        <v>25</v>
      </c>
      <c r="V710">
        <v>2790</v>
      </c>
      <c r="W710" t="s">
        <v>36</v>
      </c>
      <c r="X710">
        <v>616.54</v>
      </c>
    </row>
    <row r="711" spans="1:24" x14ac:dyDescent="0.25">
      <c r="A711" s="2">
        <v>100709</v>
      </c>
      <c r="B711" s="1">
        <v>45690</v>
      </c>
      <c r="C711" s="1">
        <v>45694</v>
      </c>
      <c r="D711" s="1">
        <v>45706</v>
      </c>
      <c r="E711" t="s">
        <v>2010</v>
      </c>
      <c r="F711" t="s">
        <v>25</v>
      </c>
      <c r="G711" t="s">
        <v>26</v>
      </c>
      <c r="H711" t="s">
        <v>2011</v>
      </c>
      <c r="I711" t="s">
        <v>177</v>
      </c>
      <c r="J711" t="s">
        <v>29</v>
      </c>
      <c r="K711" t="s">
        <v>1419</v>
      </c>
      <c r="L711" t="s">
        <v>122</v>
      </c>
      <c r="M711" t="s">
        <v>54</v>
      </c>
      <c r="N711" t="s">
        <v>55</v>
      </c>
      <c r="O711" t="s">
        <v>56</v>
      </c>
      <c r="P711" t="s">
        <v>76</v>
      </c>
      <c r="Q711">
        <v>300</v>
      </c>
      <c r="R711">
        <v>97.76</v>
      </c>
      <c r="S711">
        <v>29328</v>
      </c>
      <c r="T711">
        <v>13.49</v>
      </c>
      <c r="U711">
        <v>12</v>
      </c>
      <c r="V711">
        <v>2065</v>
      </c>
      <c r="W711" t="s">
        <v>36</v>
      </c>
      <c r="X711">
        <v>4117.29</v>
      </c>
    </row>
    <row r="712" spans="1:24" x14ac:dyDescent="0.25">
      <c r="A712" s="2">
        <v>100710</v>
      </c>
      <c r="B712" s="1">
        <v>45445</v>
      </c>
      <c r="C712" s="1">
        <v>45445</v>
      </c>
      <c r="D712" s="1">
        <v>45454</v>
      </c>
      <c r="E712" t="s">
        <v>2012</v>
      </c>
      <c r="F712" t="s">
        <v>38</v>
      </c>
      <c r="G712" t="s">
        <v>83</v>
      </c>
      <c r="H712" t="s">
        <v>2013</v>
      </c>
      <c r="I712" t="s">
        <v>149</v>
      </c>
      <c r="J712" t="s">
        <v>42</v>
      </c>
      <c r="K712" t="s">
        <v>1347</v>
      </c>
      <c r="L712" t="s">
        <v>91</v>
      </c>
      <c r="M712" t="s">
        <v>25</v>
      </c>
      <c r="N712" t="s">
        <v>151</v>
      </c>
      <c r="O712" t="s">
        <v>152</v>
      </c>
      <c r="P712" t="s">
        <v>35</v>
      </c>
      <c r="Q712">
        <v>135</v>
      </c>
      <c r="R712">
        <v>131.55000000000001</v>
      </c>
      <c r="S712">
        <v>17759.25</v>
      </c>
      <c r="T712">
        <v>16.3</v>
      </c>
      <c r="U712">
        <v>9</v>
      </c>
      <c r="V712">
        <v>1643</v>
      </c>
      <c r="W712" t="s">
        <v>57</v>
      </c>
      <c r="X712">
        <v>2199.75</v>
      </c>
    </row>
    <row r="713" spans="1:24" x14ac:dyDescent="0.25">
      <c r="A713" s="2">
        <v>100711</v>
      </c>
      <c r="B713" s="1">
        <v>45751</v>
      </c>
      <c r="C713" s="1">
        <v>45754</v>
      </c>
      <c r="D713" s="1">
        <v>45759</v>
      </c>
      <c r="E713" t="s">
        <v>2014</v>
      </c>
      <c r="F713" t="s">
        <v>65</v>
      </c>
      <c r="G713" t="s">
        <v>154</v>
      </c>
      <c r="H713" t="s">
        <v>2015</v>
      </c>
      <c r="I713" t="s">
        <v>416</v>
      </c>
      <c r="J713" t="s">
        <v>80</v>
      </c>
      <c r="K713" t="s">
        <v>2016</v>
      </c>
      <c r="L713" t="s">
        <v>31</v>
      </c>
      <c r="M713" t="s">
        <v>38</v>
      </c>
      <c r="N713" t="s">
        <v>151</v>
      </c>
      <c r="O713" t="s">
        <v>152</v>
      </c>
      <c r="P713" t="s">
        <v>68</v>
      </c>
      <c r="Q713">
        <v>131</v>
      </c>
      <c r="R713">
        <v>73.47</v>
      </c>
      <c r="S713">
        <v>9624.57</v>
      </c>
      <c r="T713">
        <v>37</v>
      </c>
      <c r="U713">
        <v>5</v>
      </c>
      <c r="V713">
        <v>1102</v>
      </c>
      <c r="W713" t="s">
        <v>36</v>
      </c>
      <c r="X713">
        <v>2260.89</v>
      </c>
    </row>
    <row r="714" spans="1:24" x14ac:dyDescent="0.25">
      <c r="A714" s="2">
        <v>100712</v>
      </c>
      <c r="B714" s="1">
        <v>45386</v>
      </c>
      <c r="C714" s="1">
        <v>45386</v>
      </c>
      <c r="D714" s="1">
        <v>45398</v>
      </c>
      <c r="E714" t="s">
        <v>2017</v>
      </c>
      <c r="F714" t="s">
        <v>25</v>
      </c>
      <c r="G714" t="s">
        <v>169</v>
      </c>
      <c r="H714" t="s">
        <v>2018</v>
      </c>
      <c r="I714" t="s">
        <v>198</v>
      </c>
      <c r="J714" t="s">
        <v>52</v>
      </c>
      <c r="K714" t="s">
        <v>2019</v>
      </c>
      <c r="L714" t="s">
        <v>64</v>
      </c>
      <c r="M714" t="s">
        <v>38</v>
      </c>
      <c r="N714" t="s">
        <v>55</v>
      </c>
      <c r="O714" t="s">
        <v>56</v>
      </c>
      <c r="P714" t="s">
        <v>123</v>
      </c>
      <c r="Q714">
        <v>144</v>
      </c>
      <c r="R714">
        <v>79.63</v>
      </c>
      <c r="S714">
        <v>11466.72</v>
      </c>
      <c r="T714">
        <v>14.19</v>
      </c>
      <c r="U714">
        <v>12</v>
      </c>
      <c r="V714">
        <v>2893</v>
      </c>
      <c r="W714" t="s">
        <v>36</v>
      </c>
      <c r="X714">
        <v>240.25</v>
      </c>
    </row>
    <row r="715" spans="1:24" x14ac:dyDescent="0.25">
      <c r="A715" s="2">
        <v>100713</v>
      </c>
      <c r="B715" s="1">
        <v>45546</v>
      </c>
      <c r="C715" s="1">
        <v>45550</v>
      </c>
      <c r="D715" s="1">
        <v>45569</v>
      </c>
      <c r="E715" t="s">
        <v>2020</v>
      </c>
      <c r="F715" t="s">
        <v>65</v>
      </c>
      <c r="G715" t="s">
        <v>142</v>
      </c>
      <c r="H715" t="s">
        <v>2021</v>
      </c>
      <c r="I715" t="s">
        <v>191</v>
      </c>
      <c r="J715" t="s">
        <v>62</v>
      </c>
      <c r="K715" t="s">
        <v>215</v>
      </c>
      <c r="L715" t="s">
        <v>187</v>
      </c>
      <c r="M715" t="s">
        <v>54</v>
      </c>
      <c r="N715" t="s">
        <v>92</v>
      </c>
      <c r="O715" t="s">
        <v>93</v>
      </c>
      <c r="P715" t="s">
        <v>76</v>
      </c>
      <c r="Q715">
        <v>46</v>
      </c>
      <c r="R715">
        <v>39.71</v>
      </c>
      <c r="S715">
        <v>1826.66</v>
      </c>
      <c r="T715">
        <v>8.86</v>
      </c>
      <c r="U715">
        <v>19</v>
      </c>
      <c r="V715">
        <v>3027</v>
      </c>
      <c r="W715" t="s">
        <v>36</v>
      </c>
      <c r="X715">
        <v>87.29</v>
      </c>
    </row>
    <row r="716" spans="1:24" x14ac:dyDescent="0.25">
      <c r="A716" s="2">
        <v>100714</v>
      </c>
      <c r="B716" s="1">
        <v>45481</v>
      </c>
      <c r="C716" s="1">
        <v>45486</v>
      </c>
      <c r="D716" s="1">
        <v>45497</v>
      </c>
      <c r="E716" t="s">
        <v>2022</v>
      </c>
      <c r="F716" t="s">
        <v>32</v>
      </c>
      <c r="G716" t="s">
        <v>137</v>
      </c>
      <c r="H716" t="s">
        <v>2023</v>
      </c>
      <c r="I716" t="s">
        <v>177</v>
      </c>
      <c r="J716" t="s">
        <v>29</v>
      </c>
      <c r="K716" t="s">
        <v>395</v>
      </c>
      <c r="L716" t="s">
        <v>122</v>
      </c>
      <c r="M716" t="s">
        <v>32</v>
      </c>
      <c r="N716" t="s">
        <v>74</v>
      </c>
      <c r="O716" t="s">
        <v>75</v>
      </c>
      <c r="P716" t="s">
        <v>35</v>
      </c>
      <c r="Q716">
        <v>284</v>
      </c>
      <c r="R716">
        <v>93.41</v>
      </c>
      <c r="S716">
        <v>26528.44</v>
      </c>
      <c r="T716">
        <v>15.2</v>
      </c>
      <c r="U716">
        <v>11</v>
      </c>
      <c r="V716">
        <v>2904</v>
      </c>
      <c r="W716" t="s">
        <v>36</v>
      </c>
      <c r="X716">
        <v>6033.05</v>
      </c>
    </row>
    <row r="717" spans="1:24" x14ac:dyDescent="0.25">
      <c r="A717" s="2">
        <v>100715</v>
      </c>
      <c r="B717" s="1">
        <v>45614</v>
      </c>
      <c r="C717" s="1">
        <v>45615</v>
      </c>
      <c r="D717" s="1">
        <v>45623</v>
      </c>
      <c r="E717" t="s">
        <v>2024</v>
      </c>
      <c r="F717" t="s">
        <v>54</v>
      </c>
      <c r="G717" t="s">
        <v>225</v>
      </c>
      <c r="H717" t="s">
        <v>2025</v>
      </c>
      <c r="I717" t="s">
        <v>149</v>
      </c>
      <c r="J717" t="s">
        <v>42</v>
      </c>
      <c r="K717" t="s">
        <v>1042</v>
      </c>
      <c r="L717" t="s">
        <v>91</v>
      </c>
      <c r="M717" t="s">
        <v>65</v>
      </c>
      <c r="N717" t="s">
        <v>33</v>
      </c>
      <c r="O717" t="s">
        <v>34</v>
      </c>
      <c r="P717" t="s">
        <v>35</v>
      </c>
      <c r="Q717">
        <v>356</v>
      </c>
      <c r="R717">
        <v>101.1</v>
      </c>
      <c r="S717">
        <v>35991.599999999999</v>
      </c>
      <c r="T717">
        <v>22.57</v>
      </c>
      <c r="U717">
        <v>8</v>
      </c>
      <c r="V717">
        <v>1546</v>
      </c>
      <c r="W717" t="s">
        <v>36</v>
      </c>
      <c r="X717">
        <v>4023</v>
      </c>
    </row>
    <row r="718" spans="1:24" x14ac:dyDescent="0.25">
      <c r="A718" s="2">
        <v>100716</v>
      </c>
      <c r="B718" s="1">
        <v>45627</v>
      </c>
      <c r="C718" s="1">
        <v>45630</v>
      </c>
      <c r="D718" s="1">
        <v>45638</v>
      </c>
      <c r="E718" t="s">
        <v>2026</v>
      </c>
      <c r="F718" t="s">
        <v>38</v>
      </c>
      <c r="G718" t="s">
        <v>39</v>
      </c>
      <c r="H718" t="s">
        <v>2027</v>
      </c>
      <c r="I718" t="s">
        <v>191</v>
      </c>
      <c r="J718" t="s">
        <v>62</v>
      </c>
      <c r="K718" t="s">
        <v>145</v>
      </c>
      <c r="L718" t="s">
        <v>113</v>
      </c>
      <c r="M718" t="s">
        <v>38</v>
      </c>
      <c r="N718" t="s">
        <v>45</v>
      </c>
      <c r="O718" t="s">
        <v>46</v>
      </c>
      <c r="P718" t="s">
        <v>123</v>
      </c>
      <c r="Q718">
        <v>254</v>
      </c>
      <c r="R718">
        <v>24.43</v>
      </c>
      <c r="S718">
        <v>6205.22</v>
      </c>
      <c r="T718">
        <v>12.49</v>
      </c>
      <c r="U718">
        <v>8</v>
      </c>
      <c r="V718">
        <v>4906</v>
      </c>
      <c r="W718" t="s">
        <v>36</v>
      </c>
      <c r="X718">
        <v>568.28</v>
      </c>
    </row>
    <row r="719" spans="1:24" x14ac:dyDescent="0.25">
      <c r="A719" s="2">
        <v>100717</v>
      </c>
      <c r="B719" s="1">
        <v>45509</v>
      </c>
      <c r="C719" s="1">
        <v>45511</v>
      </c>
      <c r="D719" s="1">
        <v>45528</v>
      </c>
      <c r="E719" t="s">
        <v>2028</v>
      </c>
      <c r="F719" t="s">
        <v>54</v>
      </c>
      <c r="G719" t="s">
        <v>225</v>
      </c>
      <c r="H719" t="s">
        <v>2029</v>
      </c>
      <c r="I719" t="s">
        <v>116</v>
      </c>
      <c r="J719" t="s">
        <v>62</v>
      </c>
      <c r="K719" t="s">
        <v>1843</v>
      </c>
      <c r="L719" t="s">
        <v>212</v>
      </c>
      <c r="M719" t="s">
        <v>38</v>
      </c>
      <c r="N719" t="s">
        <v>45</v>
      </c>
      <c r="O719" t="s">
        <v>46</v>
      </c>
      <c r="P719" t="s">
        <v>123</v>
      </c>
      <c r="Q719">
        <v>377</v>
      </c>
      <c r="R719">
        <v>41.5</v>
      </c>
      <c r="S719">
        <v>15645.5</v>
      </c>
      <c r="T719">
        <v>19.850000000000001</v>
      </c>
      <c r="U719">
        <v>17</v>
      </c>
      <c r="V719">
        <v>407</v>
      </c>
      <c r="W719" t="s">
        <v>188</v>
      </c>
      <c r="X719">
        <v>961.87</v>
      </c>
    </row>
    <row r="720" spans="1:24" x14ac:dyDescent="0.25">
      <c r="A720" s="2">
        <v>100718</v>
      </c>
      <c r="B720" s="1">
        <v>45563</v>
      </c>
      <c r="C720" s="1">
        <v>45565</v>
      </c>
      <c r="D720" s="1">
        <v>45578</v>
      </c>
      <c r="E720" t="s">
        <v>2030</v>
      </c>
      <c r="F720" t="s">
        <v>25</v>
      </c>
      <c r="G720" t="s">
        <v>169</v>
      </c>
      <c r="H720" t="s">
        <v>2031</v>
      </c>
      <c r="I720" t="s">
        <v>207</v>
      </c>
      <c r="J720" t="s">
        <v>80</v>
      </c>
      <c r="K720" t="s">
        <v>2032</v>
      </c>
      <c r="L720" t="s">
        <v>212</v>
      </c>
      <c r="M720" t="s">
        <v>25</v>
      </c>
      <c r="N720" t="s">
        <v>33</v>
      </c>
      <c r="O720" t="s">
        <v>34</v>
      </c>
      <c r="P720" t="s">
        <v>76</v>
      </c>
      <c r="Q720">
        <v>335</v>
      </c>
      <c r="R720">
        <v>147.88999999999999</v>
      </c>
      <c r="S720">
        <v>49543.15</v>
      </c>
      <c r="T720">
        <v>10.46</v>
      </c>
      <c r="U720">
        <v>13</v>
      </c>
      <c r="V720">
        <v>602</v>
      </c>
      <c r="W720" t="s">
        <v>57</v>
      </c>
      <c r="X720">
        <v>7191.42</v>
      </c>
    </row>
    <row r="721" spans="1:24" x14ac:dyDescent="0.25">
      <c r="A721" s="2">
        <v>100719</v>
      </c>
      <c r="B721" s="1">
        <v>45764</v>
      </c>
      <c r="C721" s="1">
        <v>45767</v>
      </c>
      <c r="D721" s="1">
        <v>45776</v>
      </c>
      <c r="E721" t="s">
        <v>2033</v>
      </c>
      <c r="F721" t="s">
        <v>54</v>
      </c>
      <c r="G721" t="s">
        <v>165</v>
      </c>
      <c r="H721" t="s">
        <v>2034</v>
      </c>
      <c r="I721" t="s">
        <v>28</v>
      </c>
      <c r="J721" t="s">
        <v>29</v>
      </c>
      <c r="K721" t="s">
        <v>231</v>
      </c>
      <c r="L721" t="s">
        <v>64</v>
      </c>
      <c r="M721" t="s">
        <v>65</v>
      </c>
      <c r="N721" t="s">
        <v>55</v>
      </c>
      <c r="O721" t="s">
        <v>56</v>
      </c>
      <c r="P721" t="s">
        <v>123</v>
      </c>
      <c r="Q721">
        <v>346</v>
      </c>
      <c r="R721">
        <v>78.02</v>
      </c>
      <c r="S721">
        <v>26994.92</v>
      </c>
      <c r="T721">
        <v>19.100000000000001</v>
      </c>
      <c r="U721">
        <v>9</v>
      </c>
      <c r="V721">
        <v>2923</v>
      </c>
      <c r="W721" t="s">
        <v>36</v>
      </c>
      <c r="X721">
        <v>6401.61</v>
      </c>
    </row>
    <row r="722" spans="1:24" x14ac:dyDescent="0.25">
      <c r="A722" s="2">
        <v>100720</v>
      </c>
      <c r="B722" s="1">
        <v>45757</v>
      </c>
      <c r="C722" s="1">
        <v>45759</v>
      </c>
      <c r="D722" s="1">
        <v>45762</v>
      </c>
      <c r="E722" t="s">
        <v>2035</v>
      </c>
      <c r="F722" t="s">
        <v>65</v>
      </c>
      <c r="G722" t="s">
        <v>70</v>
      </c>
      <c r="H722" t="s">
        <v>2036</v>
      </c>
      <c r="I722" t="s">
        <v>368</v>
      </c>
      <c r="J722" t="s">
        <v>29</v>
      </c>
      <c r="K722" t="s">
        <v>2037</v>
      </c>
      <c r="L722" t="s">
        <v>113</v>
      </c>
      <c r="M722" t="s">
        <v>38</v>
      </c>
      <c r="N722" t="s">
        <v>66</v>
      </c>
      <c r="O722" t="s">
        <v>67</v>
      </c>
      <c r="P722" t="s">
        <v>35</v>
      </c>
      <c r="Q722">
        <v>252</v>
      </c>
      <c r="R722">
        <v>66.64</v>
      </c>
      <c r="S722">
        <v>16793.28</v>
      </c>
      <c r="T722">
        <v>19.62</v>
      </c>
      <c r="U722">
        <v>3</v>
      </c>
      <c r="V722">
        <v>1218</v>
      </c>
      <c r="W722" t="s">
        <v>57</v>
      </c>
      <c r="X722">
        <v>4446.28</v>
      </c>
    </row>
    <row r="723" spans="1:24" x14ac:dyDescent="0.25">
      <c r="A723" s="2">
        <v>100721</v>
      </c>
      <c r="B723" s="1">
        <v>45313</v>
      </c>
      <c r="C723" s="1">
        <v>45316</v>
      </c>
      <c r="D723" s="1">
        <v>45328</v>
      </c>
      <c r="E723" t="s">
        <v>2038</v>
      </c>
      <c r="F723" t="s">
        <v>25</v>
      </c>
      <c r="G723" t="s">
        <v>59</v>
      </c>
      <c r="H723" t="s">
        <v>2039</v>
      </c>
      <c r="I723" t="s">
        <v>191</v>
      </c>
      <c r="J723" t="s">
        <v>62</v>
      </c>
      <c r="K723" t="s">
        <v>720</v>
      </c>
      <c r="L723" t="s">
        <v>64</v>
      </c>
      <c r="M723" t="s">
        <v>32</v>
      </c>
      <c r="N723" t="s">
        <v>33</v>
      </c>
      <c r="O723" t="s">
        <v>34</v>
      </c>
      <c r="P723" t="s">
        <v>123</v>
      </c>
      <c r="Q723">
        <v>28</v>
      </c>
      <c r="R723">
        <v>38.58</v>
      </c>
      <c r="S723">
        <v>1080.24</v>
      </c>
      <c r="T723">
        <v>11.37</v>
      </c>
      <c r="U723">
        <v>12</v>
      </c>
      <c r="V723">
        <v>670</v>
      </c>
      <c r="W723" t="s">
        <v>36</v>
      </c>
      <c r="X723">
        <v>125.46</v>
      </c>
    </row>
    <row r="724" spans="1:24" x14ac:dyDescent="0.25">
      <c r="A724" s="2">
        <v>100722</v>
      </c>
      <c r="B724" s="1">
        <v>45595</v>
      </c>
      <c r="C724" s="1">
        <v>45599</v>
      </c>
      <c r="D724" s="1">
        <v>45605</v>
      </c>
      <c r="E724" t="s">
        <v>2040</v>
      </c>
      <c r="F724" t="s">
        <v>25</v>
      </c>
      <c r="G724" t="s">
        <v>244</v>
      </c>
      <c r="H724" t="s">
        <v>2041</v>
      </c>
      <c r="I724" t="s">
        <v>85</v>
      </c>
      <c r="J724" t="s">
        <v>52</v>
      </c>
      <c r="K724" t="s">
        <v>1864</v>
      </c>
      <c r="L724" t="s">
        <v>98</v>
      </c>
      <c r="M724" t="s">
        <v>25</v>
      </c>
      <c r="N724" t="s">
        <v>74</v>
      </c>
      <c r="O724" t="s">
        <v>75</v>
      </c>
      <c r="P724" t="s">
        <v>35</v>
      </c>
      <c r="Q724">
        <v>483</v>
      </c>
      <c r="R724">
        <v>37.22</v>
      </c>
      <c r="S724">
        <v>17977.259999999998</v>
      </c>
      <c r="T724">
        <v>19.38</v>
      </c>
      <c r="U724">
        <v>6</v>
      </c>
      <c r="V724">
        <v>868</v>
      </c>
      <c r="W724" t="s">
        <v>57</v>
      </c>
      <c r="X724">
        <v>1803.44</v>
      </c>
    </row>
    <row r="725" spans="1:24" x14ac:dyDescent="0.25">
      <c r="A725" s="2">
        <v>100723</v>
      </c>
      <c r="B725" s="1">
        <v>45841</v>
      </c>
      <c r="C725" s="1">
        <v>45843</v>
      </c>
      <c r="D725" s="1">
        <v>45845</v>
      </c>
      <c r="E725" t="s">
        <v>2042</v>
      </c>
      <c r="F725" t="s">
        <v>65</v>
      </c>
      <c r="G725" t="s">
        <v>154</v>
      </c>
      <c r="H725" t="s">
        <v>2043</v>
      </c>
      <c r="I725" t="s">
        <v>416</v>
      </c>
      <c r="J725" t="s">
        <v>80</v>
      </c>
      <c r="K725" t="s">
        <v>2044</v>
      </c>
      <c r="L725" t="s">
        <v>64</v>
      </c>
      <c r="M725" t="s">
        <v>32</v>
      </c>
      <c r="N725" t="s">
        <v>102</v>
      </c>
      <c r="O725" t="s">
        <v>103</v>
      </c>
      <c r="P725" t="s">
        <v>35</v>
      </c>
      <c r="Q725">
        <v>228</v>
      </c>
      <c r="R725">
        <v>81.39</v>
      </c>
      <c r="S725">
        <v>18556.919999999998</v>
      </c>
      <c r="T725">
        <v>18.940000000000001</v>
      </c>
      <c r="U725">
        <v>2</v>
      </c>
      <c r="V725">
        <v>1381</v>
      </c>
      <c r="W725" t="s">
        <v>36</v>
      </c>
      <c r="X725">
        <v>2700.72</v>
      </c>
    </row>
    <row r="726" spans="1:24" x14ac:dyDescent="0.25">
      <c r="A726" s="2">
        <v>100724</v>
      </c>
      <c r="B726" s="1">
        <v>46000</v>
      </c>
      <c r="C726" s="1">
        <v>46003</v>
      </c>
      <c r="D726" s="1">
        <v>46026</v>
      </c>
      <c r="E726" t="s">
        <v>2045</v>
      </c>
      <c r="F726" t="s">
        <v>32</v>
      </c>
      <c r="G726" t="s">
        <v>110</v>
      </c>
      <c r="H726" t="s">
        <v>2046</v>
      </c>
      <c r="I726" t="s">
        <v>134</v>
      </c>
      <c r="J726" t="s">
        <v>52</v>
      </c>
      <c r="K726" t="s">
        <v>2047</v>
      </c>
      <c r="L726" t="s">
        <v>118</v>
      </c>
      <c r="M726" t="s">
        <v>54</v>
      </c>
      <c r="N726" t="s">
        <v>55</v>
      </c>
      <c r="O726" t="s">
        <v>56</v>
      </c>
      <c r="P726" t="s">
        <v>76</v>
      </c>
      <c r="Q726">
        <v>132</v>
      </c>
      <c r="R726">
        <v>72.23</v>
      </c>
      <c r="S726">
        <v>9534.36</v>
      </c>
      <c r="T726">
        <v>10.42</v>
      </c>
      <c r="U726">
        <v>23</v>
      </c>
      <c r="V726">
        <v>2927</v>
      </c>
      <c r="W726" t="s">
        <v>36</v>
      </c>
      <c r="X726">
        <v>1039.53</v>
      </c>
    </row>
    <row r="727" spans="1:24" x14ac:dyDescent="0.25">
      <c r="A727" s="2">
        <v>100725</v>
      </c>
      <c r="B727" s="1">
        <v>45302</v>
      </c>
      <c r="C727" s="1">
        <v>45306</v>
      </c>
      <c r="D727" s="1">
        <v>45323</v>
      </c>
      <c r="E727" t="s">
        <v>2048</v>
      </c>
      <c r="F727" t="s">
        <v>25</v>
      </c>
      <c r="G727" t="s">
        <v>233</v>
      </c>
      <c r="H727" t="s">
        <v>2049</v>
      </c>
      <c r="I727" t="s">
        <v>144</v>
      </c>
      <c r="J727" t="s">
        <v>52</v>
      </c>
      <c r="K727" t="s">
        <v>1924</v>
      </c>
      <c r="L727" t="s">
        <v>187</v>
      </c>
      <c r="M727" t="s">
        <v>65</v>
      </c>
      <c r="N727" t="s">
        <v>66</v>
      </c>
      <c r="O727" t="s">
        <v>67</v>
      </c>
      <c r="P727" t="s">
        <v>76</v>
      </c>
      <c r="Q727">
        <v>396</v>
      </c>
      <c r="R727">
        <v>35.369999999999997</v>
      </c>
      <c r="S727">
        <v>14006.52</v>
      </c>
      <c r="T727">
        <v>15.24</v>
      </c>
      <c r="U727">
        <v>17</v>
      </c>
      <c r="V727">
        <v>3995</v>
      </c>
      <c r="W727" t="s">
        <v>36</v>
      </c>
      <c r="X727">
        <v>1341.84</v>
      </c>
    </row>
    <row r="728" spans="1:24" x14ac:dyDescent="0.25">
      <c r="A728" s="2">
        <v>100726</v>
      </c>
      <c r="B728" s="1">
        <v>45525</v>
      </c>
      <c r="C728" s="1">
        <v>45529</v>
      </c>
      <c r="D728" s="1">
        <v>45531</v>
      </c>
      <c r="E728" t="s">
        <v>2050</v>
      </c>
      <c r="F728" t="s">
        <v>65</v>
      </c>
      <c r="G728" t="s">
        <v>70</v>
      </c>
      <c r="H728" t="s">
        <v>2051</v>
      </c>
      <c r="I728" t="s">
        <v>134</v>
      </c>
      <c r="J728" t="s">
        <v>52</v>
      </c>
      <c r="K728" t="s">
        <v>2052</v>
      </c>
      <c r="L728" t="s">
        <v>187</v>
      </c>
      <c r="M728" t="s">
        <v>54</v>
      </c>
      <c r="N728" t="s">
        <v>151</v>
      </c>
      <c r="O728" t="s">
        <v>152</v>
      </c>
      <c r="P728" t="s">
        <v>35</v>
      </c>
      <c r="Q728">
        <v>89</v>
      </c>
      <c r="R728">
        <v>30.83</v>
      </c>
      <c r="S728">
        <v>2743.87</v>
      </c>
      <c r="T728">
        <v>15</v>
      </c>
      <c r="U728">
        <v>2</v>
      </c>
      <c r="V728">
        <v>1606</v>
      </c>
      <c r="W728" t="s">
        <v>36</v>
      </c>
      <c r="X728">
        <v>502.34</v>
      </c>
    </row>
    <row r="729" spans="1:24" x14ac:dyDescent="0.25">
      <c r="A729" s="2">
        <v>100727</v>
      </c>
      <c r="B729" s="1">
        <v>45710</v>
      </c>
      <c r="C729" s="1">
        <v>45710</v>
      </c>
      <c r="D729" s="1">
        <v>45719</v>
      </c>
      <c r="E729" t="s">
        <v>2053</v>
      </c>
      <c r="F729" t="s">
        <v>54</v>
      </c>
      <c r="G729" t="s">
        <v>165</v>
      </c>
      <c r="H729" t="s">
        <v>2054</v>
      </c>
      <c r="I729" t="s">
        <v>246</v>
      </c>
      <c r="J729" t="s">
        <v>29</v>
      </c>
      <c r="K729" t="s">
        <v>195</v>
      </c>
      <c r="L729" t="s">
        <v>187</v>
      </c>
      <c r="M729" t="s">
        <v>65</v>
      </c>
      <c r="N729" t="s">
        <v>203</v>
      </c>
      <c r="O729" t="s">
        <v>204</v>
      </c>
      <c r="P729" t="s">
        <v>35</v>
      </c>
      <c r="Q729">
        <v>191</v>
      </c>
      <c r="R729">
        <v>98.39</v>
      </c>
      <c r="S729">
        <v>18792.490000000002</v>
      </c>
      <c r="T729">
        <v>17.89</v>
      </c>
      <c r="U729">
        <v>9</v>
      </c>
      <c r="V729">
        <v>2896</v>
      </c>
      <c r="W729" t="s">
        <v>36</v>
      </c>
      <c r="X729">
        <v>3022.16</v>
      </c>
    </row>
    <row r="730" spans="1:24" x14ac:dyDescent="0.25">
      <c r="A730" s="2">
        <v>100728</v>
      </c>
      <c r="B730" s="1">
        <v>45406</v>
      </c>
      <c r="C730" s="1">
        <v>45411</v>
      </c>
      <c r="D730" s="1">
        <v>45427</v>
      </c>
      <c r="E730" t="s">
        <v>2055</v>
      </c>
      <c r="F730" t="s">
        <v>54</v>
      </c>
      <c r="G730" t="s">
        <v>225</v>
      </c>
      <c r="H730" t="s">
        <v>2056</v>
      </c>
      <c r="I730" t="s">
        <v>139</v>
      </c>
      <c r="J730" t="s">
        <v>42</v>
      </c>
      <c r="K730" t="s">
        <v>1187</v>
      </c>
      <c r="L730" t="s">
        <v>113</v>
      </c>
      <c r="M730" t="s">
        <v>38</v>
      </c>
      <c r="N730" t="s">
        <v>102</v>
      </c>
      <c r="O730" t="s">
        <v>103</v>
      </c>
      <c r="P730" t="s">
        <v>76</v>
      </c>
      <c r="Q730">
        <v>201</v>
      </c>
      <c r="R730">
        <v>400.57</v>
      </c>
      <c r="S730">
        <v>80514.570000000007</v>
      </c>
      <c r="T730">
        <v>11.68</v>
      </c>
      <c r="U730">
        <v>16</v>
      </c>
      <c r="V730">
        <v>1678</v>
      </c>
      <c r="W730" t="s">
        <v>36</v>
      </c>
      <c r="X730">
        <v>15243.69</v>
      </c>
    </row>
    <row r="731" spans="1:24" x14ac:dyDescent="0.25">
      <c r="A731" s="2">
        <v>100729</v>
      </c>
      <c r="B731" s="1">
        <v>45832</v>
      </c>
      <c r="C731" s="1">
        <v>45837</v>
      </c>
      <c r="D731" s="1">
        <v>45847</v>
      </c>
      <c r="E731" t="s">
        <v>2057</v>
      </c>
      <c r="F731" t="s">
        <v>32</v>
      </c>
      <c r="G731" t="s">
        <v>273</v>
      </c>
      <c r="H731" t="s">
        <v>2058</v>
      </c>
      <c r="I731" t="s">
        <v>51</v>
      </c>
      <c r="J731" t="s">
        <v>52</v>
      </c>
      <c r="K731" t="s">
        <v>2059</v>
      </c>
      <c r="L731" t="s">
        <v>118</v>
      </c>
      <c r="M731" t="s">
        <v>25</v>
      </c>
      <c r="N731" t="s">
        <v>151</v>
      </c>
      <c r="O731" t="s">
        <v>152</v>
      </c>
      <c r="P731" t="s">
        <v>35</v>
      </c>
      <c r="Q731">
        <v>181</v>
      </c>
      <c r="R731">
        <v>19.21</v>
      </c>
      <c r="S731">
        <v>3477.01</v>
      </c>
      <c r="T731">
        <v>17.61</v>
      </c>
      <c r="U731">
        <v>10</v>
      </c>
      <c r="V731">
        <v>2959</v>
      </c>
      <c r="W731" t="s">
        <v>36</v>
      </c>
      <c r="X731">
        <v>307.69</v>
      </c>
    </row>
    <row r="732" spans="1:24" x14ac:dyDescent="0.25">
      <c r="A732" s="2">
        <v>100730</v>
      </c>
      <c r="B732" s="1">
        <v>45715</v>
      </c>
      <c r="C732" s="1">
        <v>45719</v>
      </c>
      <c r="D732" s="1">
        <v>45741</v>
      </c>
      <c r="E732" t="s">
        <v>2060</v>
      </c>
      <c r="F732" t="s">
        <v>38</v>
      </c>
      <c r="G732" t="s">
        <v>83</v>
      </c>
      <c r="H732" t="s">
        <v>2061</v>
      </c>
      <c r="I732" t="s">
        <v>177</v>
      </c>
      <c r="J732" t="s">
        <v>29</v>
      </c>
      <c r="K732" t="s">
        <v>2062</v>
      </c>
      <c r="L732" t="s">
        <v>91</v>
      </c>
      <c r="M732" t="s">
        <v>32</v>
      </c>
      <c r="N732" t="s">
        <v>151</v>
      </c>
      <c r="O732" t="s">
        <v>152</v>
      </c>
      <c r="P732" t="s">
        <v>76</v>
      </c>
      <c r="Q732">
        <v>353</v>
      </c>
      <c r="R732">
        <v>71.12</v>
      </c>
      <c r="S732">
        <v>25105.360000000001</v>
      </c>
      <c r="T732">
        <v>14.45</v>
      </c>
      <c r="U732">
        <v>22</v>
      </c>
      <c r="V732">
        <v>2588</v>
      </c>
      <c r="W732" t="s">
        <v>47</v>
      </c>
      <c r="X732">
        <v>-156.09</v>
      </c>
    </row>
    <row r="733" spans="1:24" x14ac:dyDescent="0.25">
      <c r="A733" s="2">
        <v>100731</v>
      </c>
      <c r="B733" s="1">
        <v>45755</v>
      </c>
      <c r="C733" s="1">
        <v>45756</v>
      </c>
      <c r="D733" s="1">
        <v>45761</v>
      </c>
      <c r="E733" t="s">
        <v>2063</v>
      </c>
      <c r="F733" t="s">
        <v>65</v>
      </c>
      <c r="G733" t="s">
        <v>154</v>
      </c>
      <c r="H733" t="s">
        <v>2064</v>
      </c>
      <c r="I733" t="s">
        <v>28</v>
      </c>
      <c r="J733" t="s">
        <v>29</v>
      </c>
      <c r="K733" t="s">
        <v>971</v>
      </c>
      <c r="L733" t="s">
        <v>118</v>
      </c>
      <c r="M733" t="s">
        <v>65</v>
      </c>
      <c r="N733" t="s">
        <v>151</v>
      </c>
      <c r="O733" t="s">
        <v>152</v>
      </c>
      <c r="P733" t="s">
        <v>68</v>
      </c>
      <c r="Q733">
        <v>382</v>
      </c>
      <c r="R733">
        <v>49.62</v>
      </c>
      <c r="S733">
        <v>18954.84</v>
      </c>
      <c r="T733">
        <v>39.46</v>
      </c>
      <c r="U733">
        <v>5</v>
      </c>
      <c r="V733">
        <v>2605</v>
      </c>
      <c r="W733" t="s">
        <v>36</v>
      </c>
      <c r="X733">
        <v>4326.5200000000004</v>
      </c>
    </row>
    <row r="734" spans="1:24" x14ac:dyDescent="0.25">
      <c r="A734" s="2">
        <v>100732</v>
      </c>
      <c r="B734" s="1">
        <v>45461</v>
      </c>
      <c r="C734" s="1">
        <v>45465</v>
      </c>
      <c r="D734" s="1">
        <v>45469</v>
      </c>
      <c r="E734" t="s">
        <v>2065</v>
      </c>
      <c r="F734" t="s">
        <v>54</v>
      </c>
      <c r="G734" t="s">
        <v>158</v>
      </c>
      <c r="H734" t="s">
        <v>2066</v>
      </c>
      <c r="I734" t="s">
        <v>134</v>
      </c>
      <c r="J734" t="s">
        <v>52</v>
      </c>
      <c r="K734" t="s">
        <v>425</v>
      </c>
      <c r="L734" t="s">
        <v>31</v>
      </c>
      <c r="M734" t="s">
        <v>32</v>
      </c>
      <c r="N734" t="s">
        <v>74</v>
      </c>
      <c r="O734" t="s">
        <v>75</v>
      </c>
      <c r="P734" t="s">
        <v>68</v>
      </c>
      <c r="Q734">
        <v>413</v>
      </c>
      <c r="R734">
        <v>37.229999999999997</v>
      </c>
      <c r="S734">
        <v>15375.99</v>
      </c>
      <c r="T734">
        <v>55.27</v>
      </c>
      <c r="U734">
        <v>4</v>
      </c>
      <c r="V734">
        <v>1043</v>
      </c>
      <c r="W734" t="s">
        <v>36</v>
      </c>
      <c r="X734">
        <v>1873.38</v>
      </c>
    </row>
    <row r="735" spans="1:24" x14ac:dyDescent="0.25">
      <c r="A735" s="2">
        <v>100733</v>
      </c>
      <c r="B735" s="1">
        <v>45299</v>
      </c>
      <c r="C735" s="1">
        <v>45299</v>
      </c>
      <c r="D735" s="1">
        <v>45313</v>
      </c>
      <c r="E735" t="s">
        <v>2067</v>
      </c>
      <c r="F735" t="s">
        <v>32</v>
      </c>
      <c r="G735" t="s">
        <v>364</v>
      </c>
      <c r="H735" t="s">
        <v>2068</v>
      </c>
      <c r="I735" t="s">
        <v>79</v>
      </c>
      <c r="J735" t="s">
        <v>80</v>
      </c>
      <c r="K735" t="s">
        <v>960</v>
      </c>
      <c r="L735" t="s">
        <v>212</v>
      </c>
      <c r="M735" t="s">
        <v>32</v>
      </c>
      <c r="N735" t="s">
        <v>203</v>
      </c>
      <c r="O735" t="s">
        <v>204</v>
      </c>
      <c r="P735" t="s">
        <v>123</v>
      </c>
      <c r="Q735">
        <v>254</v>
      </c>
      <c r="R735">
        <v>160.9</v>
      </c>
      <c r="S735">
        <v>40868.6</v>
      </c>
      <c r="T735">
        <v>12.49</v>
      </c>
      <c r="U735">
        <v>14</v>
      </c>
      <c r="V735">
        <v>604</v>
      </c>
      <c r="W735" t="s">
        <v>36</v>
      </c>
      <c r="X735">
        <v>7009.69</v>
      </c>
    </row>
    <row r="736" spans="1:24" x14ac:dyDescent="0.25">
      <c r="A736" s="2">
        <v>100734</v>
      </c>
      <c r="B736" s="1">
        <v>45615</v>
      </c>
      <c r="C736" s="1">
        <v>45619</v>
      </c>
      <c r="D736" s="1">
        <v>45632</v>
      </c>
      <c r="E736" t="s">
        <v>346</v>
      </c>
      <c r="F736" t="s">
        <v>38</v>
      </c>
      <c r="G736" t="s">
        <v>49</v>
      </c>
      <c r="H736" t="s">
        <v>2069</v>
      </c>
      <c r="I736" t="s">
        <v>207</v>
      </c>
      <c r="J736" t="s">
        <v>80</v>
      </c>
      <c r="K736" t="s">
        <v>247</v>
      </c>
      <c r="L736" t="s">
        <v>212</v>
      </c>
      <c r="M736" t="s">
        <v>65</v>
      </c>
      <c r="N736" t="s">
        <v>92</v>
      </c>
      <c r="O736" t="s">
        <v>93</v>
      </c>
      <c r="P736" t="s">
        <v>76</v>
      </c>
      <c r="Q736">
        <v>97</v>
      </c>
      <c r="R736">
        <v>244.34</v>
      </c>
      <c r="S736">
        <v>23700.98</v>
      </c>
      <c r="T736">
        <v>9.7899999999999991</v>
      </c>
      <c r="U736">
        <v>13</v>
      </c>
      <c r="V736">
        <v>1025</v>
      </c>
      <c r="W736" t="s">
        <v>36</v>
      </c>
      <c r="X736">
        <v>4306.1499999999996</v>
      </c>
    </row>
    <row r="737" spans="1:24" x14ac:dyDescent="0.25">
      <c r="A737" s="2">
        <v>100735</v>
      </c>
      <c r="B737" s="1">
        <v>45434</v>
      </c>
      <c r="C737" s="1">
        <v>45438</v>
      </c>
      <c r="D737" s="1">
        <v>45460</v>
      </c>
      <c r="E737" t="s">
        <v>2070</v>
      </c>
      <c r="F737" t="s">
        <v>32</v>
      </c>
      <c r="G737" t="s">
        <v>255</v>
      </c>
      <c r="H737" t="s">
        <v>2071</v>
      </c>
      <c r="I737" t="s">
        <v>116</v>
      </c>
      <c r="J737" t="s">
        <v>62</v>
      </c>
      <c r="K737" t="s">
        <v>1286</v>
      </c>
      <c r="L737" t="s">
        <v>118</v>
      </c>
      <c r="M737" t="s">
        <v>32</v>
      </c>
      <c r="N737" t="s">
        <v>66</v>
      </c>
      <c r="O737" t="s">
        <v>67</v>
      </c>
      <c r="P737" t="s">
        <v>76</v>
      </c>
      <c r="Q737">
        <v>307</v>
      </c>
      <c r="R737">
        <v>35.58</v>
      </c>
      <c r="S737">
        <v>10923.06</v>
      </c>
      <c r="T737">
        <v>10.08</v>
      </c>
      <c r="U737">
        <v>22</v>
      </c>
      <c r="V737">
        <v>3898</v>
      </c>
      <c r="W737" t="s">
        <v>36</v>
      </c>
      <c r="X737">
        <v>901</v>
      </c>
    </row>
    <row r="738" spans="1:24" x14ac:dyDescent="0.25">
      <c r="A738" s="2">
        <v>100736</v>
      </c>
      <c r="B738" s="1">
        <v>45343</v>
      </c>
      <c r="C738" s="1">
        <v>45343</v>
      </c>
      <c r="D738" s="1">
        <v>45348</v>
      </c>
      <c r="E738" t="s">
        <v>2072</v>
      </c>
      <c r="F738" t="s">
        <v>38</v>
      </c>
      <c r="G738" t="s">
        <v>49</v>
      </c>
      <c r="H738" t="s">
        <v>2073</v>
      </c>
      <c r="I738" t="s">
        <v>230</v>
      </c>
      <c r="J738" t="s">
        <v>80</v>
      </c>
      <c r="K738" t="s">
        <v>1308</v>
      </c>
      <c r="L738" t="s">
        <v>212</v>
      </c>
      <c r="M738" t="s">
        <v>32</v>
      </c>
      <c r="N738" t="s">
        <v>74</v>
      </c>
      <c r="O738" t="s">
        <v>75</v>
      </c>
      <c r="P738" t="s">
        <v>68</v>
      </c>
      <c r="Q738">
        <v>382</v>
      </c>
      <c r="R738">
        <v>324.89999999999998</v>
      </c>
      <c r="S738">
        <v>124111.8</v>
      </c>
      <c r="T738">
        <v>53.27</v>
      </c>
      <c r="U738">
        <v>5</v>
      </c>
      <c r="V738">
        <v>2074</v>
      </c>
      <c r="W738" t="s">
        <v>36</v>
      </c>
      <c r="X738">
        <v>18309.490000000002</v>
      </c>
    </row>
    <row r="739" spans="1:24" x14ac:dyDescent="0.25">
      <c r="A739" s="2">
        <v>100737</v>
      </c>
      <c r="B739" s="1">
        <v>45998</v>
      </c>
      <c r="C739" s="1">
        <v>45999</v>
      </c>
      <c r="D739" s="1">
        <v>46005</v>
      </c>
      <c r="E739" t="s">
        <v>2074</v>
      </c>
      <c r="F739" t="s">
        <v>38</v>
      </c>
      <c r="G739" t="s">
        <v>147</v>
      </c>
      <c r="H739" t="s">
        <v>2075</v>
      </c>
      <c r="I739" t="s">
        <v>126</v>
      </c>
      <c r="J739" t="s">
        <v>42</v>
      </c>
      <c r="K739" t="s">
        <v>285</v>
      </c>
      <c r="L739" t="s">
        <v>64</v>
      </c>
      <c r="M739" t="s">
        <v>32</v>
      </c>
      <c r="N739" t="s">
        <v>151</v>
      </c>
      <c r="O739" t="s">
        <v>152</v>
      </c>
      <c r="P739" t="s">
        <v>35</v>
      </c>
      <c r="Q739">
        <v>165</v>
      </c>
      <c r="R739">
        <v>165.29</v>
      </c>
      <c r="S739">
        <v>27272.85</v>
      </c>
      <c r="T739">
        <v>17.149999999999999</v>
      </c>
      <c r="U739">
        <v>6</v>
      </c>
      <c r="V739">
        <v>1668</v>
      </c>
      <c r="W739" t="s">
        <v>36</v>
      </c>
      <c r="X739">
        <v>2235.87</v>
      </c>
    </row>
    <row r="740" spans="1:24" x14ac:dyDescent="0.25">
      <c r="A740" s="2">
        <v>100738</v>
      </c>
      <c r="B740" s="1">
        <v>45602</v>
      </c>
      <c r="C740" s="1">
        <v>45603</v>
      </c>
      <c r="D740" s="1">
        <v>45604</v>
      </c>
      <c r="E740" t="s">
        <v>2076</v>
      </c>
      <c r="F740" t="s">
        <v>54</v>
      </c>
      <c r="G740" t="s">
        <v>129</v>
      </c>
      <c r="H740" t="s">
        <v>2077</v>
      </c>
      <c r="I740" t="s">
        <v>177</v>
      </c>
      <c r="J740" t="s">
        <v>29</v>
      </c>
      <c r="K740" t="s">
        <v>1552</v>
      </c>
      <c r="L740" t="s">
        <v>98</v>
      </c>
      <c r="M740" t="s">
        <v>32</v>
      </c>
      <c r="N740" t="s">
        <v>45</v>
      </c>
      <c r="O740" t="s">
        <v>46</v>
      </c>
      <c r="P740" t="s">
        <v>68</v>
      </c>
      <c r="Q740">
        <v>220</v>
      </c>
      <c r="R740">
        <v>25.95</v>
      </c>
      <c r="S740">
        <v>5709</v>
      </c>
      <c r="T740">
        <v>42.77</v>
      </c>
      <c r="U740">
        <v>1</v>
      </c>
      <c r="V740">
        <v>763</v>
      </c>
      <c r="W740" t="s">
        <v>36</v>
      </c>
      <c r="X740">
        <v>1564.02</v>
      </c>
    </row>
    <row r="741" spans="1:24" x14ac:dyDescent="0.25">
      <c r="A741" s="2">
        <v>100739</v>
      </c>
      <c r="B741" s="1">
        <v>45622</v>
      </c>
      <c r="C741" s="1">
        <v>45626</v>
      </c>
      <c r="D741" s="1">
        <v>45628</v>
      </c>
      <c r="E741" t="s">
        <v>2078</v>
      </c>
      <c r="F741" t="s">
        <v>32</v>
      </c>
      <c r="G741" t="s">
        <v>273</v>
      </c>
      <c r="H741" t="s">
        <v>2079</v>
      </c>
      <c r="I741" t="s">
        <v>149</v>
      </c>
      <c r="J741" t="s">
        <v>42</v>
      </c>
      <c r="K741" t="s">
        <v>1659</v>
      </c>
      <c r="L741" t="s">
        <v>212</v>
      </c>
      <c r="M741" t="s">
        <v>65</v>
      </c>
      <c r="N741" t="s">
        <v>55</v>
      </c>
      <c r="O741" t="s">
        <v>56</v>
      </c>
      <c r="P741" t="s">
        <v>35</v>
      </c>
      <c r="Q741">
        <v>291</v>
      </c>
      <c r="R741">
        <v>253.86</v>
      </c>
      <c r="S741">
        <v>73873.259999999995</v>
      </c>
      <c r="T741">
        <v>20.72</v>
      </c>
      <c r="U741">
        <v>2</v>
      </c>
      <c r="V741">
        <v>1103</v>
      </c>
      <c r="W741" t="s">
        <v>36</v>
      </c>
      <c r="X741">
        <v>10108.99</v>
      </c>
    </row>
    <row r="742" spans="1:24" x14ac:dyDescent="0.25">
      <c r="A742" s="2">
        <v>100740</v>
      </c>
      <c r="B742" s="1">
        <v>45396</v>
      </c>
      <c r="C742" s="1">
        <v>45396</v>
      </c>
      <c r="D742" s="1">
        <v>45415</v>
      </c>
      <c r="E742" t="s">
        <v>2080</v>
      </c>
      <c r="F742" t="s">
        <v>38</v>
      </c>
      <c r="G742" t="s">
        <v>49</v>
      </c>
      <c r="H742" t="s">
        <v>2081</v>
      </c>
      <c r="I742" t="s">
        <v>89</v>
      </c>
      <c r="J742" t="s">
        <v>62</v>
      </c>
      <c r="K742" t="s">
        <v>131</v>
      </c>
      <c r="L742" t="s">
        <v>64</v>
      </c>
      <c r="M742" t="s">
        <v>25</v>
      </c>
      <c r="N742" t="s">
        <v>92</v>
      </c>
      <c r="O742" t="s">
        <v>93</v>
      </c>
      <c r="P742" t="s">
        <v>76</v>
      </c>
      <c r="Q742">
        <v>267</v>
      </c>
      <c r="R742">
        <v>9.77</v>
      </c>
      <c r="S742">
        <v>2608.59</v>
      </c>
      <c r="T742">
        <v>12.89</v>
      </c>
      <c r="U742">
        <v>19</v>
      </c>
      <c r="V742">
        <v>4857</v>
      </c>
      <c r="W742" t="s">
        <v>36</v>
      </c>
      <c r="X742">
        <v>-86.35</v>
      </c>
    </row>
    <row r="743" spans="1:24" x14ac:dyDescent="0.25">
      <c r="A743" s="2">
        <v>100741</v>
      </c>
      <c r="B743" s="1">
        <v>45676</v>
      </c>
      <c r="C743" s="1">
        <v>45679</v>
      </c>
      <c r="D743" s="1">
        <v>45699</v>
      </c>
      <c r="E743" t="s">
        <v>2082</v>
      </c>
      <c r="F743" t="s">
        <v>38</v>
      </c>
      <c r="G743" t="s">
        <v>147</v>
      </c>
      <c r="H743" t="s">
        <v>2083</v>
      </c>
      <c r="I743" t="s">
        <v>207</v>
      </c>
      <c r="J743" t="s">
        <v>80</v>
      </c>
      <c r="K743" t="s">
        <v>1332</v>
      </c>
      <c r="L743" t="s">
        <v>122</v>
      </c>
      <c r="M743" t="s">
        <v>54</v>
      </c>
      <c r="N743" t="s">
        <v>92</v>
      </c>
      <c r="O743" t="s">
        <v>93</v>
      </c>
      <c r="P743" t="s">
        <v>76</v>
      </c>
      <c r="Q743">
        <v>105</v>
      </c>
      <c r="R743">
        <v>125.88</v>
      </c>
      <c r="S743">
        <v>13217.4</v>
      </c>
      <c r="T743">
        <v>9.93</v>
      </c>
      <c r="U743">
        <v>20</v>
      </c>
      <c r="V743">
        <v>1995</v>
      </c>
      <c r="W743" t="s">
        <v>36</v>
      </c>
      <c r="X743">
        <v>3001.99</v>
      </c>
    </row>
    <row r="744" spans="1:24" x14ac:dyDescent="0.25">
      <c r="A744" s="2">
        <v>100742</v>
      </c>
      <c r="B744" s="1">
        <v>45708</v>
      </c>
      <c r="C744" s="1">
        <v>45713</v>
      </c>
      <c r="D744" s="1">
        <v>45719</v>
      </c>
      <c r="E744" t="s">
        <v>2084</v>
      </c>
      <c r="F744" t="s">
        <v>32</v>
      </c>
      <c r="G744" t="s">
        <v>273</v>
      </c>
      <c r="H744" t="s">
        <v>2085</v>
      </c>
      <c r="I744" t="s">
        <v>191</v>
      </c>
      <c r="J744" t="s">
        <v>62</v>
      </c>
      <c r="K744" t="s">
        <v>2086</v>
      </c>
      <c r="L744" t="s">
        <v>187</v>
      </c>
      <c r="M744" t="s">
        <v>54</v>
      </c>
      <c r="N744" t="s">
        <v>151</v>
      </c>
      <c r="O744" t="s">
        <v>152</v>
      </c>
      <c r="P744" t="s">
        <v>123</v>
      </c>
      <c r="Q744">
        <v>120</v>
      </c>
      <c r="R744">
        <v>21.12</v>
      </c>
      <c r="S744">
        <v>2534.4</v>
      </c>
      <c r="T744">
        <v>13.61</v>
      </c>
      <c r="U744">
        <v>6</v>
      </c>
      <c r="V744">
        <v>3472</v>
      </c>
      <c r="W744" t="s">
        <v>36</v>
      </c>
      <c r="X744">
        <v>276.66000000000003</v>
      </c>
    </row>
    <row r="745" spans="1:24" x14ac:dyDescent="0.25">
      <c r="A745" s="2">
        <v>100743</v>
      </c>
      <c r="B745" s="1">
        <v>46002</v>
      </c>
      <c r="C745" s="1">
        <v>46002</v>
      </c>
      <c r="D745" s="1">
        <v>46006</v>
      </c>
      <c r="E745" t="s">
        <v>2067</v>
      </c>
      <c r="F745" t="s">
        <v>54</v>
      </c>
      <c r="G745" t="s">
        <v>193</v>
      </c>
      <c r="H745" t="s">
        <v>2087</v>
      </c>
      <c r="I745" t="s">
        <v>191</v>
      </c>
      <c r="J745" t="s">
        <v>62</v>
      </c>
      <c r="K745" t="s">
        <v>2088</v>
      </c>
      <c r="L745" t="s">
        <v>44</v>
      </c>
      <c r="M745" t="s">
        <v>32</v>
      </c>
      <c r="N745" t="s">
        <v>92</v>
      </c>
      <c r="O745" t="s">
        <v>93</v>
      </c>
      <c r="P745" t="s">
        <v>68</v>
      </c>
      <c r="Q745">
        <v>117</v>
      </c>
      <c r="R745">
        <v>27.48</v>
      </c>
      <c r="S745">
        <v>3215.16</v>
      </c>
      <c r="T745">
        <v>36.090000000000003</v>
      </c>
      <c r="U745">
        <v>4</v>
      </c>
      <c r="V745">
        <v>2116</v>
      </c>
      <c r="W745" t="s">
        <v>36</v>
      </c>
      <c r="X745">
        <v>209.74</v>
      </c>
    </row>
    <row r="746" spans="1:24" x14ac:dyDescent="0.25">
      <c r="A746" s="2">
        <v>100744</v>
      </c>
      <c r="B746" s="1">
        <v>45400</v>
      </c>
      <c r="C746" s="1">
        <v>45401</v>
      </c>
      <c r="D746" s="1">
        <v>45407</v>
      </c>
      <c r="E746" t="s">
        <v>2089</v>
      </c>
      <c r="F746" t="s">
        <v>65</v>
      </c>
      <c r="G746" t="s">
        <v>154</v>
      </c>
      <c r="H746" t="s">
        <v>2090</v>
      </c>
      <c r="I746" t="s">
        <v>61</v>
      </c>
      <c r="J746" t="s">
        <v>62</v>
      </c>
      <c r="K746" t="s">
        <v>395</v>
      </c>
      <c r="L746" t="s">
        <v>91</v>
      </c>
      <c r="M746" t="s">
        <v>25</v>
      </c>
      <c r="N746" t="s">
        <v>55</v>
      </c>
      <c r="O746" t="s">
        <v>56</v>
      </c>
      <c r="P746" t="s">
        <v>123</v>
      </c>
      <c r="Q746">
        <v>273</v>
      </c>
      <c r="R746">
        <v>48.25</v>
      </c>
      <c r="S746">
        <v>13172.25</v>
      </c>
      <c r="T746">
        <v>17.329999999999998</v>
      </c>
      <c r="U746">
        <v>6</v>
      </c>
      <c r="V746">
        <v>4930</v>
      </c>
      <c r="W746" t="s">
        <v>47</v>
      </c>
      <c r="X746">
        <v>-132.99</v>
      </c>
    </row>
    <row r="747" spans="1:24" x14ac:dyDescent="0.25">
      <c r="A747" s="2">
        <v>100745</v>
      </c>
      <c r="B747" s="1">
        <v>45602</v>
      </c>
      <c r="C747" s="1">
        <v>45603</v>
      </c>
      <c r="D747" s="1">
        <v>45612</v>
      </c>
      <c r="E747" t="s">
        <v>2091</v>
      </c>
      <c r="F747" t="s">
        <v>65</v>
      </c>
      <c r="G747" t="s">
        <v>154</v>
      </c>
      <c r="H747" t="s">
        <v>2092</v>
      </c>
      <c r="I747" t="s">
        <v>144</v>
      </c>
      <c r="J747" t="s">
        <v>52</v>
      </c>
      <c r="K747" t="s">
        <v>2093</v>
      </c>
      <c r="L747" t="s">
        <v>212</v>
      </c>
      <c r="M747" t="s">
        <v>38</v>
      </c>
      <c r="N747" t="s">
        <v>102</v>
      </c>
      <c r="O747" t="s">
        <v>103</v>
      </c>
      <c r="P747" t="s">
        <v>123</v>
      </c>
      <c r="Q747">
        <v>278</v>
      </c>
      <c r="R747">
        <v>74.27</v>
      </c>
      <c r="S747">
        <v>20647.060000000001</v>
      </c>
      <c r="T747">
        <v>17.45</v>
      </c>
      <c r="U747">
        <v>9</v>
      </c>
      <c r="V747">
        <v>3191</v>
      </c>
      <c r="W747" t="s">
        <v>36</v>
      </c>
      <c r="X747">
        <v>2999.36</v>
      </c>
    </row>
    <row r="748" spans="1:24" x14ac:dyDescent="0.25">
      <c r="A748" s="2">
        <v>100746</v>
      </c>
      <c r="B748" s="1">
        <v>45392</v>
      </c>
      <c r="C748" s="1">
        <v>45393</v>
      </c>
      <c r="D748" s="1">
        <v>45395</v>
      </c>
      <c r="E748" t="s">
        <v>366</v>
      </c>
      <c r="F748" t="s">
        <v>38</v>
      </c>
      <c r="G748" t="s">
        <v>217</v>
      </c>
      <c r="H748" t="s">
        <v>2094</v>
      </c>
      <c r="I748" t="s">
        <v>182</v>
      </c>
      <c r="J748" t="s">
        <v>80</v>
      </c>
      <c r="K748" t="s">
        <v>2095</v>
      </c>
      <c r="L748" t="s">
        <v>187</v>
      </c>
      <c r="M748" t="s">
        <v>32</v>
      </c>
      <c r="N748" t="s">
        <v>102</v>
      </c>
      <c r="O748" t="s">
        <v>103</v>
      </c>
      <c r="P748" t="s">
        <v>35</v>
      </c>
      <c r="Q748">
        <v>165</v>
      </c>
      <c r="R748">
        <v>200.87</v>
      </c>
      <c r="S748">
        <v>33143.550000000003</v>
      </c>
      <c r="T748">
        <v>17.149999999999999</v>
      </c>
      <c r="U748">
        <v>2</v>
      </c>
      <c r="V748">
        <v>1029</v>
      </c>
      <c r="W748" t="s">
        <v>36</v>
      </c>
      <c r="X748">
        <v>5815.32</v>
      </c>
    </row>
    <row r="749" spans="1:24" x14ac:dyDescent="0.25">
      <c r="A749" s="2">
        <v>100747</v>
      </c>
      <c r="B749" s="1">
        <v>45393</v>
      </c>
      <c r="C749" s="1">
        <v>45393</v>
      </c>
      <c r="D749" s="1">
        <v>45397</v>
      </c>
      <c r="E749" t="s">
        <v>2096</v>
      </c>
      <c r="F749" t="s">
        <v>25</v>
      </c>
      <c r="G749" t="s">
        <v>221</v>
      </c>
      <c r="H749" t="s">
        <v>2097</v>
      </c>
      <c r="I749" t="s">
        <v>79</v>
      </c>
      <c r="J749" t="s">
        <v>80</v>
      </c>
      <c r="K749" t="s">
        <v>186</v>
      </c>
      <c r="L749" t="s">
        <v>187</v>
      </c>
      <c r="M749" t="s">
        <v>32</v>
      </c>
      <c r="N749" t="s">
        <v>107</v>
      </c>
      <c r="O749" t="s">
        <v>108</v>
      </c>
      <c r="P749" t="s">
        <v>123</v>
      </c>
      <c r="Q749">
        <v>231</v>
      </c>
      <c r="R749">
        <v>106.54</v>
      </c>
      <c r="S749">
        <v>24610.74</v>
      </c>
      <c r="T749">
        <v>16.309999999999999</v>
      </c>
      <c r="U749">
        <v>4</v>
      </c>
      <c r="V749">
        <v>2157</v>
      </c>
      <c r="W749" t="s">
        <v>36</v>
      </c>
      <c r="X749">
        <v>5861.61</v>
      </c>
    </row>
    <row r="750" spans="1:24" x14ac:dyDescent="0.25">
      <c r="A750" s="2">
        <v>100748</v>
      </c>
      <c r="B750" s="1">
        <v>45836</v>
      </c>
      <c r="C750" s="1">
        <v>45839</v>
      </c>
      <c r="D750" s="1">
        <v>45847</v>
      </c>
      <c r="E750" t="s">
        <v>2098</v>
      </c>
      <c r="F750" t="s">
        <v>54</v>
      </c>
      <c r="G750" t="s">
        <v>165</v>
      </c>
      <c r="H750" t="s">
        <v>2099</v>
      </c>
      <c r="I750" t="s">
        <v>177</v>
      </c>
      <c r="J750" t="s">
        <v>29</v>
      </c>
      <c r="K750" t="s">
        <v>2100</v>
      </c>
      <c r="L750" t="s">
        <v>122</v>
      </c>
      <c r="M750" t="s">
        <v>54</v>
      </c>
      <c r="N750" t="s">
        <v>107</v>
      </c>
      <c r="O750" t="s">
        <v>108</v>
      </c>
      <c r="P750" t="s">
        <v>123</v>
      </c>
      <c r="Q750">
        <v>414</v>
      </c>
      <c r="R750">
        <v>87.08</v>
      </c>
      <c r="S750">
        <v>36051.120000000003</v>
      </c>
      <c r="T750">
        <v>15.37</v>
      </c>
      <c r="U750">
        <v>8</v>
      </c>
      <c r="V750">
        <v>1025</v>
      </c>
      <c r="W750" t="s">
        <v>36</v>
      </c>
      <c r="X750">
        <v>8812.99</v>
      </c>
    </row>
    <row r="751" spans="1:24" x14ac:dyDescent="0.25">
      <c r="A751" s="2">
        <v>100749</v>
      </c>
      <c r="B751" s="1">
        <v>45955</v>
      </c>
      <c r="C751" s="1">
        <v>45956</v>
      </c>
      <c r="D751" s="1">
        <v>45965</v>
      </c>
      <c r="E751" t="s">
        <v>2101</v>
      </c>
      <c r="F751" t="s">
        <v>38</v>
      </c>
      <c r="G751" t="s">
        <v>49</v>
      </c>
      <c r="H751" t="s">
        <v>2102</v>
      </c>
      <c r="I751" t="s">
        <v>182</v>
      </c>
      <c r="J751" t="s">
        <v>80</v>
      </c>
      <c r="K751" t="s">
        <v>1099</v>
      </c>
      <c r="L751" t="s">
        <v>44</v>
      </c>
      <c r="M751" t="s">
        <v>38</v>
      </c>
      <c r="N751" t="s">
        <v>33</v>
      </c>
      <c r="O751" t="s">
        <v>34</v>
      </c>
      <c r="P751" t="s">
        <v>35</v>
      </c>
      <c r="Q751">
        <v>337</v>
      </c>
      <c r="R751">
        <v>127.32</v>
      </c>
      <c r="S751">
        <v>42906.84</v>
      </c>
      <c r="T751">
        <v>16.32</v>
      </c>
      <c r="U751">
        <v>9</v>
      </c>
      <c r="V751">
        <v>639</v>
      </c>
      <c r="W751" t="s">
        <v>57</v>
      </c>
      <c r="X751">
        <v>5749.16</v>
      </c>
    </row>
    <row r="752" spans="1:24" x14ac:dyDescent="0.25">
      <c r="A752" s="2">
        <v>100750</v>
      </c>
      <c r="B752" s="1">
        <v>45826</v>
      </c>
      <c r="C752" s="1">
        <v>45831</v>
      </c>
      <c r="D752" s="1">
        <v>45854</v>
      </c>
      <c r="E752" t="s">
        <v>2103</v>
      </c>
      <c r="F752" t="s">
        <v>38</v>
      </c>
      <c r="G752" t="s">
        <v>147</v>
      </c>
      <c r="H752" t="s">
        <v>2104</v>
      </c>
      <c r="I752" t="s">
        <v>61</v>
      </c>
      <c r="J752" t="s">
        <v>62</v>
      </c>
      <c r="K752" t="s">
        <v>53</v>
      </c>
      <c r="L752" t="s">
        <v>91</v>
      </c>
      <c r="M752" t="s">
        <v>65</v>
      </c>
      <c r="N752" t="s">
        <v>92</v>
      </c>
      <c r="O752" t="s">
        <v>93</v>
      </c>
      <c r="P752" t="s">
        <v>76</v>
      </c>
      <c r="Q752">
        <v>317</v>
      </c>
      <c r="R752">
        <v>39.229999999999997</v>
      </c>
      <c r="S752">
        <v>12435.91</v>
      </c>
      <c r="T752">
        <v>13.8</v>
      </c>
      <c r="U752">
        <v>23</v>
      </c>
      <c r="V752">
        <v>4720</v>
      </c>
      <c r="W752" t="s">
        <v>36</v>
      </c>
      <c r="X752">
        <v>1593.69</v>
      </c>
    </row>
    <row r="753" spans="1:24" x14ac:dyDescent="0.25">
      <c r="A753" s="2">
        <v>100751</v>
      </c>
      <c r="B753" s="1">
        <v>45793</v>
      </c>
      <c r="C753" s="1">
        <v>45793</v>
      </c>
      <c r="D753" s="1">
        <v>45800</v>
      </c>
      <c r="E753" t="s">
        <v>2105</v>
      </c>
      <c r="F753" t="s">
        <v>32</v>
      </c>
      <c r="G753" t="s">
        <v>137</v>
      </c>
      <c r="H753" t="s">
        <v>2106</v>
      </c>
      <c r="I753" t="s">
        <v>85</v>
      </c>
      <c r="J753" t="s">
        <v>52</v>
      </c>
      <c r="K753" t="s">
        <v>2107</v>
      </c>
      <c r="L753" t="s">
        <v>113</v>
      </c>
      <c r="M753" t="s">
        <v>25</v>
      </c>
      <c r="N753" t="s">
        <v>107</v>
      </c>
      <c r="O753" t="s">
        <v>108</v>
      </c>
      <c r="P753" t="s">
        <v>35</v>
      </c>
      <c r="Q753">
        <v>479</v>
      </c>
      <c r="R753">
        <v>48.33</v>
      </c>
      <c r="S753">
        <v>23150.07</v>
      </c>
      <c r="T753">
        <v>26.05</v>
      </c>
      <c r="U753">
        <v>7</v>
      </c>
      <c r="V753">
        <v>1756</v>
      </c>
      <c r="W753" t="s">
        <v>36</v>
      </c>
      <c r="X753">
        <v>2343.61</v>
      </c>
    </row>
    <row r="754" spans="1:24" x14ac:dyDescent="0.25">
      <c r="A754" s="2">
        <v>100752</v>
      </c>
      <c r="B754" s="1">
        <v>45696</v>
      </c>
      <c r="C754" s="1">
        <v>45696</v>
      </c>
      <c r="D754" s="1">
        <v>45701</v>
      </c>
      <c r="E754" t="s">
        <v>2108</v>
      </c>
      <c r="F754" t="s">
        <v>32</v>
      </c>
      <c r="G754" t="s">
        <v>255</v>
      </c>
      <c r="H754" t="s">
        <v>2109</v>
      </c>
      <c r="I754" t="s">
        <v>41</v>
      </c>
      <c r="J754" t="s">
        <v>42</v>
      </c>
      <c r="K754" t="s">
        <v>2110</v>
      </c>
      <c r="L754" t="s">
        <v>44</v>
      </c>
      <c r="M754" t="s">
        <v>54</v>
      </c>
      <c r="N754" t="s">
        <v>74</v>
      </c>
      <c r="O754" t="s">
        <v>75</v>
      </c>
      <c r="P754" t="s">
        <v>68</v>
      </c>
      <c r="Q754">
        <v>222</v>
      </c>
      <c r="R754">
        <v>390.11</v>
      </c>
      <c r="S754">
        <v>86604.42</v>
      </c>
      <c r="T754">
        <v>42.9</v>
      </c>
      <c r="U754">
        <v>5</v>
      </c>
      <c r="V754">
        <v>1644</v>
      </c>
      <c r="W754" t="s">
        <v>36</v>
      </c>
      <c r="X754">
        <v>18376.349999999999</v>
      </c>
    </row>
    <row r="755" spans="1:24" x14ac:dyDescent="0.25">
      <c r="A755" s="2">
        <v>100753</v>
      </c>
      <c r="B755" s="1">
        <v>45552</v>
      </c>
      <c r="C755" s="1">
        <v>45552</v>
      </c>
      <c r="D755" s="1">
        <v>45561</v>
      </c>
      <c r="E755" t="s">
        <v>2111</v>
      </c>
      <c r="F755" t="s">
        <v>38</v>
      </c>
      <c r="G755" t="s">
        <v>39</v>
      </c>
      <c r="H755" t="s">
        <v>2112</v>
      </c>
      <c r="I755" t="s">
        <v>144</v>
      </c>
      <c r="J755" t="s">
        <v>52</v>
      </c>
      <c r="K755" t="s">
        <v>2113</v>
      </c>
      <c r="L755" t="s">
        <v>122</v>
      </c>
      <c r="M755" t="s">
        <v>54</v>
      </c>
      <c r="N755" t="s">
        <v>102</v>
      </c>
      <c r="O755" t="s">
        <v>103</v>
      </c>
      <c r="P755" t="s">
        <v>35</v>
      </c>
      <c r="Q755">
        <v>61</v>
      </c>
      <c r="R755">
        <v>34.200000000000003</v>
      </c>
      <c r="S755">
        <v>2086.1999999999998</v>
      </c>
      <c r="T755">
        <v>14.2</v>
      </c>
      <c r="U755">
        <v>9</v>
      </c>
      <c r="V755">
        <v>740</v>
      </c>
      <c r="W755" t="s">
        <v>36</v>
      </c>
      <c r="X755">
        <v>266.3</v>
      </c>
    </row>
    <row r="756" spans="1:24" x14ac:dyDescent="0.25">
      <c r="A756" s="2">
        <v>100754</v>
      </c>
      <c r="B756" s="1">
        <v>45600</v>
      </c>
      <c r="C756" s="1">
        <v>45602</v>
      </c>
      <c r="D756" s="1">
        <v>45615</v>
      </c>
      <c r="E756" t="s">
        <v>2114</v>
      </c>
      <c r="F756" t="s">
        <v>25</v>
      </c>
      <c r="G756" t="s">
        <v>59</v>
      </c>
      <c r="H756" t="s">
        <v>2115</v>
      </c>
      <c r="I756" t="s">
        <v>238</v>
      </c>
      <c r="J756" t="s">
        <v>62</v>
      </c>
      <c r="K756" t="s">
        <v>968</v>
      </c>
      <c r="L756" t="s">
        <v>212</v>
      </c>
      <c r="M756" t="s">
        <v>32</v>
      </c>
      <c r="N756" t="s">
        <v>66</v>
      </c>
      <c r="O756" t="s">
        <v>67</v>
      </c>
      <c r="P756" t="s">
        <v>123</v>
      </c>
      <c r="Q756">
        <v>189</v>
      </c>
      <c r="R756">
        <v>19.559999999999999</v>
      </c>
      <c r="S756">
        <v>3696.84</v>
      </c>
      <c r="T756">
        <v>15.28</v>
      </c>
      <c r="U756">
        <v>13</v>
      </c>
      <c r="V756">
        <v>3994</v>
      </c>
      <c r="W756" t="s">
        <v>36</v>
      </c>
      <c r="X756">
        <v>536.89</v>
      </c>
    </row>
    <row r="757" spans="1:24" x14ac:dyDescent="0.25">
      <c r="A757" s="2">
        <v>100755</v>
      </c>
      <c r="B757" s="1">
        <v>45655</v>
      </c>
      <c r="C757" s="1">
        <v>45656</v>
      </c>
      <c r="D757" s="1">
        <v>45671</v>
      </c>
      <c r="E757" t="s">
        <v>2116</v>
      </c>
      <c r="F757" t="s">
        <v>32</v>
      </c>
      <c r="G757" t="s">
        <v>180</v>
      </c>
      <c r="H757" t="s">
        <v>2117</v>
      </c>
      <c r="I757" t="s">
        <v>72</v>
      </c>
      <c r="J757" t="s">
        <v>42</v>
      </c>
      <c r="K757" t="s">
        <v>265</v>
      </c>
      <c r="L757" t="s">
        <v>98</v>
      </c>
      <c r="M757" t="s">
        <v>65</v>
      </c>
      <c r="N757" t="s">
        <v>92</v>
      </c>
      <c r="O757" t="s">
        <v>93</v>
      </c>
      <c r="P757" t="s">
        <v>76</v>
      </c>
      <c r="Q757">
        <v>434</v>
      </c>
      <c r="R757">
        <v>75.8</v>
      </c>
      <c r="S757">
        <v>32897.199999999997</v>
      </c>
      <c r="T757">
        <v>15.93</v>
      </c>
      <c r="U757">
        <v>15</v>
      </c>
      <c r="V757">
        <v>941</v>
      </c>
      <c r="W757" t="s">
        <v>36</v>
      </c>
      <c r="X757">
        <v>1429.74</v>
      </c>
    </row>
    <row r="758" spans="1:24" x14ac:dyDescent="0.25">
      <c r="A758" s="2">
        <v>100756</v>
      </c>
      <c r="B758" s="1">
        <v>45836</v>
      </c>
      <c r="C758" s="1">
        <v>45839</v>
      </c>
      <c r="D758" s="1">
        <v>45843</v>
      </c>
      <c r="E758" t="s">
        <v>2118</v>
      </c>
      <c r="F758" t="s">
        <v>32</v>
      </c>
      <c r="G758" t="s">
        <v>364</v>
      </c>
      <c r="H758" t="s">
        <v>2119</v>
      </c>
      <c r="I758" t="s">
        <v>191</v>
      </c>
      <c r="J758" t="s">
        <v>62</v>
      </c>
      <c r="K758" t="s">
        <v>1530</v>
      </c>
      <c r="L758" t="s">
        <v>187</v>
      </c>
      <c r="M758" t="s">
        <v>38</v>
      </c>
      <c r="N758" t="s">
        <v>107</v>
      </c>
      <c r="O758" t="s">
        <v>108</v>
      </c>
      <c r="P758" t="s">
        <v>68</v>
      </c>
      <c r="Q758">
        <v>486</v>
      </c>
      <c r="R758">
        <v>33.229999999999997</v>
      </c>
      <c r="S758">
        <v>16149.78</v>
      </c>
      <c r="T758">
        <v>60</v>
      </c>
      <c r="U758">
        <v>4</v>
      </c>
      <c r="V758">
        <v>2203</v>
      </c>
      <c r="W758" t="s">
        <v>36</v>
      </c>
      <c r="X758">
        <v>1034.53</v>
      </c>
    </row>
    <row r="759" spans="1:24" x14ac:dyDescent="0.25">
      <c r="A759" s="2">
        <v>100757</v>
      </c>
      <c r="B759" s="1">
        <v>45579</v>
      </c>
      <c r="C759" s="1">
        <v>45583</v>
      </c>
      <c r="D759" s="1">
        <v>45590</v>
      </c>
      <c r="E759" t="s">
        <v>2120</v>
      </c>
      <c r="F759" t="s">
        <v>54</v>
      </c>
      <c r="G759" t="s">
        <v>129</v>
      </c>
      <c r="H759" t="s">
        <v>2121</v>
      </c>
      <c r="I759" t="s">
        <v>79</v>
      </c>
      <c r="J759" t="s">
        <v>80</v>
      </c>
      <c r="K759" t="s">
        <v>1280</v>
      </c>
      <c r="L759" t="s">
        <v>187</v>
      </c>
      <c r="M759" t="s">
        <v>38</v>
      </c>
      <c r="N759" t="s">
        <v>92</v>
      </c>
      <c r="O759" t="s">
        <v>93</v>
      </c>
      <c r="P759" t="s">
        <v>35</v>
      </c>
      <c r="Q759">
        <v>327</v>
      </c>
      <c r="R759">
        <v>281.79000000000002</v>
      </c>
      <c r="S759">
        <v>92145.33</v>
      </c>
      <c r="T759">
        <v>21.74</v>
      </c>
      <c r="U759">
        <v>7</v>
      </c>
      <c r="V759">
        <v>1009</v>
      </c>
      <c r="W759" t="s">
        <v>36</v>
      </c>
      <c r="X759">
        <v>18952.5</v>
      </c>
    </row>
    <row r="760" spans="1:24" x14ac:dyDescent="0.25">
      <c r="A760" s="2">
        <v>100758</v>
      </c>
      <c r="B760" s="1">
        <v>45709</v>
      </c>
      <c r="C760" s="1">
        <v>45712</v>
      </c>
      <c r="D760" s="1">
        <v>45737</v>
      </c>
      <c r="E760" t="s">
        <v>2122</v>
      </c>
      <c r="F760" t="s">
        <v>32</v>
      </c>
      <c r="G760" t="s">
        <v>110</v>
      </c>
      <c r="H760" t="s">
        <v>2123</v>
      </c>
      <c r="I760" t="s">
        <v>182</v>
      </c>
      <c r="J760" t="s">
        <v>80</v>
      </c>
      <c r="K760" t="s">
        <v>1691</v>
      </c>
      <c r="L760" t="s">
        <v>91</v>
      </c>
      <c r="M760" t="s">
        <v>54</v>
      </c>
      <c r="N760" t="s">
        <v>33</v>
      </c>
      <c r="O760" t="s">
        <v>34</v>
      </c>
      <c r="P760" t="s">
        <v>76</v>
      </c>
      <c r="Q760">
        <v>14</v>
      </c>
      <c r="R760">
        <v>329.27</v>
      </c>
      <c r="S760">
        <v>4609.78</v>
      </c>
      <c r="T760">
        <v>8.27</v>
      </c>
      <c r="U760">
        <v>25</v>
      </c>
      <c r="V760">
        <v>303</v>
      </c>
      <c r="W760" t="s">
        <v>188</v>
      </c>
      <c r="X760">
        <v>578.01</v>
      </c>
    </row>
    <row r="761" spans="1:24" x14ac:dyDescent="0.25">
      <c r="A761" s="2">
        <v>100759</v>
      </c>
      <c r="B761" s="1">
        <v>45633</v>
      </c>
      <c r="C761" s="1">
        <v>45637</v>
      </c>
      <c r="D761" s="1">
        <v>45645</v>
      </c>
      <c r="E761" t="s">
        <v>2124</v>
      </c>
      <c r="F761" t="s">
        <v>32</v>
      </c>
      <c r="G761" t="s">
        <v>110</v>
      </c>
      <c r="H761" t="s">
        <v>2125</v>
      </c>
      <c r="I761" t="s">
        <v>368</v>
      </c>
      <c r="J761" t="s">
        <v>29</v>
      </c>
      <c r="K761" t="s">
        <v>1289</v>
      </c>
      <c r="L761" t="s">
        <v>118</v>
      </c>
      <c r="M761" t="s">
        <v>32</v>
      </c>
      <c r="N761" t="s">
        <v>151</v>
      </c>
      <c r="O761" t="s">
        <v>152</v>
      </c>
      <c r="P761" t="s">
        <v>35</v>
      </c>
      <c r="Q761">
        <v>456</v>
      </c>
      <c r="R761">
        <v>73.17</v>
      </c>
      <c r="S761">
        <v>33365.519999999997</v>
      </c>
      <c r="T761">
        <v>18.82</v>
      </c>
      <c r="U761">
        <v>8</v>
      </c>
      <c r="V761">
        <v>894</v>
      </c>
      <c r="W761" t="s">
        <v>36</v>
      </c>
      <c r="X761">
        <v>8893.5400000000009</v>
      </c>
    </row>
    <row r="762" spans="1:24" x14ac:dyDescent="0.25">
      <c r="A762" s="2">
        <v>100760</v>
      </c>
      <c r="B762" s="1">
        <v>45799</v>
      </c>
      <c r="C762" s="1">
        <v>45804</v>
      </c>
      <c r="D762" s="1">
        <v>45824</v>
      </c>
      <c r="E762" t="s">
        <v>2126</v>
      </c>
      <c r="F762" t="s">
        <v>32</v>
      </c>
      <c r="G762" t="s">
        <v>364</v>
      </c>
      <c r="H762" t="s">
        <v>2127</v>
      </c>
      <c r="I762" t="s">
        <v>246</v>
      </c>
      <c r="J762" t="s">
        <v>29</v>
      </c>
      <c r="K762" t="s">
        <v>2128</v>
      </c>
      <c r="L762" t="s">
        <v>122</v>
      </c>
      <c r="M762" t="s">
        <v>25</v>
      </c>
      <c r="N762" t="s">
        <v>55</v>
      </c>
      <c r="O762" t="s">
        <v>56</v>
      </c>
      <c r="P762" t="s">
        <v>76</v>
      </c>
      <c r="Q762">
        <v>390</v>
      </c>
      <c r="R762">
        <v>86.1</v>
      </c>
      <c r="S762">
        <v>33579</v>
      </c>
      <c r="T762">
        <v>15.13</v>
      </c>
      <c r="U762">
        <v>20</v>
      </c>
      <c r="V762">
        <v>2087</v>
      </c>
      <c r="W762" t="s">
        <v>36</v>
      </c>
      <c r="X762">
        <v>7156.98</v>
      </c>
    </row>
    <row r="763" spans="1:24" x14ac:dyDescent="0.25">
      <c r="A763" s="2">
        <v>100761</v>
      </c>
      <c r="B763" s="1">
        <v>45862</v>
      </c>
      <c r="C763" s="1">
        <v>45864</v>
      </c>
      <c r="D763" s="1">
        <v>45867</v>
      </c>
      <c r="E763" t="s">
        <v>2129</v>
      </c>
      <c r="F763" t="s">
        <v>65</v>
      </c>
      <c r="G763" t="s">
        <v>70</v>
      </c>
      <c r="H763" t="s">
        <v>2130</v>
      </c>
      <c r="I763" t="s">
        <v>41</v>
      </c>
      <c r="J763" t="s">
        <v>42</v>
      </c>
      <c r="K763" t="s">
        <v>2131</v>
      </c>
      <c r="L763" t="s">
        <v>91</v>
      </c>
      <c r="M763" t="s">
        <v>32</v>
      </c>
      <c r="N763" t="s">
        <v>66</v>
      </c>
      <c r="O763" t="s">
        <v>67</v>
      </c>
      <c r="P763" t="s">
        <v>68</v>
      </c>
      <c r="Q763">
        <v>343</v>
      </c>
      <c r="R763">
        <v>288.2</v>
      </c>
      <c r="S763">
        <v>98852.6</v>
      </c>
      <c r="T763">
        <v>50.74</v>
      </c>
      <c r="U763">
        <v>3</v>
      </c>
      <c r="V763">
        <v>411</v>
      </c>
      <c r="W763" t="s">
        <v>36</v>
      </c>
      <c r="X763">
        <v>15419.59</v>
      </c>
    </row>
    <row r="764" spans="1:24" x14ac:dyDescent="0.25">
      <c r="A764" s="2">
        <v>100762</v>
      </c>
      <c r="B764" s="1">
        <v>45667</v>
      </c>
      <c r="C764" s="1">
        <v>45672</v>
      </c>
      <c r="D764" s="1">
        <v>45676</v>
      </c>
      <c r="E764" t="s">
        <v>2132</v>
      </c>
      <c r="F764" t="s">
        <v>38</v>
      </c>
      <c r="G764" t="s">
        <v>147</v>
      </c>
      <c r="H764" t="s">
        <v>2133</v>
      </c>
      <c r="I764" t="s">
        <v>144</v>
      </c>
      <c r="J764" t="s">
        <v>52</v>
      </c>
      <c r="K764" t="s">
        <v>2134</v>
      </c>
      <c r="L764" t="s">
        <v>122</v>
      </c>
      <c r="M764" t="s">
        <v>54</v>
      </c>
      <c r="N764" t="s">
        <v>55</v>
      </c>
      <c r="O764" t="s">
        <v>56</v>
      </c>
      <c r="P764" t="s">
        <v>68</v>
      </c>
      <c r="Q764">
        <v>427</v>
      </c>
      <c r="R764">
        <v>22.32</v>
      </c>
      <c r="S764">
        <v>9530.64</v>
      </c>
      <c r="T764">
        <v>56.18</v>
      </c>
      <c r="U764">
        <v>4</v>
      </c>
      <c r="V764">
        <v>767</v>
      </c>
      <c r="W764" t="s">
        <v>57</v>
      </c>
      <c r="X764">
        <v>784.48</v>
      </c>
    </row>
    <row r="765" spans="1:24" x14ac:dyDescent="0.25">
      <c r="A765" s="2">
        <v>100763</v>
      </c>
      <c r="B765" s="1">
        <v>45964</v>
      </c>
      <c r="C765" s="1">
        <v>45968</v>
      </c>
      <c r="D765" s="1">
        <v>45972</v>
      </c>
      <c r="E765" t="s">
        <v>2135</v>
      </c>
      <c r="F765" t="s">
        <v>25</v>
      </c>
      <c r="G765" t="s">
        <v>172</v>
      </c>
      <c r="H765" t="s">
        <v>2136</v>
      </c>
      <c r="I765" t="s">
        <v>278</v>
      </c>
      <c r="J765" t="s">
        <v>29</v>
      </c>
      <c r="K765" t="s">
        <v>2137</v>
      </c>
      <c r="L765" t="s">
        <v>64</v>
      </c>
      <c r="M765" t="s">
        <v>54</v>
      </c>
      <c r="N765" t="s">
        <v>33</v>
      </c>
      <c r="O765" t="s">
        <v>34</v>
      </c>
      <c r="P765" t="s">
        <v>68</v>
      </c>
      <c r="Q765">
        <v>443</v>
      </c>
      <c r="R765">
        <v>76.739999999999995</v>
      </c>
      <c r="S765">
        <v>33995.82</v>
      </c>
      <c r="T765">
        <v>57.22</v>
      </c>
      <c r="U765">
        <v>4</v>
      </c>
      <c r="V765">
        <v>2064</v>
      </c>
      <c r="W765" t="s">
        <v>36</v>
      </c>
      <c r="X765">
        <v>4101.03</v>
      </c>
    </row>
    <row r="766" spans="1:24" x14ac:dyDescent="0.25">
      <c r="A766" s="2">
        <v>100764</v>
      </c>
      <c r="B766" s="1">
        <v>45853</v>
      </c>
      <c r="C766" s="1">
        <v>45854</v>
      </c>
      <c r="D766" s="1">
        <v>45864</v>
      </c>
      <c r="E766" t="s">
        <v>2138</v>
      </c>
      <c r="F766" t="s">
        <v>38</v>
      </c>
      <c r="G766" t="s">
        <v>217</v>
      </c>
      <c r="H766" t="s">
        <v>2139</v>
      </c>
      <c r="I766" t="s">
        <v>177</v>
      </c>
      <c r="J766" t="s">
        <v>29</v>
      </c>
      <c r="K766" t="s">
        <v>775</v>
      </c>
      <c r="L766" t="s">
        <v>122</v>
      </c>
      <c r="M766" t="s">
        <v>25</v>
      </c>
      <c r="N766" t="s">
        <v>107</v>
      </c>
      <c r="O766" t="s">
        <v>108</v>
      </c>
      <c r="P766" t="s">
        <v>123</v>
      </c>
      <c r="Q766">
        <v>226</v>
      </c>
      <c r="R766">
        <v>117.21</v>
      </c>
      <c r="S766">
        <v>26489.46</v>
      </c>
      <c r="T766">
        <v>16.18</v>
      </c>
      <c r="U766">
        <v>10</v>
      </c>
      <c r="V766">
        <v>2977</v>
      </c>
      <c r="W766" t="s">
        <v>36</v>
      </c>
      <c r="X766">
        <v>4000.04</v>
      </c>
    </row>
    <row r="767" spans="1:24" x14ac:dyDescent="0.25">
      <c r="A767" s="2">
        <v>100765</v>
      </c>
      <c r="B767" s="1">
        <v>45563</v>
      </c>
      <c r="C767" s="1">
        <v>45563</v>
      </c>
      <c r="D767" s="1">
        <v>45566</v>
      </c>
      <c r="E767" t="s">
        <v>2140</v>
      </c>
      <c r="F767" t="s">
        <v>38</v>
      </c>
      <c r="G767" t="s">
        <v>39</v>
      </c>
      <c r="H767" t="s">
        <v>2141</v>
      </c>
      <c r="I767" t="s">
        <v>85</v>
      </c>
      <c r="J767" t="s">
        <v>52</v>
      </c>
      <c r="K767" t="s">
        <v>1184</v>
      </c>
      <c r="L767" t="s">
        <v>31</v>
      </c>
      <c r="M767" t="s">
        <v>38</v>
      </c>
      <c r="N767" t="s">
        <v>151</v>
      </c>
      <c r="O767" t="s">
        <v>152</v>
      </c>
      <c r="P767" t="s">
        <v>68</v>
      </c>
      <c r="Q767">
        <v>482</v>
      </c>
      <c r="R767">
        <v>18.12</v>
      </c>
      <c r="S767">
        <v>8733.84</v>
      </c>
      <c r="T767">
        <v>44.26</v>
      </c>
      <c r="U767">
        <v>3</v>
      </c>
      <c r="V767">
        <v>4099</v>
      </c>
      <c r="W767" t="s">
        <v>36</v>
      </c>
      <c r="X767">
        <v>1392.66</v>
      </c>
    </row>
    <row r="768" spans="1:24" x14ac:dyDescent="0.25">
      <c r="A768" s="2">
        <v>100766</v>
      </c>
      <c r="B768" s="1">
        <v>45585</v>
      </c>
      <c r="C768" s="1">
        <v>45586</v>
      </c>
      <c r="D768" s="1">
        <v>45597</v>
      </c>
      <c r="E768" t="s">
        <v>2142</v>
      </c>
      <c r="F768" t="s">
        <v>38</v>
      </c>
      <c r="G768" t="s">
        <v>147</v>
      </c>
      <c r="H768" t="s">
        <v>2143</v>
      </c>
      <c r="I768" t="s">
        <v>72</v>
      </c>
      <c r="J768" t="s">
        <v>42</v>
      </c>
      <c r="K768" t="s">
        <v>2144</v>
      </c>
      <c r="L768" t="s">
        <v>212</v>
      </c>
      <c r="M768" t="s">
        <v>65</v>
      </c>
      <c r="N768" t="s">
        <v>203</v>
      </c>
      <c r="O768" t="s">
        <v>204</v>
      </c>
      <c r="P768" t="s">
        <v>35</v>
      </c>
      <c r="Q768">
        <v>43</v>
      </c>
      <c r="R768">
        <v>354.76</v>
      </c>
      <c r="S768">
        <v>15254.68</v>
      </c>
      <c r="T768">
        <v>13.69</v>
      </c>
      <c r="U768">
        <v>11</v>
      </c>
      <c r="V768">
        <v>1301</v>
      </c>
      <c r="W768" t="s">
        <v>36</v>
      </c>
      <c r="X768">
        <v>3191.27</v>
      </c>
    </row>
    <row r="769" spans="1:24" x14ac:dyDescent="0.25">
      <c r="A769" s="2">
        <v>100767</v>
      </c>
      <c r="B769" s="1">
        <v>45730</v>
      </c>
      <c r="C769" s="1">
        <v>45732</v>
      </c>
      <c r="D769" s="1">
        <v>45737</v>
      </c>
      <c r="E769" t="s">
        <v>2145</v>
      </c>
      <c r="F769" t="s">
        <v>65</v>
      </c>
      <c r="G769" t="s">
        <v>142</v>
      </c>
      <c r="H769" t="s">
        <v>2146</v>
      </c>
      <c r="I769" t="s">
        <v>144</v>
      </c>
      <c r="J769" t="s">
        <v>52</v>
      </c>
      <c r="K769" t="s">
        <v>2147</v>
      </c>
      <c r="L769" t="s">
        <v>64</v>
      </c>
      <c r="M769" t="s">
        <v>32</v>
      </c>
      <c r="N769" t="s">
        <v>55</v>
      </c>
      <c r="O769" t="s">
        <v>56</v>
      </c>
      <c r="P769" t="s">
        <v>68</v>
      </c>
      <c r="Q769">
        <v>327</v>
      </c>
      <c r="R769">
        <v>75.58</v>
      </c>
      <c r="S769">
        <v>24714.66</v>
      </c>
      <c r="T769">
        <v>49.7</v>
      </c>
      <c r="U769">
        <v>5</v>
      </c>
      <c r="V769">
        <v>3551</v>
      </c>
      <c r="W769" t="s">
        <v>36</v>
      </c>
      <c r="X769">
        <v>3046.11</v>
      </c>
    </row>
    <row r="770" spans="1:24" x14ac:dyDescent="0.25">
      <c r="A770" s="2">
        <v>100768</v>
      </c>
      <c r="B770" s="1">
        <v>45739</v>
      </c>
      <c r="C770" s="1">
        <v>45740</v>
      </c>
      <c r="D770" s="1">
        <v>45753</v>
      </c>
      <c r="E770" t="s">
        <v>2148</v>
      </c>
      <c r="F770" t="s">
        <v>38</v>
      </c>
      <c r="G770" t="s">
        <v>39</v>
      </c>
      <c r="H770" t="s">
        <v>2149</v>
      </c>
      <c r="I770" t="s">
        <v>230</v>
      </c>
      <c r="J770" t="s">
        <v>80</v>
      </c>
      <c r="K770" t="s">
        <v>345</v>
      </c>
      <c r="L770" t="s">
        <v>212</v>
      </c>
      <c r="M770" t="s">
        <v>32</v>
      </c>
      <c r="N770" t="s">
        <v>107</v>
      </c>
      <c r="O770" t="s">
        <v>108</v>
      </c>
      <c r="P770" t="s">
        <v>123</v>
      </c>
      <c r="Q770">
        <v>388</v>
      </c>
      <c r="R770">
        <v>179.67</v>
      </c>
      <c r="S770">
        <v>69711.960000000006</v>
      </c>
      <c r="T770">
        <v>20.12</v>
      </c>
      <c r="U770">
        <v>13</v>
      </c>
      <c r="V770">
        <v>650</v>
      </c>
      <c r="W770" t="s">
        <v>36</v>
      </c>
      <c r="X770">
        <v>16557.72</v>
      </c>
    </row>
    <row r="771" spans="1:24" x14ac:dyDescent="0.25">
      <c r="A771" s="2">
        <v>100769</v>
      </c>
      <c r="B771" s="1">
        <v>45634</v>
      </c>
      <c r="C771" s="1">
        <v>45634</v>
      </c>
      <c r="D771" s="1">
        <v>45647</v>
      </c>
      <c r="E771" t="s">
        <v>2150</v>
      </c>
      <c r="F771" t="s">
        <v>25</v>
      </c>
      <c r="G771" t="s">
        <v>172</v>
      </c>
      <c r="H771" t="s">
        <v>2151</v>
      </c>
      <c r="I771" t="s">
        <v>72</v>
      </c>
      <c r="J771" t="s">
        <v>42</v>
      </c>
      <c r="K771" t="s">
        <v>1851</v>
      </c>
      <c r="L771" t="s">
        <v>44</v>
      </c>
      <c r="M771" t="s">
        <v>32</v>
      </c>
      <c r="N771" t="s">
        <v>55</v>
      </c>
      <c r="O771" t="s">
        <v>56</v>
      </c>
      <c r="P771" t="s">
        <v>76</v>
      </c>
      <c r="Q771">
        <v>498</v>
      </c>
      <c r="R771">
        <v>330.6</v>
      </c>
      <c r="S771">
        <v>164638.79999999999</v>
      </c>
      <c r="T771">
        <v>17.100000000000001</v>
      </c>
      <c r="U771">
        <v>13</v>
      </c>
      <c r="V771">
        <v>301</v>
      </c>
      <c r="W771" t="s">
        <v>36</v>
      </c>
      <c r="X771">
        <v>20825.28</v>
      </c>
    </row>
    <row r="772" spans="1:24" x14ac:dyDescent="0.25">
      <c r="A772" s="2">
        <v>100770</v>
      </c>
      <c r="B772" s="1">
        <v>45508</v>
      </c>
      <c r="C772" s="1">
        <v>45509</v>
      </c>
      <c r="D772" s="1">
        <v>45523</v>
      </c>
      <c r="E772" t="s">
        <v>2152</v>
      </c>
      <c r="F772" t="s">
        <v>54</v>
      </c>
      <c r="G772" t="s">
        <v>158</v>
      </c>
      <c r="H772" t="s">
        <v>2153</v>
      </c>
      <c r="I772" t="s">
        <v>278</v>
      </c>
      <c r="J772" t="s">
        <v>29</v>
      </c>
      <c r="K772" t="s">
        <v>2154</v>
      </c>
      <c r="L772" t="s">
        <v>118</v>
      </c>
      <c r="M772" t="s">
        <v>32</v>
      </c>
      <c r="N772" t="s">
        <v>151</v>
      </c>
      <c r="O772" t="s">
        <v>152</v>
      </c>
      <c r="P772" t="s">
        <v>123</v>
      </c>
      <c r="Q772">
        <v>444</v>
      </c>
      <c r="R772">
        <v>113.69</v>
      </c>
      <c r="S772">
        <v>50478.36</v>
      </c>
      <c r="T772">
        <v>21.48</v>
      </c>
      <c r="U772">
        <v>14</v>
      </c>
      <c r="V772">
        <v>967</v>
      </c>
      <c r="W772" t="s">
        <v>36</v>
      </c>
      <c r="X772">
        <v>11511</v>
      </c>
    </row>
    <row r="773" spans="1:24" x14ac:dyDescent="0.25">
      <c r="A773" s="2">
        <v>100771</v>
      </c>
      <c r="B773" s="1">
        <v>45423</v>
      </c>
      <c r="C773" s="1">
        <v>45426</v>
      </c>
      <c r="D773" s="1">
        <v>45451</v>
      </c>
      <c r="E773" t="s">
        <v>2155</v>
      </c>
      <c r="F773" t="s">
        <v>65</v>
      </c>
      <c r="G773" t="s">
        <v>154</v>
      </c>
      <c r="H773" t="s">
        <v>2156</v>
      </c>
      <c r="I773" t="s">
        <v>139</v>
      </c>
      <c r="J773" t="s">
        <v>42</v>
      </c>
      <c r="K773" t="s">
        <v>1076</v>
      </c>
      <c r="L773" t="s">
        <v>98</v>
      </c>
      <c r="M773" t="s">
        <v>38</v>
      </c>
      <c r="N773" t="s">
        <v>102</v>
      </c>
      <c r="O773" t="s">
        <v>103</v>
      </c>
      <c r="P773" t="s">
        <v>76</v>
      </c>
      <c r="Q773">
        <v>67</v>
      </c>
      <c r="R773">
        <v>78.459999999999994</v>
      </c>
      <c r="S773">
        <v>5256.82</v>
      </c>
      <c r="T773">
        <v>9.24</v>
      </c>
      <c r="U773">
        <v>25</v>
      </c>
      <c r="V773">
        <v>1664</v>
      </c>
      <c r="W773" t="s">
        <v>188</v>
      </c>
      <c r="X773">
        <v>918.89</v>
      </c>
    </row>
    <row r="774" spans="1:24" x14ac:dyDescent="0.25">
      <c r="A774" s="2">
        <v>100772</v>
      </c>
      <c r="B774" s="1">
        <v>45873</v>
      </c>
      <c r="C774" s="1">
        <v>45873</v>
      </c>
      <c r="D774" s="1">
        <v>45874</v>
      </c>
      <c r="E774" t="s">
        <v>2157</v>
      </c>
      <c r="F774" t="s">
        <v>25</v>
      </c>
      <c r="G774" t="s">
        <v>172</v>
      </c>
      <c r="H774" t="s">
        <v>2158</v>
      </c>
      <c r="I774" t="s">
        <v>278</v>
      </c>
      <c r="J774" t="s">
        <v>29</v>
      </c>
      <c r="K774" t="s">
        <v>1924</v>
      </c>
      <c r="L774" t="s">
        <v>91</v>
      </c>
      <c r="M774" t="s">
        <v>38</v>
      </c>
      <c r="N774" t="s">
        <v>55</v>
      </c>
      <c r="O774" t="s">
        <v>56</v>
      </c>
      <c r="P774" t="s">
        <v>68</v>
      </c>
      <c r="Q774">
        <v>154</v>
      </c>
      <c r="R774">
        <v>19.23</v>
      </c>
      <c r="S774">
        <v>2961.42</v>
      </c>
      <c r="T774">
        <v>38.49</v>
      </c>
      <c r="U774">
        <v>1</v>
      </c>
      <c r="V774">
        <v>3190</v>
      </c>
      <c r="W774" t="s">
        <v>36</v>
      </c>
      <c r="X774">
        <v>311.02</v>
      </c>
    </row>
    <row r="775" spans="1:24" x14ac:dyDescent="0.25">
      <c r="A775" s="2">
        <v>100773</v>
      </c>
      <c r="B775" s="1">
        <v>45809</v>
      </c>
      <c r="C775" s="1">
        <v>45809</v>
      </c>
      <c r="D775" s="1">
        <v>45813</v>
      </c>
      <c r="E775" t="s">
        <v>2159</v>
      </c>
      <c r="F775" t="s">
        <v>32</v>
      </c>
      <c r="G775" t="s">
        <v>273</v>
      </c>
      <c r="H775" t="s">
        <v>2160</v>
      </c>
      <c r="I775" t="s">
        <v>278</v>
      </c>
      <c r="J775" t="s">
        <v>29</v>
      </c>
      <c r="K775" t="s">
        <v>559</v>
      </c>
      <c r="L775" t="s">
        <v>113</v>
      </c>
      <c r="M775" t="s">
        <v>54</v>
      </c>
      <c r="N775" t="s">
        <v>151</v>
      </c>
      <c r="O775" t="s">
        <v>152</v>
      </c>
      <c r="P775" t="s">
        <v>35</v>
      </c>
      <c r="Q775">
        <v>77</v>
      </c>
      <c r="R775">
        <v>43.61</v>
      </c>
      <c r="S775">
        <v>3357.97</v>
      </c>
      <c r="T775">
        <v>14.66</v>
      </c>
      <c r="U775">
        <v>4</v>
      </c>
      <c r="V775">
        <v>3263</v>
      </c>
      <c r="W775" t="s">
        <v>36</v>
      </c>
      <c r="X775">
        <v>863.76</v>
      </c>
    </row>
    <row r="776" spans="1:24" x14ac:dyDescent="0.25">
      <c r="A776" s="2">
        <v>100774</v>
      </c>
      <c r="B776" s="1">
        <v>45403</v>
      </c>
      <c r="C776" s="1">
        <v>45407</v>
      </c>
      <c r="D776" s="1">
        <v>45423</v>
      </c>
      <c r="E776" t="s">
        <v>2161</v>
      </c>
      <c r="F776" t="s">
        <v>54</v>
      </c>
      <c r="G776" t="s">
        <v>193</v>
      </c>
      <c r="H776" t="s">
        <v>2162</v>
      </c>
      <c r="I776" t="s">
        <v>79</v>
      </c>
      <c r="J776" t="s">
        <v>80</v>
      </c>
      <c r="K776" t="s">
        <v>1385</v>
      </c>
      <c r="L776" t="s">
        <v>64</v>
      </c>
      <c r="M776" t="s">
        <v>54</v>
      </c>
      <c r="N776" t="s">
        <v>203</v>
      </c>
      <c r="O776" t="s">
        <v>204</v>
      </c>
      <c r="P776" t="s">
        <v>76</v>
      </c>
      <c r="Q776">
        <v>28</v>
      </c>
      <c r="R776">
        <v>298.32</v>
      </c>
      <c r="S776">
        <v>8352.9599999999991</v>
      </c>
      <c r="T776">
        <v>6.32</v>
      </c>
      <c r="U776">
        <v>16</v>
      </c>
      <c r="V776">
        <v>1605</v>
      </c>
      <c r="W776" t="s">
        <v>36</v>
      </c>
      <c r="X776">
        <v>1767.34</v>
      </c>
    </row>
    <row r="777" spans="1:24" x14ac:dyDescent="0.25">
      <c r="A777" s="2">
        <v>100775</v>
      </c>
      <c r="B777" s="1">
        <v>45687</v>
      </c>
      <c r="C777" s="1">
        <v>45688</v>
      </c>
      <c r="D777" s="1">
        <v>45690</v>
      </c>
      <c r="E777" t="s">
        <v>2163</v>
      </c>
      <c r="F777" t="s">
        <v>38</v>
      </c>
      <c r="G777" t="s">
        <v>83</v>
      </c>
      <c r="H777" t="s">
        <v>2164</v>
      </c>
      <c r="I777" t="s">
        <v>134</v>
      </c>
      <c r="J777" t="s">
        <v>52</v>
      </c>
      <c r="K777" t="s">
        <v>1840</v>
      </c>
      <c r="L777" t="s">
        <v>118</v>
      </c>
      <c r="M777" t="s">
        <v>38</v>
      </c>
      <c r="N777" t="s">
        <v>151</v>
      </c>
      <c r="O777" t="s">
        <v>152</v>
      </c>
      <c r="P777" t="s">
        <v>35</v>
      </c>
      <c r="Q777">
        <v>283</v>
      </c>
      <c r="R777">
        <v>29.06</v>
      </c>
      <c r="S777">
        <v>8223.98</v>
      </c>
      <c r="T777">
        <v>15.18</v>
      </c>
      <c r="U777">
        <v>2</v>
      </c>
      <c r="V777">
        <v>371</v>
      </c>
      <c r="W777" t="s">
        <v>36</v>
      </c>
      <c r="X777">
        <v>1113.69</v>
      </c>
    </row>
    <row r="778" spans="1:24" x14ac:dyDescent="0.25">
      <c r="A778" s="2">
        <v>100776</v>
      </c>
      <c r="B778" s="1">
        <v>45317</v>
      </c>
      <c r="C778" s="1">
        <v>45318</v>
      </c>
      <c r="D778" s="1">
        <v>45335</v>
      </c>
      <c r="E778" t="s">
        <v>2165</v>
      </c>
      <c r="F778" t="s">
        <v>38</v>
      </c>
      <c r="G778" t="s">
        <v>83</v>
      </c>
      <c r="H778" t="s">
        <v>2166</v>
      </c>
      <c r="I778" t="s">
        <v>246</v>
      </c>
      <c r="J778" t="s">
        <v>29</v>
      </c>
      <c r="K778" t="s">
        <v>2167</v>
      </c>
      <c r="L778" t="s">
        <v>122</v>
      </c>
      <c r="M778" t="s">
        <v>65</v>
      </c>
      <c r="N778" t="s">
        <v>151</v>
      </c>
      <c r="O778" t="s">
        <v>152</v>
      </c>
      <c r="P778" t="s">
        <v>76</v>
      </c>
      <c r="Q778">
        <v>471</v>
      </c>
      <c r="R778">
        <v>119.69</v>
      </c>
      <c r="S778">
        <v>56373.99</v>
      </c>
      <c r="T778">
        <v>16.600000000000001</v>
      </c>
      <c r="U778">
        <v>17</v>
      </c>
      <c r="V778">
        <v>2852</v>
      </c>
      <c r="W778" t="s">
        <v>36</v>
      </c>
      <c r="X778">
        <v>8195.4599999999991</v>
      </c>
    </row>
    <row r="779" spans="1:24" x14ac:dyDescent="0.25">
      <c r="A779" s="2">
        <v>100777</v>
      </c>
      <c r="B779" s="1">
        <v>45890</v>
      </c>
      <c r="C779" s="1">
        <v>45892</v>
      </c>
      <c r="D779" s="1">
        <v>45897</v>
      </c>
      <c r="E779" t="s">
        <v>2168</v>
      </c>
      <c r="F779" t="s">
        <v>54</v>
      </c>
      <c r="G779" t="s">
        <v>225</v>
      </c>
      <c r="H779" t="s">
        <v>2169</v>
      </c>
      <c r="I779" t="s">
        <v>116</v>
      </c>
      <c r="J779" t="s">
        <v>62</v>
      </c>
      <c r="K779" t="s">
        <v>2170</v>
      </c>
      <c r="L779" t="s">
        <v>212</v>
      </c>
      <c r="M779" t="s">
        <v>54</v>
      </c>
      <c r="N779" t="s">
        <v>66</v>
      </c>
      <c r="O779" t="s">
        <v>67</v>
      </c>
      <c r="P779" t="s">
        <v>68</v>
      </c>
      <c r="Q779">
        <v>496</v>
      </c>
      <c r="R779">
        <v>42.11</v>
      </c>
      <c r="S779">
        <v>20886.560000000001</v>
      </c>
      <c r="T779">
        <v>44.93</v>
      </c>
      <c r="U779">
        <v>5</v>
      </c>
      <c r="V779">
        <v>1464</v>
      </c>
      <c r="W779" t="s">
        <v>36</v>
      </c>
      <c r="X779">
        <v>3328.16</v>
      </c>
    </row>
    <row r="780" spans="1:24" x14ac:dyDescent="0.25">
      <c r="A780" s="2">
        <v>100778</v>
      </c>
      <c r="B780" s="1">
        <v>45704</v>
      </c>
      <c r="C780" s="1">
        <v>45708</v>
      </c>
      <c r="D780" s="1">
        <v>45715</v>
      </c>
      <c r="E780" t="s">
        <v>2171</v>
      </c>
      <c r="F780" t="s">
        <v>65</v>
      </c>
      <c r="G780" t="s">
        <v>142</v>
      </c>
      <c r="H780" t="s">
        <v>2172</v>
      </c>
      <c r="I780" t="s">
        <v>246</v>
      </c>
      <c r="J780" t="s">
        <v>29</v>
      </c>
      <c r="K780" t="s">
        <v>2173</v>
      </c>
      <c r="L780" t="s">
        <v>98</v>
      </c>
      <c r="M780" t="s">
        <v>54</v>
      </c>
      <c r="N780" t="s">
        <v>33</v>
      </c>
      <c r="O780" t="s">
        <v>34</v>
      </c>
      <c r="P780" t="s">
        <v>35</v>
      </c>
      <c r="Q780">
        <v>277</v>
      </c>
      <c r="R780">
        <v>93.96</v>
      </c>
      <c r="S780">
        <v>26026.92</v>
      </c>
      <c r="T780">
        <v>20.329999999999998</v>
      </c>
      <c r="U780">
        <v>7</v>
      </c>
      <c r="V780">
        <v>1428</v>
      </c>
      <c r="W780" t="s">
        <v>36</v>
      </c>
      <c r="X780">
        <v>6464.87</v>
      </c>
    </row>
    <row r="781" spans="1:24" x14ac:dyDescent="0.25">
      <c r="A781" s="2">
        <v>100779</v>
      </c>
      <c r="B781" s="1">
        <v>45518</v>
      </c>
      <c r="C781" s="1">
        <v>45518</v>
      </c>
      <c r="D781" s="1">
        <v>45531</v>
      </c>
      <c r="E781" t="s">
        <v>2174</v>
      </c>
      <c r="F781" t="s">
        <v>32</v>
      </c>
      <c r="G781" t="s">
        <v>95</v>
      </c>
      <c r="H781" t="s">
        <v>2175</v>
      </c>
      <c r="I781" t="s">
        <v>207</v>
      </c>
      <c r="J781" t="s">
        <v>80</v>
      </c>
      <c r="K781" t="s">
        <v>2176</v>
      </c>
      <c r="L781" t="s">
        <v>31</v>
      </c>
      <c r="M781" t="s">
        <v>38</v>
      </c>
      <c r="N781" t="s">
        <v>107</v>
      </c>
      <c r="O781" t="s">
        <v>108</v>
      </c>
      <c r="P781" t="s">
        <v>123</v>
      </c>
      <c r="Q781">
        <v>453</v>
      </c>
      <c r="R781">
        <v>110.02</v>
      </c>
      <c r="S781">
        <v>49839.06</v>
      </c>
      <c r="T781">
        <v>21.7</v>
      </c>
      <c r="U781">
        <v>13</v>
      </c>
      <c r="V781">
        <v>689</v>
      </c>
      <c r="W781" t="s">
        <v>36</v>
      </c>
      <c r="X781">
        <v>10754.79</v>
      </c>
    </row>
    <row r="782" spans="1:24" x14ac:dyDescent="0.25">
      <c r="A782" s="2">
        <v>100780</v>
      </c>
      <c r="B782" s="1">
        <v>45760</v>
      </c>
      <c r="C782" s="1">
        <v>45760</v>
      </c>
      <c r="D782" s="1">
        <v>45773</v>
      </c>
      <c r="E782" t="s">
        <v>2122</v>
      </c>
      <c r="F782" t="s">
        <v>25</v>
      </c>
      <c r="G782" t="s">
        <v>169</v>
      </c>
      <c r="H782" t="s">
        <v>2177</v>
      </c>
      <c r="I782" t="s">
        <v>126</v>
      </c>
      <c r="J782" t="s">
        <v>42</v>
      </c>
      <c r="K782" t="s">
        <v>1686</v>
      </c>
      <c r="L782" t="s">
        <v>44</v>
      </c>
      <c r="M782" t="s">
        <v>54</v>
      </c>
      <c r="N782" t="s">
        <v>102</v>
      </c>
      <c r="O782" t="s">
        <v>103</v>
      </c>
      <c r="P782" t="s">
        <v>76</v>
      </c>
      <c r="Q782">
        <v>461</v>
      </c>
      <c r="R782">
        <v>360.91</v>
      </c>
      <c r="S782">
        <v>166379.51</v>
      </c>
      <c r="T782">
        <v>16.420000000000002</v>
      </c>
      <c r="U782">
        <v>13</v>
      </c>
      <c r="V782">
        <v>631</v>
      </c>
      <c r="W782" t="s">
        <v>36</v>
      </c>
      <c r="X782">
        <v>29975.66</v>
      </c>
    </row>
    <row r="783" spans="1:24" x14ac:dyDescent="0.25">
      <c r="A783" s="2">
        <v>100781</v>
      </c>
      <c r="B783" s="1">
        <v>45805</v>
      </c>
      <c r="C783" s="1">
        <v>45805</v>
      </c>
      <c r="D783" s="1">
        <v>45807</v>
      </c>
      <c r="E783" t="s">
        <v>2178</v>
      </c>
      <c r="F783" t="s">
        <v>54</v>
      </c>
      <c r="G783" t="s">
        <v>225</v>
      </c>
      <c r="H783" t="s">
        <v>2179</v>
      </c>
      <c r="I783" t="s">
        <v>191</v>
      </c>
      <c r="J783" t="s">
        <v>62</v>
      </c>
      <c r="K783" t="s">
        <v>640</v>
      </c>
      <c r="L783" t="s">
        <v>64</v>
      </c>
      <c r="M783" t="s">
        <v>54</v>
      </c>
      <c r="N783" t="s">
        <v>102</v>
      </c>
      <c r="O783" t="s">
        <v>103</v>
      </c>
      <c r="P783" t="s">
        <v>35</v>
      </c>
      <c r="Q783">
        <v>443</v>
      </c>
      <c r="R783">
        <v>28.75</v>
      </c>
      <c r="S783">
        <v>12736.25</v>
      </c>
      <c r="T783">
        <v>18.54</v>
      </c>
      <c r="U783">
        <v>2</v>
      </c>
      <c r="V783">
        <v>3310</v>
      </c>
      <c r="W783" t="s">
        <v>36</v>
      </c>
      <c r="X783">
        <v>1549.63</v>
      </c>
    </row>
    <row r="784" spans="1:24" x14ac:dyDescent="0.25">
      <c r="A784" s="2">
        <v>100782</v>
      </c>
      <c r="B784" s="1">
        <v>45939</v>
      </c>
      <c r="C784" s="1">
        <v>45942</v>
      </c>
      <c r="D784" s="1">
        <v>45944</v>
      </c>
      <c r="E784" t="s">
        <v>2180</v>
      </c>
      <c r="F784" t="s">
        <v>65</v>
      </c>
      <c r="G784" t="s">
        <v>70</v>
      </c>
      <c r="H784" t="s">
        <v>2181</v>
      </c>
      <c r="I784" t="s">
        <v>149</v>
      </c>
      <c r="J784" t="s">
        <v>42</v>
      </c>
      <c r="K784" t="s">
        <v>2182</v>
      </c>
      <c r="L784" t="s">
        <v>122</v>
      </c>
      <c r="M784" t="s">
        <v>32</v>
      </c>
      <c r="N784" t="s">
        <v>151</v>
      </c>
      <c r="O784" t="s">
        <v>152</v>
      </c>
      <c r="P784" t="s">
        <v>68</v>
      </c>
      <c r="Q784">
        <v>438</v>
      </c>
      <c r="R784">
        <v>434.75</v>
      </c>
      <c r="S784">
        <v>190420.5</v>
      </c>
      <c r="T784">
        <v>56.89</v>
      </c>
      <c r="U784">
        <v>2</v>
      </c>
      <c r="V784">
        <v>1239</v>
      </c>
      <c r="W784" t="s">
        <v>36</v>
      </c>
      <c r="X784">
        <v>26261.14</v>
      </c>
    </row>
    <row r="785" spans="1:24" x14ac:dyDescent="0.25">
      <c r="A785" s="2">
        <v>100783</v>
      </c>
      <c r="B785" s="1">
        <v>45858</v>
      </c>
      <c r="C785" s="1">
        <v>45861</v>
      </c>
      <c r="D785" s="1">
        <v>45865</v>
      </c>
      <c r="E785" t="s">
        <v>2183</v>
      </c>
      <c r="F785" t="s">
        <v>54</v>
      </c>
      <c r="G785" t="s">
        <v>225</v>
      </c>
      <c r="H785" t="s">
        <v>2184</v>
      </c>
      <c r="I785" t="s">
        <v>41</v>
      </c>
      <c r="J785" t="s">
        <v>42</v>
      </c>
      <c r="K785" t="s">
        <v>2185</v>
      </c>
      <c r="L785" t="s">
        <v>98</v>
      </c>
      <c r="M785" t="s">
        <v>25</v>
      </c>
      <c r="N785" t="s">
        <v>55</v>
      </c>
      <c r="O785" t="s">
        <v>56</v>
      </c>
      <c r="P785" t="s">
        <v>123</v>
      </c>
      <c r="Q785">
        <v>183</v>
      </c>
      <c r="R785">
        <v>288.83</v>
      </c>
      <c r="S785">
        <v>52855.89</v>
      </c>
      <c r="T785">
        <v>15.14</v>
      </c>
      <c r="U785">
        <v>4</v>
      </c>
      <c r="V785">
        <v>1756</v>
      </c>
      <c r="W785" t="s">
        <v>36</v>
      </c>
      <c r="X785">
        <v>7774.67</v>
      </c>
    </row>
    <row r="786" spans="1:24" x14ac:dyDescent="0.25">
      <c r="A786" s="2">
        <v>100784</v>
      </c>
      <c r="B786" s="1">
        <v>45351</v>
      </c>
      <c r="C786" s="1">
        <v>45352</v>
      </c>
      <c r="D786" s="1">
        <v>45364</v>
      </c>
      <c r="E786" t="s">
        <v>2186</v>
      </c>
      <c r="F786" t="s">
        <v>65</v>
      </c>
      <c r="G786" t="s">
        <v>154</v>
      </c>
      <c r="H786" t="s">
        <v>2187</v>
      </c>
      <c r="I786" t="s">
        <v>41</v>
      </c>
      <c r="J786" t="s">
        <v>42</v>
      </c>
      <c r="K786" t="s">
        <v>766</v>
      </c>
      <c r="L786" t="s">
        <v>118</v>
      </c>
      <c r="M786" t="s">
        <v>65</v>
      </c>
      <c r="N786" t="s">
        <v>151</v>
      </c>
      <c r="O786" t="s">
        <v>152</v>
      </c>
      <c r="P786" t="s">
        <v>35</v>
      </c>
      <c r="Q786">
        <v>238</v>
      </c>
      <c r="R786">
        <v>219.59</v>
      </c>
      <c r="S786">
        <v>52262.42</v>
      </c>
      <c r="T786">
        <v>14.24</v>
      </c>
      <c r="U786">
        <v>12</v>
      </c>
      <c r="V786">
        <v>883</v>
      </c>
      <c r="W786" t="s">
        <v>188</v>
      </c>
      <c r="X786">
        <v>5522.94</v>
      </c>
    </row>
    <row r="787" spans="1:24" x14ac:dyDescent="0.25">
      <c r="A787" s="2">
        <v>100785</v>
      </c>
      <c r="B787" s="1">
        <v>45644</v>
      </c>
      <c r="C787" s="1">
        <v>45647</v>
      </c>
      <c r="D787" s="1">
        <v>45652</v>
      </c>
      <c r="E787" t="s">
        <v>2188</v>
      </c>
      <c r="F787" t="s">
        <v>32</v>
      </c>
      <c r="G787" t="s">
        <v>95</v>
      </c>
      <c r="H787" t="s">
        <v>2189</v>
      </c>
      <c r="I787" t="s">
        <v>191</v>
      </c>
      <c r="J787" t="s">
        <v>62</v>
      </c>
      <c r="K787" t="s">
        <v>316</v>
      </c>
      <c r="L787" t="s">
        <v>98</v>
      </c>
      <c r="M787" t="s">
        <v>65</v>
      </c>
      <c r="N787" t="s">
        <v>102</v>
      </c>
      <c r="O787" t="s">
        <v>103</v>
      </c>
      <c r="P787" t="s">
        <v>68</v>
      </c>
      <c r="Q787">
        <v>226</v>
      </c>
      <c r="R787">
        <v>34.68</v>
      </c>
      <c r="S787">
        <v>7837.68</v>
      </c>
      <c r="T787">
        <v>43.16</v>
      </c>
      <c r="U787">
        <v>5</v>
      </c>
      <c r="V787">
        <v>1485</v>
      </c>
      <c r="W787" t="s">
        <v>36</v>
      </c>
      <c r="X787">
        <v>1132.43</v>
      </c>
    </row>
    <row r="788" spans="1:24" x14ac:dyDescent="0.25">
      <c r="A788" s="2">
        <v>100786</v>
      </c>
      <c r="B788" s="1">
        <v>45991</v>
      </c>
      <c r="C788" s="1">
        <v>45993</v>
      </c>
      <c r="D788" s="1">
        <v>45998</v>
      </c>
      <c r="E788" t="s">
        <v>2190</v>
      </c>
      <c r="F788" t="s">
        <v>54</v>
      </c>
      <c r="G788" t="s">
        <v>158</v>
      </c>
      <c r="H788" t="s">
        <v>2191</v>
      </c>
      <c r="I788" t="s">
        <v>28</v>
      </c>
      <c r="J788" t="s">
        <v>29</v>
      </c>
      <c r="K788" t="s">
        <v>2192</v>
      </c>
      <c r="L788" t="s">
        <v>122</v>
      </c>
      <c r="M788" t="s">
        <v>65</v>
      </c>
      <c r="N788" t="s">
        <v>33</v>
      </c>
      <c r="O788" t="s">
        <v>34</v>
      </c>
      <c r="P788" t="s">
        <v>68</v>
      </c>
      <c r="Q788">
        <v>493</v>
      </c>
      <c r="R788">
        <v>39.799999999999997</v>
      </c>
      <c r="S788">
        <v>19621.400000000001</v>
      </c>
      <c r="T788">
        <v>60.46</v>
      </c>
      <c r="U788">
        <v>5</v>
      </c>
      <c r="V788">
        <v>2074</v>
      </c>
      <c r="W788" t="s">
        <v>36</v>
      </c>
      <c r="X788">
        <v>4341.8900000000003</v>
      </c>
    </row>
    <row r="789" spans="1:24" x14ac:dyDescent="0.25">
      <c r="A789" s="2">
        <v>100787</v>
      </c>
      <c r="B789" s="1">
        <v>45712</v>
      </c>
      <c r="C789" s="1">
        <v>45713</v>
      </c>
      <c r="D789" s="1">
        <v>45717</v>
      </c>
      <c r="E789" t="s">
        <v>2193</v>
      </c>
      <c r="F789" t="s">
        <v>38</v>
      </c>
      <c r="G789" t="s">
        <v>147</v>
      </c>
      <c r="H789" t="s">
        <v>2194</v>
      </c>
      <c r="I789" t="s">
        <v>198</v>
      </c>
      <c r="J789" t="s">
        <v>52</v>
      </c>
      <c r="K789" t="s">
        <v>2195</v>
      </c>
      <c r="L789" t="s">
        <v>31</v>
      </c>
      <c r="M789" t="s">
        <v>38</v>
      </c>
      <c r="N789" t="s">
        <v>74</v>
      </c>
      <c r="O789" t="s">
        <v>75</v>
      </c>
      <c r="P789" t="s">
        <v>35</v>
      </c>
      <c r="Q789">
        <v>202</v>
      </c>
      <c r="R789">
        <v>23.7</v>
      </c>
      <c r="S789">
        <v>4787.3999999999996</v>
      </c>
      <c r="T789">
        <v>13.48</v>
      </c>
      <c r="U789">
        <v>4</v>
      </c>
      <c r="V789">
        <v>1072</v>
      </c>
      <c r="W789" t="s">
        <v>36</v>
      </c>
      <c r="X789">
        <v>758.6</v>
      </c>
    </row>
    <row r="790" spans="1:24" x14ac:dyDescent="0.25">
      <c r="A790" s="2">
        <v>100788</v>
      </c>
      <c r="B790" s="1">
        <v>45918</v>
      </c>
      <c r="C790" s="1">
        <v>45922</v>
      </c>
      <c r="D790" s="1">
        <v>45927</v>
      </c>
      <c r="E790" t="s">
        <v>1849</v>
      </c>
      <c r="F790" t="s">
        <v>65</v>
      </c>
      <c r="G790" t="s">
        <v>70</v>
      </c>
      <c r="H790" t="s">
        <v>2196</v>
      </c>
      <c r="I790" t="s">
        <v>368</v>
      </c>
      <c r="J790" t="s">
        <v>29</v>
      </c>
      <c r="K790" t="s">
        <v>2197</v>
      </c>
      <c r="L790" t="s">
        <v>31</v>
      </c>
      <c r="M790" t="s">
        <v>32</v>
      </c>
      <c r="N790" t="s">
        <v>33</v>
      </c>
      <c r="O790" t="s">
        <v>34</v>
      </c>
      <c r="P790" t="s">
        <v>68</v>
      </c>
      <c r="Q790">
        <v>237</v>
      </c>
      <c r="R790">
        <v>71.010000000000005</v>
      </c>
      <c r="S790">
        <v>16829.37</v>
      </c>
      <c r="T790">
        <v>43.87</v>
      </c>
      <c r="U790">
        <v>5</v>
      </c>
      <c r="V790">
        <v>671</v>
      </c>
      <c r="W790" t="s">
        <v>36</v>
      </c>
      <c r="X790">
        <v>1953.06</v>
      </c>
    </row>
    <row r="791" spans="1:24" x14ac:dyDescent="0.25">
      <c r="A791" s="2">
        <v>100789</v>
      </c>
      <c r="B791" s="1">
        <v>45727</v>
      </c>
      <c r="C791" s="1">
        <v>45729</v>
      </c>
      <c r="D791" s="1">
        <v>45730</v>
      </c>
      <c r="E791" t="s">
        <v>1001</v>
      </c>
      <c r="F791" t="s">
        <v>38</v>
      </c>
      <c r="G791" t="s">
        <v>83</v>
      </c>
      <c r="H791" t="s">
        <v>2198</v>
      </c>
      <c r="I791" t="s">
        <v>51</v>
      </c>
      <c r="J791" t="s">
        <v>52</v>
      </c>
      <c r="K791" t="s">
        <v>2199</v>
      </c>
      <c r="L791" t="s">
        <v>187</v>
      </c>
      <c r="M791" t="s">
        <v>32</v>
      </c>
      <c r="N791" t="s">
        <v>151</v>
      </c>
      <c r="O791" t="s">
        <v>152</v>
      </c>
      <c r="P791" t="s">
        <v>68</v>
      </c>
      <c r="Q791">
        <v>407</v>
      </c>
      <c r="R791">
        <v>79.77</v>
      </c>
      <c r="S791">
        <v>32466.39</v>
      </c>
      <c r="T791">
        <v>54.89</v>
      </c>
      <c r="U791">
        <v>1</v>
      </c>
      <c r="V791">
        <v>917</v>
      </c>
      <c r="W791" t="s">
        <v>36</v>
      </c>
      <c r="X791">
        <v>2538.88</v>
      </c>
    </row>
    <row r="792" spans="1:24" x14ac:dyDescent="0.25">
      <c r="A792" s="2">
        <v>100790</v>
      </c>
      <c r="B792" s="1">
        <v>45673</v>
      </c>
      <c r="C792" s="1">
        <v>45678</v>
      </c>
      <c r="D792" s="1">
        <v>45684</v>
      </c>
      <c r="E792" t="s">
        <v>2200</v>
      </c>
      <c r="F792" t="s">
        <v>25</v>
      </c>
      <c r="G792" t="s">
        <v>172</v>
      </c>
      <c r="H792" t="s">
        <v>2201</v>
      </c>
      <c r="I792" t="s">
        <v>416</v>
      </c>
      <c r="J792" t="s">
        <v>80</v>
      </c>
      <c r="K792" t="s">
        <v>2202</v>
      </c>
      <c r="L792" t="s">
        <v>44</v>
      </c>
      <c r="M792" t="s">
        <v>54</v>
      </c>
      <c r="N792" t="s">
        <v>203</v>
      </c>
      <c r="O792" t="s">
        <v>204</v>
      </c>
      <c r="P792" t="s">
        <v>123</v>
      </c>
      <c r="Q792">
        <v>498</v>
      </c>
      <c r="R792">
        <v>286.82</v>
      </c>
      <c r="S792">
        <v>142836.35999999999</v>
      </c>
      <c r="T792">
        <v>22.79</v>
      </c>
      <c r="U792">
        <v>6</v>
      </c>
      <c r="V792">
        <v>404</v>
      </c>
      <c r="W792" t="s">
        <v>36</v>
      </c>
      <c r="X792">
        <v>24388.57</v>
      </c>
    </row>
    <row r="793" spans="1:24" x14ac:dyDescent="0.25">
      <c r="A793" s="2">
        <v>100791</v>
      </c>
      <c r="B793" s="1">
        <v>45459</v>
      </c>
      <c r="C793" s="1">
        <v>45464</v>
      </c>
      <c r="D793" s="1">
        <v>45486</v>
      </c>
      <c r="E793" t="s">
        <v>2203</v>
      </c>
      <c r="F793" t="s">
        <v>38</v>
      </c>
      <c r="G793" t="s">
        <v>147</v>
      </c>
      <c r="H793" t="s">
        <v>2204</v>
      </c>
      <c r="I793" t="s">
        <v>79</v>
      </c>
      <c r="J793" t="s">
        <v>80</v>
      </c>
      <c r="K793" t="s">
        <v>613</v>
      </c>
      <c r="L793" t="s">
        <v>64</v>
      </c>
      <c r="M793" t="s">
        <v>65</v>
      </c>
      <c r="N793" t="s">
        <v>74</v>
      </c>
      <c r="O793" t="s">
        <v>75</v>
      </c>
      <c r="P793" t="s">
        <v>76</v>
      </c>
      <c r="Q793">
        <v>42</v>
      </c>
      <c r="R793">
        <v>130.33000000000001</v>
      </c>
      <c r="S793">
        <v>5473.86</v>
      </c>
      <c r="T793">
        <v>8.7799999999999994</v>
      </c>
      <c r="U793">
        <v>22</v>
      </c>
      <c r="V793">
        <v>1052</v>
      </c>
      <c r="W793" t="s">
        <v>36</v>
      </c>
      <c r="X793">
        <v>1427.83</v>
      </c>
    </row>
    <row r="794" spans="1:24" x14ac:dyDescent="0.25">
      <c r="A794" s="2">
        <v>100792</v>
      </c>
      <c r="B794" s="1">
        <v>45700</v>
      </c>
      <c r="C794" s="1">
        <v>45701</v>
      </c>
      <c r="D794" s="1">
        <v>45713</v>
      </c>
      <c r="E794" t="s">
        <v>644</v>
      </c>
      <c r="F794" t="s">
        <v>38</v>
      </c>
      <c r="G794" t="s">
        <v>217</v>
      </c>
      <c r="H794" t="s">
        <v>2205</v>
      </c>
      <c r="I794" t="s">
        <v>79</v>
      </c>
      <c r="J794" t="s">
        <v>80</v>
      </c>
      <c r="K794" t="s">
        <v>2206</v>
      </c>
      <c r="L794" t="s">
        <v>122</v>
      </c>
      <c r="M794" t="s">
        <v>25</v>
      </c>
      <c r="N794" t="s">
        <v>92</v>
      </c>
      <c r="O794" t="s">
        <v>93</v>
      </c>
      <c r="P794" t="s">
        <v>76</v>
      </c>
      <c r="Q794">
        <v>204</v>
      </c>
      <c r="R794">
        <v>267.69</v>
      </c>
      <c r="S794">
        <v>54608.76</v>
      </c>
      <c r="T794">
        <v>11.74</v>
      </c>
      <c r="U794">
        <v>12</v>
      </c>
      <c r="V794">
        <v>1497</v>
      </c>
      <c r="W794" t="s">
        <v>47</v>
      </c>
      <c r="X794">
        <v>-175.59</v>
      </c>
    </row>
    <row r="795" spans="1:24" x14ac:dyDescent="0.25">
      <c r="A795" s="2">
        <v>100793</v>
      </c>
      <c r="B795" s="1">
        <v>45304</v>
      </c>
      <c r="C795" s="1">
        <v>45309</v>
      </c>
      <c r="D795" s="1">
        <v>45313</v>
      </c>
      <c r="E795" t="s">
        <v>2207</v>
      </c>
      <c r="F795" t="s">
        <v>54</v>
      </c>
      <c r="G795" t="s">
        <v>165</v>
      </c>
      <c r="H795" t="s">
        <v>2208</v>
      </c>
      <c r="I795" t="s">
        <v>182</v>
      </c>
      <c r="J795" t="s">
        <v>80</v>
      </c>
      <c r="K795" t="s">
        <v>2209</v>
      </c>
      <c r="L795" t="s">
        <v>31</v>
      </c>
      <c r="M795" t="s">
        <v>32</v>
      </c>
      <c r="N795" t="s">
        <v>66</v>
      </c>
      <c r="O795" t="s">
        <v>67</v>
      </c>
      <c r="P795" t="s">
        <v>35</v>
      </c>
      <c r="Q795">
        <v>286</v>
      </c>
      <c r="R795">
        <v>205.66</v>
      </c>
      <c r="S795">
        <v>58818.76</v>
      </c>
      <c r="T795">
        <v>20.58</v>
      </c>
      <c r="U795">
        <v>4</v>
      </c>
      <c r="V795">
        <v>1901</v>
      </c>
      <c r="W795" t="s">
        <v>36</v>
      </c>
      <c r="X795">
        <v>9900.08</v>
      </c>
    </row>
    <row r="796" spans="1:24" x14ac:dyDescent="0.25">
      <c r="A796" s="2">
        <v>100794</v>
      </c>
      <c r="B796" s="1">
        <v>45406</v>
      </c>
      <c r="C796" s="1">
        <v>45407</v>
      </c>
      <c r="D796" s="1">
        <v>45411</v>
      </c>
      <c r="E796" t="s">
        <v>2210</v>
      </c>
      <c r="F796" t="s">
        <v>65</v>
      </c>
      <c r="G796" t="s">
        <v>154</v>
      </c>
      <c r="H796" t="s">
        <v>2211</v>
      </c>
      <c r="I796" t="s">
        <v>238</v>
      </c>
      <c r="J796" t="s">
        <v>62</v>
      </c>
      <c r="K796" t="s">
        <v>2212</v>
      </c>
      <c r="L796" t="s">
        <v>64</v>
      </c>
      <c r="M796" t="s">
        <v>54</v>
      </c>
      <c r="N796" t="s">
        <v>92</v>
      </c>
      <c r="O796" t="s">
        <v>93</v>
      </c>
      <c r="P796" t="s">
        <v>68</v>
      </c>
      <c r="Q796">
        <v>224</v>
      </c>
      <c r="R796">
        <v>39.75</v>
      </c>
      <c r="S796">
        <v>8904</v>
      </c>
      <c r="T796">
        <v>43.03</v>
      </c>
      <c r="U796">
        <v>4</v>
      </c>
      <c r="V796">
        <v>2606</v>
      </c>
      <c r="W796" t="s">
        <v>36</v>
      </c>
      <c r="X796">
        <v>1288.06</v>
      </c>
    </row>
    <row r="797" spans="1:24" x14ac:dyDescent="0.25">
      <c r="A797" s="2">
        <v>100795</v>
      </c>
      <c r="B797" s="1">
        <v>45979</v>
      </c>
      <c r="C797" s="1">
        <v>45983</v>
      </c>
      <c r="D797" s="1">
        <v>45989</v>
      </c>
      <c r="E797" t="s">
        <v>2213</v>
      </c>
      <c r="F797" t="s">
        <v>25</v>
      </c>
      <c r="G797" t="s">
        <v>233</v>
      </c>
      <c r="H797" t="s">
        <v>2214</v>
      </c>
      <c r="I797" t="s">
        <v>139</v>
      </c>
      <c r="J797" t="s">
        <v>42</v>
      </c>
      <c r="K797" t="s">
        <v>2215</v>
      </c>
      <c r="L797" t="s">
        <v>113</v>
      </c>
      <c r="M797" t="s">
        <v>54</v>
      </c>
      <c r="N797" t="s">
        <v>66</v>
      </c>
      <c r="O797" t="s">
        <v>67</v>
      </c>
      <c r="P797" t="s">
        <v>35</v>
      </c>
      <c r="Q797">
        <v>78</v>
      </c>
      <c r="R797">
        <v>355.78</v>
      </c>
      <c r="S797">
        <v>27750.84</v>
      </c>
      <c r="T797">
        <v>14.69</v>
      </c>
      <c r="U797">
        <v>6</v>
      </c>
      <c r="V797">
        <v>65</v>
      </c>
      <c r="W797" t="s">
        <v>36</v>
      </c>
      <c r="X797">
        <v>3511.42</v>
      </c>
    </row>
    <row r="798" spans="1:24" x14ac:dyDescent="0.25">
      <c r="A798" s="2">
        <v>100796</v>
      </c>
      <c r="B798" s="1">
        <v>45539</v>
      </c>
      <c r="C798" s="1">
        <v>45539</v>
      </c>
      <c r="D798" s="1">
        <v>45549</v>
      </c>
      <c r="E798" t="s">
        <v>2216</v>
      </c>
      <c r="F798" t="s">
        <v>65</v>
      </c>
      <c r="G798" t="s">
        <v>142</v>
      </c>
      <c r="H798" t="s">
        <v>2217</v>
      </c>
      <c r="I798" t="s">
        <v>85</v>
      </c>
      <c r="J798" t="s">
        <v>52</v>
      </c>
      <c r="K798" t="s">
        <v>386</v>
      </c>
      <c r="L798" t="s">
        <v>118</v>
      </c>
      <c r="M798" t="s">
        <v>25</v>
      </c>
      <c r="N798" t="s">
        <v>203</v>
      </c>
      <c r="O798" t="s">
        <v>204</v>
      </c>
      <c r="P798" t="s">
        <v>68</v>
      </c>
      <c r="Q798">
        <v>130</v>
      </c>
      <c r="R798">
        <v>84.65</v>
      </c>
      <c r="S798">
        <v>11004.5</v>
      </c>
      <c r="T798">
        <v>36.94</v>
      </c>
      <c r="U798">
        <v>10</v>
      </c>
      <c r="V798">
        <v>2480</v>
      </c>
      <c r="W798" t="s">
        <v>36</v>
      </c>
      <c r="X798">
        <v>1906.87</v>
      </c>
    </row>
    <row r="799" spans="1:24" x14ac:dyDescent="0.25">
      <c r="A799" s="2">
        <v>100797</v>
      </c>
      <c r="B799" s="1">
        <v>45405</v>
      </c>
      <c r="C799" s="1">
        <v>45409</v>
      </c>
      <c r="D799" s="1">
        <v>45412</v>
      </c>
      <c r="E799" t="s">
        <v>2218</v>
      </c>
      <c r="F799" t="s">
        <v>65</v>
      </c>
      <c r="G799" t="s">
        <v>142</v>
      </c>
      <c r="H799" t="s">
        <v>2219</v>
      </c>
      <c r="I799" t="s">
        <v>139</v>
      </c>
      <c r="J799" t="s">
        <v>42</v>
      </c>
      <c r="K799" t="s">
        <v>2220</v>
      </c>
      <c r="L799" t="s">
        <v>118</v>
      </c>
      <c r="M799" t="s">
        <v>54</v>
      </c>
      <c r="N799" t="s">
        <v>203</v>
      </c>
      <c r="O799" t="s">
        <v>204</v>
      </c>
      <c r="P799" t="s">
        <v>35</v>
      </c>
      <c r="Q799">
        <v>450</v>
      </c>
      <c r="R799">
        <v>305.67</v>
      </c>
      <c r="S799">
        <v>137551.5</v>
      </c>
      <c r="T799">
        <v>25.23</v>
      </c>
      <c r="U799">
        <v>3</v>
      </c>
      <c r="V799">
        <v>375</v>
      </c>
      <c r="W799" t="s">
        <v>36</v>
      </c>
      <c r="X799">
        <v>12875.62</v>
      </c>
    </row>
    <row r="800" spans="1:24" x14ac:dyDescent="0.25">
      <c r="A800" s="2">
        <v>100798</v>
      </c>
      <c r="B800" s="1">
        <v>45450</v>
      </c>
      <c r="C800" s="1">
        <v>45454</v>
      </c>
      <c r="D800" s="1">
        <v>45468</v>
      </c>
      <c r="E800" t="s">
        <v>2221</v>
      </c>
      <c r="F800" t="s">
        <v>32</v>
      </c>
      <c r="G800" t="s">
        <v>110</v>
      </c>
      <c r="H800" t="s">
        <v>2222</v>
      </c>
      <c r="I800" t="s">
        <v>116</v>
      </c>
      <c r="J800" t="s">
        <v>62</v>
      </c>
      <c r="K800" t="s">
        <v>1867</v>
      </c>
      <c r="L800" t="s">
        <v>122</v>
      </c>
      <c r="M800" t="s">
        <v>54</v>
      </c>
      <c r="N800" t="s">
        <v>203</v>
      </c>
      <c r="O800" t="s">
        <v>204</v>
      </c>
      <c r="P800" t="s">
        <v>123</v>
      </c>
      <c r="Q800">
        <v>105</v>
      </c>
      <c r="R800">
        <v>39.450000000000003</v>
      </c>
      <c r="S800">
        <v>4142.25</v>
      </c>
      <c r="T800">
        <v>13.24</v>
      </c>
      <c r="U800">
        <v>14</v>
      </c>
      <c r="V800">
        <v>2669</v>
      </c>
      <c r="W800" t="s">
        <v>36</v>
      </c>
      <c r="X800">
        <v>383.08</v>
      </c>
    </row>
    <row r="801" spans="1:24" x14ac:dyDescent="0.25">
      <c r="A801" s="2">
        <v>100799</v>
      </c>
      <c r="B801" s="1">
        <v>45585</v>
      </c>
      <c r="C801" s="1">
        <v>45587</v>
      </c>
      <c r="D801" s="1">
        <v>45589</v>
      </c>
      <c r="E801" t="s">
        <v>2223</v>
      </c>
      <c r="F801" t="s">
        <v>65</v>
      </c>
      <c r="G801" t="s">
        <v>70</v>
      </c>
      <c r="H801" t="s">
        <v>1599</v>
      </c>
      <c r="I801" t="s">
        <v>51</v>
      </c>
      <c r="J801" t="s">
        <v>52</v>
      </c>
      <c r="K801" t="s">
        <v>2224</v>
      </c>
      <c r="L801" t="s">
        <v>91</v>
      </c>
      <c r="M801" t="s">
        <v>38</v>
      </c>
      <c r="N801" t="s">
        <v>74</v>
      </c>
      <c r="O801" t="s">
        <v>75</v>
      </c>
      <c r="P801" t="s">
        <v>35</v>
      </c>
      <c r="Q801">
        <v>346</v>
      </c>
      <c r="R801">
        <v>85.7</v>
      </c>
      <c r="S801">
        <v>29652.2</v>
      </c>
      <c r="T801">
        <v>22.28</v>
      </c>
      <c r="U801">
        <v>2</v>
      </c>
      <c r="V801">
        <v>738</v>
      </c>
      <c r="W801" t="s">
        <v>36</v>
      </c>
      <c r="X801">
        <v>3976.42</v>
      </c>
    </row>
    <row r="802" spans="1:24" x14ac:dyDescent="0.25">
      <c r="A802" s="2">
        <v>100800</v>
      </c>
      <c r="B802" s="1">
        <v>45510</v>
      </c>
      <c r="C802" s="1">
        <v>45515</v>
      </c>
      <c r="D802" s="1">
        <v>45525</v>
      </c>
      <c r="E802" t="s">
        <v>2225</v>
      </c>
      <c r="F802" t="s">
        <v>32</v>
      </c>
      <c r="G802" t="s">
        <v>255</v>
      </c>
      <c r="H802" t="s">
        <v>2226</v>
      </c>
      <c r="I802" t="s">
        <v>149</v>
      </c>
      <c r="J802" t="s">
        <v>42</v>
      </c>
      <c r="K802" t="s">
        <v>2227</v>
      </c>
      <c r="L802" t="s">
        <v>113</v>
      </c>
      <c r="M802" t="s">
        <v>25</v>
      </c>
      <c r="N802" t="s">
        <v>55</v>
      </c>
      <c r="O802" t="s">
        <v>56</v>
      </c>
      <c r="P802" t="s">
        <v>76</v>
      </c>
      <c r="Q802">
        <v>151</v>
      </c>
      <c r="R802">
        <v>412.8</v>
      </c>
      <c r="S802">
        <v>62332.800000000003</v>
      </c>
      <c r="T802">
        <v>10.77</v>
      </c>
      <c r="U802">
        <v>10</v>
      </c>
      <c r="V802">
        <v>256</v>
      </c>
      <c r="W802" t="s">
        <v>36</v>
      </c>
      <c r="X802">
        <v>8826.0400000000009</v>
      </c>
    </row>
    <row r="803" spans="1:24" x14ac:dyDescent="0.25">
      <c r="A803" s="2">
        <v>100801</v>
      </c>
      <c r="B803" s="1">
        <v>45476</v>
      </c>
      <c r="C803" s="1">
        <v>45480</v>
      </c>
      <c r="D803" s="1">
        <v>45488</v>
      </c>
      <c r="E803" t="s">
        <v>2228</v>
      </c>
      <c r="F803" t="s">
        <v>65</v>
      </c>
      <c r="G803" t="s">
        <v>142</v>
      </c>
      <c r="H803" t="s">
        <v>2229</v>
      </c>
      <c r="I803" t="s">
        <v>72</v>
      </c>
      <c r="J803" t="s">
        <v>42</v>
      </c>
      <c r="K803" t="s">
        <v>587</v>
      </c>
      <c r="L803" t="s">
        <v>122</v>
      </c>
      <c r="M803" t="s">
        <v>65</v>
      </c>
      <c r="N803" t="s">
        <v>203</v>
      </c>
      <c r="O803" t="s">
        <v>204</v>
      </c>
      <c r="P803" t="s">
        <v>123</v>
      </c>
      <c r="Q803">
        <v>395</v>
      </c>
      <c r="R803">
        <v>331.16</v>
      </c>
      <c r="S803">
        <v>130808.2</v>
      </c>
      <c r="T803">
        <v>15.03</v>
      </c>
      <c r="U803">
        <v>8</v>
      </c>
      <c r="V803">
        <v>476</v>
      </c>
      <c r="W803" t="s">
        <v>36</v>
      </c>
      <c r="X803">
        <v>25895.439999999999</v>
      </c>
    </row>
    <row r="804" spans="1:24" x14ac:dyDescent="0.25">
      <c r="A804" s="2">
        <v>100802</v>
      </c>
      <c r="B804" s="1">
        <v>45509</v>
      </c>
      <c r="C804" s="1">
        <v>45511</v>
      </c>
      <c r="D804" s="1">
        <v>45516</v>
      </c>
      <c r="E804" t="s">
        <v>2230</v>
      </c>
      <c r="F804" t="s">
        <v>38</v>
      </c>
      <c r="G804" t="s">
        <v>217</v>
      </c>
      <c r="H804" t="s">
        <v>2231</v>
      </c>
      <c r="I804" t="s">
        <v>51</v>
      </c>
      <c r="J804" t="s">
        <v>52</v>
      </c>
      <c r="K804" t="s">
        <v>458</v>
      </c>
      <c r="L804" t="s">
        <v>64</v>
      </c>
      <c r="M804" t="s">
        <v>54</v>
      </c>
      <c r="N804" t="s">
        <v>151</v>
      </c>
      <c r="O804" t="s">
        <v>152</v>
      </c>
      <c r="P804" t="s">
        <v>35</v>
      </c>
      <c r="Q804">
        <v>153</v>
      </c>
      <c r="R804">
        <v>41.34</v>
      </c>
      <c r="S804">
        <v>6325.02</v>
      </c>
      <c r="T804">
        <v>16.809999999999999</v>
      </c>
      <c r="U804">
        <v>5</v>
      </c>
      <c r="V804">
        <v>1682</v>
      </c>
      <c r="W804" t="s">
        <v>36</v>
      </c>
      <c r="X804">
        <v>591.75</v>
      </c>
    </row>
    <row r="805" spans="1:24" x14ac:dyDescent="0.25">
      <c r="A805" s="2">
        <v>100803</v>
      </c>
      <c r="B805" s="1">
        <v>45733</v>
      </c>
      <c r="C805" s="1">
        <v>45733</v>
      </c>
      <c r="D805" s="1">
        <v>45740</v>
      </c>
      <c r="E805" t="s">
        <v>2232</v>
      </c>
      <c r="F805" t="s">
        <v>32</v>
      </c>
      <c r="G805" t="s">
        <v>180</v>
      </c>
      <c r="H805" t="s">
        <v>2233</v>
      </c>
      <c r="I805" t="s">
        <v>116</v>
      </c>
      <c r="J805" t="s">
        <v>62</v>
      </c>
      <c r="K805" t="s">
        <v>452</v>
      </c>
      <c r="L805" t="s">
        <v>187</v>
      </c>
      <c r="M805" t="s">
        <v>32</v>
      </c>
      <c r="N805" t="s">
        <v>66</v>
      </c>
      <c r="O805" t="s">
        <v>67</v>
      </c>
      <c r="P805" t="s">
        <v>35</v>
      </c>
      <c r="Q805">
        <v>34</v>
      </c>
      <c r="R805">
        <v>23.87</v>
      </c>
      <c r="S805">
        <v>811.58</v>
      </c>
      <c r="T805">
        <v>9.9499999999999993</v>
      </c>
      <c r="U805">
        <v>7</v>
      </c>
      <c r="V805">
        <v>1859</v>
      </c>
      <c r="W805" t="s">
        <v>36</v>
      </c>
      <c r="X805">
        <v>86.69</v>
      </c>
    </row>
    <row r="806" spans="1:24" x14ac:dyDescent="0.25">
      <c r="A806" s="2">
        <v>100804</v>
      </c>
      <c r="B806" s="1">
        <v>45397</v>
      </c>
      <c r="C806" s="1">
        <v>45400</v>
      </c>
      <c r="D806" s="1">
        <v>45410</v>
      </c>
      <c r="E806" t="s">
        <v>2234</v>
      </c>
      <c r="F806" t="s">
        <v>38</v>
      </c>
      <c r="G806" t="s">
        <v>83</v>
      </c>
      <c r="H806" t="s">
        <v>2235</v>
      </c>
      <c r="I806" t="s">
        <v>79</v>
      </c>
      <c r="J806" t="s">
        <v>80</v>
      </c>
      <c r="K806" t="s">
        <v>1486</v>
      </c>
      <c r="L806" t="s">
        <v>212</v>
      </c>
      <c r="M806" t="s">
        <v>54</v>
      </c>
      <c r="N806" t="s">
        <v>45</v>
      </c>
      <c r="O806" t="s">
        <v>46</v>
      </c>
      <c r="P806" t="s">
        <v>123</v>
      </c>
      <c r="Q806">
        <v>17</v>
      </c>
      <c r="R806">
        <v>192.84</v>
      </c>
      <c r="S806">
        <v>3278.28</v>
      </c>
      <c r="T806">
        <v>11.11</v>
      </c>
      <c r="U806">
        <v>10</v>
      </c>
      <c r="V806">
        <v>1183</v>
      </c>
      <c r="W806" t="s">
        <v>57</v>
      </c>
      <c r="X806">
        <v>397.74</v>
      </c>
    </row>
    <row r="807" spans="1:24" x14ac:dyDescent="0.25">
      <c r="A807" s="2">
        <v>100805</v>
      </c>
      <c r="B807" s="1">
        <v>45940</v>
      </c>
      <c r="C807" s="1">
        <v>45940</v>
      </c>
      <c r="D807" s="1">
        <v>45956</v>
      </c>
      <c r="E807" t="s">
        <v>1213</v>
      </c>
      <c r="F807" t="s">
        <v>65</v>
      </c>
      <c r="G807" t="s">
        <v>154</v>
      </c>
      <c r="H807" t="s">
        <v>2236</v>
      </c>
      <c r="I807" t="s">
        <v>134</v>
      </c>
      <c r="J807" t="s">
        <v>52</v>
      </c>
      <c r="K807" t="s">
        <v>1679</v>
      </c>
      <c r="L807" t="s">
        <v>91</v>
      </c>
      <c r="M807" t="s">
        <v>65</v>
      </c>
      <c r="N807" t="s">
        <v>33</v>
      </c>
      <c r="O807" t="s">
        <v>34</v>
      </c>
      <c r="P807" t="s">
        <v>76</v>
      </c>
      <c r="Q807">
        <v>76</v>
      </c>
      <c r="R807">
        <v>62.51</v>
      </c>
      <c r="S807">
        <v>4750.76</v>
      </c>
      <c r="T807">
        <v>6.97</v>
      </c>
      <c r="U807">
        <v>16</v>
      </c>
      <c r="V807">
        <v>1977</v>
      </c>
      <c r="W807" t="s">
        <v>36</v>
      </c>
      <c r="X807">
        <v>942.33</v>
      </c>
    </row>
    <row r="808" spans="1:24" x14ac:dyDescent="0.25">
      <c r="A808" s="2">
        <v>100806</v>
      </c>
      <c r="B808" s="1">
        <v>45894</v>
      </c>
      <c r="C808" s="1">
        <v>45899</v>
      </c>
      <c r="D808" s="1">
        <v>45911</v>
      </c>
      <c r="E808" t="s">
        <v>2200</v>
      </c>
      <c r="F808" t="s">
        <v>38</v>
      </c>
      <c r="G808" t="s">
        <v>147</v>
      </c>
      <c r="H808" t="s">
        <v>2237</v>
      </c>
      <c r="I808" t="s">
        <v>230</v>
      </c>
      <c r="J808" t="s">
        <v>80</v>
      </c>
      <c r="K808" t="s">
        <v>1676</v>
      </c>
      <c r="L808" t="s">
        <v>98</v>
      </c>
      <c r="M808" t="s">
        <v>25</v>
      </c>
      <c r="N808" t="s">
        <v>74</v>
      </c>
      <c r="O808" t="s">
        <v>75</v>
      </c>
      <c r="P808" t="s">
        <v>35</v>
      </c>
      <c r="Q808">
        <v>160</v>
      </c>
      <c r="R808">
        <v>47</v>
      </c>
      <c r="S808">
        <v>7520</v>
      </c>
      <c r="T808">
        <v>17.010000000000002</v>
      </c>
      <c r="U808">
        <v>12</v>
      </c>
      <c r="V808">
        <v>820</v>
      </c>
      <c r="W808" t="s">
        <v>188</v>
      </c>
      <c r="X808">
        <v>1247.46</v>
      </c>
    </row>
    <row r="809" spans="1:24" x14ac:dyDescent="0.25">
      <c r="A809" s="2">
        <v>100807</v>
      </c>
      <c r="B809" s="1">
        <v>45761</v>
      </c>
      <c r="C809" s="1">
        <v>45766</v>
      </c>
      <c r="D809" s="1">
        <v>45768</v>
      </c>
      <c r="E809" t="s">
        <v>2238</v>
      </c>
      <c r="F809" t="s">
        <v>25</v>
      </c>
      <c r="G809" t="s">
        <v>26</v>
      </c>
      <c r="H809" t="s">
        <v>2239</v>
      </c>
      <c r="I809" t="s">
        <v>134</v>
      </c>
      <c r="J809" t="s">
        <v>52</v>
      </c>
      <c r="K809" t="s">
        <v>43</v>
      </c>
      <c r="L809" t="s">
        <v>44</v>
      </c>
      <c r="M809" t="s">
        <v>65</v>
      </c>
      <c r="N809" t="s">
        <v>151</v>
      </c>
      <c r="O809" t="s">
        <v>152</v>
      </c>
      <c r="P809" t="s">
        <v>35</v>
      </c>
      <c r="Q809">
        <v>354</v>
      </c>
      <c r="R809">
        <v>65.540000000000006</v>
      </c>
      <c r="S809">
        <v>23201.16</v>
      </c>
      <c r="T809">
        <v>22.51</v>
      </c>
      <c r="U809">
        <v>2</v>
      </c>
      <c r="V809">
        <v>4152</v>
      </c>
      <c r="W809" t="s">
        <v>36</v>
      </c>
      <c r="X809">
        <v>4305.7700000000004</v>
      </c>
    </row>
    <row r="810" spans="1:24" x14ac:dyDescent="0.25">
      <c r="A810" s="2">
        <v>100808</v>
      </c>
      <c r="B810" s="1">
        <v>45307</v>
      </c>
      <c r="C810" s="1">
        <v>45312</v>
      </c>
      <c r="D810" s="1">
        <v>45327</v>
      </c>
      <c r="E810" t="s">
        <v>2240</v>
      </c>
      <c r="F810" t="s">
        <v>54</v>
      </c>
      <c r="G810" t="s">
        <v>225</v>
      </c>
      <c r="H810" t="s">
        <v>2241</v>
      </c>
      <c r="I810" t="s">
        <v>207</v>
      </c>
      <c r="J810" t="s">
        <v>80</v>
      </c>
      <c r="K810" t="s">
        <v>2242</v>
      </c>
      <c r="L810" t="s">
        <v>91</v>
      </c>
      <c r="M810" t="s">
        <v>54</v>
      </c>
      <c r="N810" t="s">
        <v>203</v>
      </c>
      <c r="O810" t="s">
        <v>204</v>
      </c>
      <c r="P810" t="s">
        <v>76</v>
      </c>
      <c r="Q810">
        <v>464</v>
      </c>
      <c r="R810">
        <v>230.99</v>
      </c>
      <c r="S810">
        <v>107179.36</v>
      </c>
      <c r="T810">
        <v>12.2</v>
      </c>
      <c r="U810">
        <v>15</v>
      </c>
      <c r="V810">
        <v>1617</v>
      </c>
      <c r="W810" t="s">
        <v>36</v>
      </c>
      <c r="X810">
        <v>26177.05</v>
      </c>
    </row>
    <row r="811" spans="1:24" x14ac:dyDescent="0.25">
      <c r="A811" s="2">
        <v>100809</v>
      </c>
      <c r="B811" s="1">
        <v>45959</v>
      </c>
      <c r="C811" s="1">
        <v>45960</v>
      </c>
      <c r="D811" s="1">
        <v>45967</v>
      </c>
      <c r="E811" t="s">
        <v>2243</v>
      </c>
      <c r="F811" t="s">
        <v>38</v>
      </c>
      <c r="G811" t="s">
        <v>49</v>
      </c>
      <c r="H811" t="s">
        <v>2244</v>
      </c>
      <c r="I811" t="s">
        <v>61</v>
      </c>
      <c r="J811" t="s">
        <v>62</v>
      </c>
      <c r="K811" t="s">
        <v>2245</v>
      </c>
      <c r="L811" t="s">
        <v>122</v>
      </c>
      <c r="M811" t="s">
        <v>32</v>
      </c>
      <c r="N811" t="s">
        <v>102</v>
      </c>
      <c r="O811" t="s">
        <v>103</v>
      </c>
      <c r="P811" t="s">
        <v>123</v>
      </c>
      <c r="Q811">
        <v>66</v>
      </c>
      <c r="R811">
        <v>34.770000000000003</v>
      </c>
      <c r="S811">
        <v>2294.8200000000002</v>
      </c>
      <c r="T811">
        <v>12.3</v>
      </c>
      <c r="U811">
        <v>7</v>
      </c>
      <c r="V811">
        <v>2715</v>
      </c>
      <c r="W811" t="s">
        <v>36</v>
      </c>
      <c r="X811">
        <v>82.71</v>
      </c>
    </row>
    <row r="812" spans="1:24" x14ac:dyDescent="0.25">
      <c r="A812" s="2">
        <v>100810</v>
      </c>
      <c r="B812" s="1">
        <v>45297</v>
      </c>
      <c r="C812" s="1">
        <v>45298</v>
      </c>
      <c r="D812" s="1">
        <v>45308</v>
      </c>
      <c r="E812" t="s">
        <v>2246</v>
      </c>
      <c r="F812" t="s">
        <v>65</v>
      </c>
      <c r="G812" t="s">
        <v>154</v>
      </c>
      <c r="H812" t="s">
        <v>2247</v>
      </c>
      <c r="I812" t="s">
        <v>238</v>
      </c>
      <c r="J812" t="s">
        <v>62</v>
      </c>
      <c r="K812" t="s">
        <v>1076</v>
      </c>
      <c r="L812" t="s">
        <v>122</v>
      </c>
      <c r="M812" t="s">
        <v>32</v>
      </c>
      <c r="N812" t="s">
        <v>151</v>
      </c>
      <c r="O812" t="s">
        <v>152</v>
      </c>
      <c r="P812" t="s">
        <v>123</v>
      </c>
      <c r="Q812">
        <v>386</v>
      </c>
      <c r="R812">
        <v>25.18</v>
      </c>
      <c r="S812">
        <v>9719.48</v>
      </c>
      <c r="T812">
        <v>20.07</v>
      </c>
      <c r="U812">
        <v>10</v>
      </c>
      <c r="V812">
        <v>3585</v>
      </c>
      <c r="W812" t="s">
        <v>36</v>
      </c>
      <c r="X812">
        <v>1551.83</v>
      </c>
    </row>
    <row r="813" spans="1:24" x14ac:dyDescent="0.25">
      <c r="A813" s="2">
        <v>100811</v>
      </c>
      <c r="B813" s="1">
        <v>45700</v>
      </c>
      <c r="C813" s="1">
        <v>45704</v>
      </c>
      <c r="D813" s="1">
        <v>45706</v>
      </c>
      <c r="E813" t="s">
        <v>2248</v>
      </c>
      <c r="F813" t="s">
        <v>25</v>
      </c>
      <c r="G813" t="s">
        <v>244</v>
      </c>
      <c r="H813" t="s">
        <v>2249</v>
      </c>
      <c r="I813" t="s">
        <v>182</v>
      </c>
      <c r="J813" t="s">
        <v>80</v>
      </c>
      <c r="K813" t="s">
        <v>2250</v>
      </c>
      <c r="L813" t="s">
        <v>122</v>
      </c>
      <c r="M813" t="s">
        <v>25</v>
      </c>
      <c r="N813" t="s">
        <v>66</v>
      </c>
      <c r="O813" t="s">
        <v>67</v>
      </c>
      <c r="P813" t="s">
        <v>35</v>
      </c>
      <c r="Q813">
        <v>414</v>
      </c>
      <c r="R813">
        <v>178.95</v>
      </c>
      <c r="S813">
        <v>74085.3</v>
      </c>
      <c r="T813">
        <v>17.93</v>
      </c>
      <c r="U813">
        <v>2</v>
      </c>
      <c r="V813">
        <v>181</v>
      </c>
      <c r="W813" t="s">
        <v>36</v>
      </c>
      <c r="X813">
        <v>20188.240000000002</v>
      </c>
    </row>
    <row r="814" spans="1:24" x14ac:dyDescent="0.25">
      <c r="A814" s="2">
        <v>100812</v>
      </c>
      <c r="B814" s="1">
        <v>45295</v>
      </c>
      <c r="C814" s="1">
        <v>45299</v>
      </c>
      <c r="D814" s="1">
        <v>45309</v>
      </c>
      <c r="E814" t="s">
        <v>2251</v>
      </c>
      <c r="F814" t="s">
        <v>54</v>
      </c>
      <c r="G814" t="s">
        <v>225</v>
      </c>
      <c r="H814" t="s">
        <v>2252</v>
      </c>
      <c r="I814" t="s">
        <v>79</v>
      </c>
      <c r="J814" t="s">
        <v>80</v>
      </c>
      <c r="K814" t="s">
        <v>1938</v>
      </c>
      <c r="L814" t="s">
        <v>122</v>
      </c>
      <c r="M814" t="s">
        <v>54</v>
      </c>
      <c r="N814" t="s">
        <v>102</v>
      </c>
      <c r="O814" t="s">
        <v>103</v>
      </c>
      <c r="P814" t="s">
        <v>123</v>
      </c>
      <c r="Q814">
        <v>453</v>
      </c>
      <c r="R814">
        <v>324.64</v>
      </c>
      <c r="S814">
        <v>147061.92000000001</v>
      </c>
      <c r="T814">
        <v>16.07</v>
      </c>
      <c r="U814">
        <v>10</v>
      </c>
      <c r="V814">
        <v>1793</v>
      </c>
      <c r="W814" t="s">
        <v>36</v>
      </c>
      <c r="X814">
        <v>19462.91</v>
      </c>
    </row>
    <row r="815" spans="1:24" x14ac:dyDescent="0.25">
      <c r="A815" s="2">
        <v>100813</v>
      </c>
      <c r="B815" s="1">
        <v>45669</v>
      </c>
      <c r="C815" s="1">
        <v>45671</v>
      </c>
      <c r="D815" s="1">
        <v>45682</v>
      </c>
      <c r="E815" t="s">
        <v>2253</v>
      </c>
      <c r="F815" t="s">
        <v>38</v>
      </c>
      <c r="G815" t="s">
        <v>39</v>
      </c>
      <c r="H815" t="s">
        <v>2254</v>
      </c>
      <c r="I815" t="s">
        <v>207</v>
      </c>
      <c r="J815" t="s">
        <v>80</v>
      </c>
      <c r="K815" t="s">
        <v>2255</v>
      </c>
      <c r="L815" t="s">
        <v>31</v>
      </c>
      <c r="M815" t="s">
        <v>32</v>
      </c>
      <c r="N815" t="s">
        <v>203</v>
      </c>
      <c r="O815" t="s">
        <v>204</v>
      </c>
      <c r="P815" t="s">
        <v>123</v>
      </c>
      <c r="Q815">
        <v>352</v>
      </c>
      <c r="R815">
        <v>65.53</v>
      </c>
      <c r="S815">
        <v>23066.560000000001</v>
      </c>
      <c r="T815">
        <v>19.25</v>
      </c>
      <c r="U815">
        <v>11</v>
      </c>
      <c r="V815">
        <v>1823</v>
      </c>
      <c r="W815" t="s">
        <v>57</v>
      </c>
      <c r="X815">
        <v>4089.64</v>
      </c>
    </row>
    <row r="816" spans="1:24" x14ac:dyDescent="0.25">
      <c r="A816" s="2">
        <v>100814</v>
      </c>
      <c r="B816" s="1">
        <v>45530</v>
      </c>
      <c r="C816" s="1">
        <v>45534</v>
      </c>
      <c r="D816" s="1">
        <v>45541</v>
      </c>
      <c r="E816" t="s">
        <v>2256</v>
      </c>
      <c r="F816" t="s">
        <v>38</v>
      </c>
      <c r="G816" t="s">
        <v>39</v>
      </c>
      <c r="H816" t="s">
        <v>2257</v>
      </c>
      <c r="I816" t="s">
        <v>116</v>
      </c>
      <c r="J816" t="s">
        <v>62</v>
      </c>
      <c r="K816" t="s">
        <v>1935</v>
      </c>
      <c r="L816" t="s">
        <v>98</v>
      </c>
      <c r="M816" t="s">
        <v>54</v>
      </c>
      <c r="N816" t="s">
        <v>102</v>
      </c>
      <c r="O816" t="s">
        <v>103</v>
      </c>
      <c r="P816" t="s">
        <v>35</v>
      </c>
      <c r="Q816">
        <v>395</v>
      </c>
      <c r="R816">
        <v>8.33</v>
      </c>
      <c r="S816">
        <v>3290.35</v>
      </c>
      <c r="T816">
        <v>23.67</v>
      </c>
      <c r="U816">
        <v>7</v>
      </c>
      <c r="V816">
        <v>704</v>
      </c>
      <c r="W816" t="s">
        <v>57</v>
      </c>
      <c r="X816">
        <v>547.42999999999995</v>
      </c>
    </row>
    <row r="817" spans="1:24" x14ac:dyDescent="0.25">
      <c r="A817" s="2">
        <v>100815</v>
      </c>
      <c r="B817" s="1">
        <v>45500</v>
      </c>
      <c r="C817" s="1">
        <v>45504</v>
      </c>
      <c r="D817" s="1">
        <v>45510</v>
      </c>
      <c r="E817" t="s">
        <v>2258</v>
      </c>
      <c r="F817" t="s">
        <v>25</v>
      </c>
      <c r="G817" t="s">
        <v>172</v>
      </c>
      <c r="H817" t="s">
        <v>2259</v>
      </c>
      <c r="I817" t="s">
        <v>51</v>
      </c>
      <c r="J817" t="s">
        <v>52</v>
      </c>
      <c r="K817" t="s">
        <v>2260</v>
      </c>
      <c r="L817" t="s">
        <v>64</v>
      </c>
      <c r="M817" t="s">
        <v>25</v>
      </c>
      <c r="N817" t="s">
        <v>55</v>
      </c>
      <c r="O817" t="s">
        <v>56</v>
      </c>
      <c r="P817" t="s">
        <v>68</v>
      </c>
      <c r="Q817">
        <v>86</v>
      </c>
      <c r="R817">
        <v>19.64</v>
      </c>
      <c r="S817">
        <v>1689.04</v>
      </c>
      <c r="T817">
        <v>25.25</v>
      </c>
      <c r="U817">
        <v>6</v>
      </c>
      <c r="V817">
        <v>4377</v>
      </c>
      <c r="W817" t="s">
        <v>36</v>
      </c>
      <c r="X817">
        <v>134.49</v>
      </c>
    </row>
    <row r="818" spans="1:24" x14ac:dyDescent="0.25">
      <c r="A818" s="2">
        <v>100816</v>
      </c>
      <c r="B818" s="1">
        <v>45595</v>
      </c>
      <c r="C818" s="1">
        <v>45596</v>
      </c>
      <c r="D818" s="1">
        <v>45600</v>
      </c>
      <c r="E818" t="s">
        <v>2261</v>
      </c>
      <c r="F818" t="s">
        <v>25</v>
      </c>
      <c r="G818" t="s">
        <v>244</v>
      </c>
      <c r="H818" t="s">
        <v>2262</v>
      </c>
      <c r="I818" t="s">
        <v>134</v>
      </c>
      <c r="J818" t="s">
        <v>52</v>
      </c>
      <c r="K818" t="s">
        <v>1234</v>
      </c>
      <c r="L818" t="s">
        <v>113</v>
      </c>
      <c r="M818" t="s">
        <v>38</v>
      </c>
      <c r="N818" t="s">
        <v>33</v>
      </c>
      <c r="O818" t="s">
        <v>34</v>
      </c>
      <c r="P818" t="s">
        <v>123</v>
      </c>
      <c r="Q818">
        <v>437</v>
      </c>
      <c r="R818">
        <v>87.22</v>
      </c>
      <c r="S818">
        <v>38115.14</v>
      </c>
      <c r="T818">
        <v>21.31</v>
      </c>
      <c r="U818">
        <v>4</v>
      </c>
      <c r="V818">
        <v>3207</v>
      </c>
      <c r="W818" t="s">
        <v>57</v>
      </c>
      <c r="X818">
        <v>4929.43</v>
      </c>
    </row>
    <row r="819" spans="1:24" x14ac:dyDescent="0.25">
      <c r="A819" s="2">
        <v>100817</v>
      </c>
      <c r="B819" s="1">
        <v>45447</v>
      </c>
      <c r="C819" s="1">
        <v>45448</v>
      </c>
      <c r="D819" s="1">
        <v>45454</v>
      </c>
      <c r="E819" t="s">
        <v>323</v>
      </c>
      <c r="F819" t="s">
        <v>32</v>
      </c>
      <c r="G819" t="s">
        <v>137</v>
      </c>
      <c r="H819" t="s">
        <v>1452</v>
      </c>
      <c r="I819" t="s">
        <v>149</v>
      </c>
      <c r="J819" t="s">
        <v>42</v>
      </c>
      <c r="K819" t="s">
        <v>140</v>
      </c>
      <c r="L819" t="s">
        <v>212</v>
      </c>
      <c r="M819" t="s">
        <v>65</v>
      </c>
      <c r="N819" t="s">
        <v>55</v>
      </c>
      <c r="O819" t="s">
        <v>56</v>
      </c>
      <c r="P819" t="s">
        <v>35</v>
      </c>
      <c r="Q819">
        <v>189</v>
      </c>
      <c r="R819">
        <v>201.62</v>
      </c>
      <c r="S819">
        <v>38106.18</v>
      </c>
      <c r="T819">
        <v>17.829999999999998</v>
      </c>
      <c r="U819">
        <v>6</v>
      </c>
      <c r="V819">
        <v>1108</v>
      </c>
      <c r="W819" t="s">
        <v>57</v>
      </c>
      <c r="X819">
        <v>6253.54</v>
      </c>
    </row>
    <row r="820" spans="1:24" x14ac:dyDescent="0.25">
      <c r="A820" s="2">
        <v>100818</v>
      </c>
      <c r="B820" s="1">
        <v>45595</v>
      </c>
      <c r="C820" s="1">
        <v>45597</v>
      </c>
      <c r="D820" s="1">
        <v>45601</v>
      </c>
      <c r="E820" t="s">
        <v>2263</v>
      </c>
      <c r="F820" t="s">
        <v>65</v>
      </c>
      <c r="G820" t="s">
        <v>142</v>
      </c>
      <c r="H820" t="s">
        <v>2264</v>
      </c>
      <c r="I820" t="s">
        <v>72</v>
      </c>
      <c r="J820" t="s">
        <v>42</v>
      </c>
      <c r="K820" t="s">
        <v>2265</v>
      </c>
      <c r="L820" t="s">
        <v>113</v>
      </c>
      <c r="M820" t="s">
        <v>38</v>
      </c>
      <c r="N820" t="s">
        <v>92</v>
      </c>
      <c r="O820" t="s">
        <v>93</v>
      </c>
      <c r="P820" t="s">
        <v>35</v>
      </c>
      <c r="Q820">
        <v>224</v>
      </c>
      <c r="R820">
        <v>222.39</v>
      </c>
      <c r="S820">
        <v>49815.360000000001</v>
      </c>
      <c r="T820">
        <v>18.82</v>
      </c>
      <c r="U820">
        <v>4</v>
      </c>
      <c r="V820">
        <v>523</v>
      </c>
      <c r="W820" t="s">
        <v>36</v>
      </c>
      <c r="X820">
        <v>4773.1499999999996</v>
      </c>
    </row>
    <row r="821" spans="1:24" x14ac:dyDescent="0.25">
      <c r="A821" s="2">
        <v>100819</v>
      </c>
      <c r="B821" s="1">
        <v>45437</v>
      </c>
      <c r="C821" s="1">
        <v>45438</v>
      </c>
      <c r="D821" s="1">
        <v>45440</v>
      </c>
      <c r="E821" t="s">
        <v>2266</v>
      </c>
      <c r="F821" t="s">
        <v>54</v>
      </c>
      <c r="G821" t="s">
        <v>165</v>
      </c>
      <c r="H821" t="s">
        <v>2267</v>
      </c>
      <c r="I821" t="s">
        <v>278</v>
      </c>
      <c r="J821" t="s">
        <v>29</v>
      </c>
      <c r="K821" t="s">
        <v>2268</v>
      </c>
      <c r="L821" t="s">
        <v>122</v>
      </c>
      <c r="M821" t="s">
        <v>25</v>
      </c>
      <c r="N821" t="s">
        <v>55</v>
      </c>
      <c r="O821" t="s">
        <v>56</v>
      </c>
      <c r="P821" t="s">
        <v>68</v>
      </c>
      <c r="Q821">
        <v>115</v>
      </c>
      <c r="R821">
        <v>86.68</v>
      </c>
      <c r="S821">
        <v>9968.2000000000007</v>
      </c>
      <c r="T821">
        <v>35.96</v>
      </c>
      <c r="U821">
        <v>2</v>
      </c>
      <c r="V821">
        <v>463</v>
      </c>
      <c r="W821" t="s">
        <v>36</v>
      </c>
      <c r="X821">
        <v>1104.94</v>
      </c>
    </row>
    <row r="822" spans="1:24" x14ac:dyDescent="0.25">
      <c r="A822" s="2">
        <v>100820</v>
      </c>
      <c r="B822" s="1">
        <v>45952</v>
      </c>
      <c r="C822" s="1">
        <v>45957</v>
      </c>
      <c r="D822" s="1">
        <v>45960</v>
      </c>
      <c r="E822" t="s">
        <v>2269</v>
      </c>
      <c r="F822" t="s">
        <v>38</v>
      </c>
      <c r="G822" t="s">
        <v>83</v>
      </c>
      <c r="H822" t="s">
        <v>2162</v>
      </c>
      <c r="I822" t="s">
        <v>72</v>
      </c>
      <c r="J822" t="s">
        <v>42</v>
      </c>
      <c r="K822" t="s">
        <v>2250</v>
      </c>
      <c r="L822" t="s">
        <v>212</v>
      </c>
      <c r="M822" t="s">
        <v>32</v>
      </c>
      <c r="N822" t="s">
        <v>55</v>
      </c>
      <c r="O822" t="s">
        <v>56</v>
      </c>
      <c r="P822" t="s">
        <v>68</v>
      </c>
      <c r="Q822">
        <v>365</v>
      </c>
      <c r="R822">
        <v>253.51</v>
      </c>
      <c r="S822">
        <v>92531.15</v>
      </c>
      <c r="T822">
        <v>52.16</v>
      </c>
      <c r="U822">
        <v>3</v>
      </c>
      <c r="V822">
        <v>1772</v>
      </c>
      <c r="W822" t="s">
        <v>36</v>
      </c>
      <c r="X822">
        <v>9369.67</v>
      </c>
    </row>
    <row r="823" spans="1:24" x14ac:dyDescent="0.25">
      <c r="A823" s="2">
        <v>100821</v>
      </c>
      <c r="B823" s="1">
        <v>45975</v>
      </c>
      <c r="C823" s="1">
        <v>45980</v>
      </c>
      <c r="D823" s="1">
        <v>45987</v>
      </c>
      <c r="E823" t="s">
        <v>2270</v>
      </c>
      <c r="F823" t="s">
        <v>65</v>
      </c>
      <c r="G823" t="s">
        <v>142</v>
      </c>
      <c r="H823" t="s">
        <v>2271</v>
      </c>
      <c r="I823" t="s">
        <v>198</v>
      </c>
      <c r="J823" t="s">
        <v>52</v>
      </c>
      <c r="K823" t="s">
        <v>2272</v>
      </c>
      <c r="L823" t="s">
        <v>98</v>
      </c>
      <c r="M823" t="s">
        <v>54</v>
      </c>
      <c r="N823" t="s">
        <v>33</v>
      </c>
      <c r="O823" t="s">
        <v>34</v>
      </c>
      <c r="P823" t="s">
        <v>35</v>
      </c>
      <c r="Q823">
        <v>236</v>
      </c>
      <c r="R823">
        <v>26.13</v>
      </c>
      <c r="S823">
        <v>6166.68</v>
      </c>
      <c r="T823">
        <v>19.16</v>
      </c>
      <c r="U823">
        <v>7</v>
      </c>
      <c r="V823">
        <v>1820</v>
      </c>
      <c r="W823" t="s">
        <v>36</v>
      </c>
      <c r="X823">
        <v>423.89</v>
      </c>
    </row>
    <row r="824" spans="1:24" x14ac:dyDescent="0.25">
      <c r="A824" s="2">
        <v>100822</v>
      </c>
      <c r="B824" s="1">
        <v>45793</v>
      </c>
      <c r="C824" s="1">
        <v>45796</v>
      </c>
      <c r="D824" s="1">
        <v>45813</v>
      </c>
      <c r="E824" t="s">
        <v>2273</v>
      </c>
      <c r="F824" t="s">
        <v>38</v>
      </c>
      <c r="G824" t="s">
        <v>217</v>
      </c>
      <c r="H824" t="s">
        <v>2274</v>
      </c>
      <c r="I824" t="s">
        <v>278</v>
      </c>
      <c r="J824" t="s">
        <v>29</v>
      </c>
      <c r="K824" t="s">
        <v>2275</v>
      </c>
      <c r="L824" t="s">
        <v>122</v>
      </c>
      <c r="M824" t="s">
        <v>38</v>
      </c>
      <c r="N824" t="s">
        <v>107</v>
      </c>
      <c r="O824" t="s">
        <v>108</v>
      </c>
      <c r="P824" t="s">
        <v>76</v>
      </c>
      <c r="Q824">
        <v>118</v>
      </c>
      <c r="R824">
        <v>66.12</v>
      </c>
      <c r="S824">
        <v>7802.16</v>
      </c>
      <c r="T824">
        <v>7.53</v>
      </c>
      <c r="U824">
        <v>17</v>
      </c>
      <c r="V824">
        <v>829</v>
      </c>
      <c r="W824" t="s">
        <v>36</v>
      </c>
      <c r="X824">
        <v>1877.26</v>
      </c>
    </row>
    <row r="825" spans="1:24" x14ac:dyDescent="0.25">
      <c r="A825" s="2">
        <v>100823</v>
      </c>
      <c r="B825" s="1">
        <v>45577</v>
      </c>
      <c r="C825" s="1">
        <v>45578</v>
      </c>
      <c r="D825" s="1">
        <v>45583</v>
      </c>
      <c r="E825" t="s">
        <v>2276</v>
      </c>
      <c r="F825" t="s">
        <v>65</v>
      </c>
      <c r="G825" t="s">
        <v>70</v>
      </c>
      <c r="H825" t="s">
        <v>2277</v>
      </c>
      <c r="I825" t="s">
        <v>149</v>
      </c>
      <c r="J825" t="s">
        <v>42</v>
      </c>
      <c r="K825" t="s">
        <v>2131</v>
      </c>
      <c r="L825" t="s">
        <v>122</v>
      </c>
      <c r="M825" t="s">
        <v>38</v>
      </c>
      <c r="N825" t="s">
        <v>66</v>
      </c>
      <c r="O825" t="s">
        <v>67</v>
      </c>
      <c r="P825" t="s">
        <v>68</v>
      </c>
      <c r="Q825">
        <v>85</v>
      </c>
      <c r="R825">
        <v>67.48</v>
      </c>
      <c r="S825">
        <v>5735.8</v>
      </c>
      <c r="T825">
        <v>34.020000000000003</v>
      </c>
      <c r="U825">
        <v>5</v>
      </c>
      <c r="V825">
        <v>856</v>
      </c>
      <c r="W825" t="s">
        <v>36</v>
      </c>
      <c r="X825">
        <v>818.5</v>
      </c>
    </row>
    <row r="826" spans="1:24" x14ac:dyDescent="0.25">
      <c r="A826" s="2">
        <v>100824</v>
      </c>
      <c r="B826" s="1">
        <v>45854</v>
      </c>
      <c r="C826" s="1">
        <v>45857</v>
      </c>
      <c r="D826" s="1">
        <v>45870</v>
      </c>
      <c r="E826" t="s">
        <v>2278</v>
      </c>
      <c r="F826" t="s">
        <v>65</v>
      </c>
      <c r="G826" t="s">
        <v>70</v>
      </c>
      <c r="H826" t="s">
        <v>2279</v>
      </c>
      <c r="I826" t="s">
        <v>28</v>
      </c>
      <c r="J826" t="s">
        <v>29</v>
      </c>
      <c r="K826" t="s">
        <v>1636</v>
      </c>
      <c r="L826" t="s">
        <v>113</v>
      </c>
      <c r="M826" t="s">
        <v>32</v>
      </c>
      <c r="N826" t="s">
        <v>102</v>
      </c>
      <c r="O826" t="s">
        <v>103</v>
      </c>
      <c r="P826" t="s">
        <v>123</v>
      </c>
      <c r="Q826">
        <v>353</v>
      </c>
      <c r="R826">
        <v>54.46</v>
      </c>
      <c r="S826">
        <v>19224.38</v>
      </c>
      <c r="T826">
        <v>19.27</v>
      </c>
      <c r="U826">
        <v>13</v>
      </c>
      <c r="V826">
        <v>1792</v>
      </c>
      <c r="W826" t="s">
        <v>36</v>
      </c>
      <c r="X826">
        <v>4619.07</v>
      </c>
    </row>
    <row r="827" spans="1:24" x14ac:dyDescent="0.25">
      <c r="A827" s="2">
        <v>100825</v>
      </c>
      <c r="B827" s="1">
        <v>45924</v>
      </c>
      <c r="C827" s="1">
        <v>45927</v>
      </c>
      <c r="D827" s="1">
        <v>45933</v>
      </c>
      <c r="E827" t="s">
        <v>2280</v>
      </c>
      <c r="F827" t="s">
        <v>65</v>
      </c>
      <c r="G827" t="s">
        <v>70</v>
      </c>
      <c r="H827" t="s">
        <v>2281</v>
      </c>
      <c r="I827" t="s">
        <v>116</v>
      </c>
      <c r="J827" t="s">
        <v>62</v>
      </c>
      <c r="K827" t="s">
        <v>1068</v>
      </c>
      <c r="L827" t="s">
        <v>122</v>
      </c>
      <c r="M827" t="s">
        <v>54</v>
      </c>
      <c r="N827" t="s">
        <v>203</v>
      </c>
      <c r="O827" t="s">
        <v>204</v>
      </c>
      <c r="P827" t="s">
        <v>35</v>
      </c>
      <c r="Q827">
        <v>22</v>
      </c>
      <c r="R827">
        <v>22.42</v>
      </c>
      <c r="S827">
        <v>493.24</v>
      </c>
      <c r="T827">
        <v>13.1</v>
      </c>
      <c r="U827">
        <v>6</v>
      </c>
      <c r="V827">
        <v>2510</v>
      </c>
      <c r="W827" t="s">
        <v>36</v>
      </c>
      <c r="X827">
        <v>26.54</v>
      </c>
    </row>
    <row r="828" spans="1:24" x14ac:dyDescent="0.25">
      <c r="A828" s="2">
        <v>100826</v>
      </c>
      <c r="B828" s="1">
        <v>45355</v>
      </c>
      <c r="C828" s="1">
        <v>45359</v>
      </c>
      <c r="D828" s="1">
        <v>45368</v>
      </c>
      <c r="E828" t="s">
        <v>2282</v>
      </c>
      <c r="F828" t="s">
        <v>32</v>
      </c>
      <c r="G828" t="s">
        <v>255</v>
      </c>
      <c r="H828" t="s">
        <v>2283</v>
      </c>
      <c r="I828" t="s">
        <v>230</v>
      </c>
      <c r="J828" t="s">
        <v>80</v>
      </c>
      <c r="K828" t="s">
        <v>688</v>
      </c>
      <c r="L828" t="s">
        <v>31</v>
      </c>
      <c r="M828" t="s">
        <v>38</v>
      </c>
      <c r="N828" t="s">
        <v>74</v>
      </c>
      <c r="O828" t="s">
        <v>75</v>
      </c>
      <c r="P828" t="s">
        <v>123</v>
      </c>
      <c r="Q828">
        <v>268</v>
      </c>
      <c r="R828">
        <v>324.66000000000003</v>
      </c>
      <c r="S828">
        <v>87008.88</v>
      </c>
      <c r="T828">
        <v>17.2</v>
      </c>
      <c r="U828">
        <v>9</v>
      </c>
      <c r="V828">
        <v>1499</v>
      </c>
      <c r="W828" t="s">
        <v>57</v>
      </c>
      <c r="X828">
        <v>17156.169999999998</v>
      </c>
    </row>
    <row r="829" spans="1:24" x14ac:dyDescent="0.25">
      <c r="A829" s="2">
        <v>100827</v>
      </c>
      <c r="B829" s="1">
        <v>45493</v>
      </c>
      <c r="C829" s="1">
        <v>45494</v>
      </c>
      <c r="D829" s="1">
        <v>45502</v>
      </c>
      <c r="E829" t="s">
        <v>2284</v>
      </c>
      <c r="F829" t="s">
        <v>65</v>
      </c>
      <c r="G829" t="s">
        <v>70</v>
      </c>
      <c r="H829" t="s">
        <v>2285</v>
      </c>
      <c r="I829" t="s">
        <v>126</v>
      </c>
      <c r="J829" t="s">
        <v>42</v>
      </c>
      <c r="K829" t="s">
        <v>1161</v>
      </c>
      <c r="L829" t="s">
        <v>113</v>
      </c>
      <c r="M829" t="s">
        <v>54</v>
      </c>
      <c r="N829" t="s">
        <v>92</v>
      </c>
      <c r="O829" t="s">
        <v>93</v>
      </c>
      <c r="P829" t="s">
        <v>35</v>
      </c>
      <c r="Q829">
        <v>378</v>
      </c>
      <c r="R829">
        <v>445</v>
      </c>
      <c r="S829">
        <v>168210</v>
      </c>
      <c r="T829">
        <v>23.19</v>
      </c>
      <c r="U829">
        <v>8</v>
      </c>
      <c r="V829">
        <v>270</v>
      </c>
      <c r="W829" t="s">
        <v>36</v>
      </c>
      <c r="X829">
        <v>17246.150000000001</v>
      </c>
    </row>
    <row r="830" spans="1:24" x14ac:dyDescent="0.25">
      <c r="A830" s="2">
        <v>100828</v>
      </c>
      <c r="B830" s="1">
        <v>45813</v>
      </c>
      <c r="C830" s="1">
        <v>45817</v>
      </c>
      <c r="D830" s="1">
        <v>45819</v>
      </c>
      <c r="E830" t="s">
        <v>2286</v>
      </c>
      <c r="F830" t="s">
        <v>54</v>
      </c>
      <c r="G830" t="s">
        <v>225</v>
      </c>
      <c r="H830" t="s">
        <v>2287</v>
      </c>
      <c r="I830" t="s">
        <v>61</v>
      </c>
      <c r="J830" t="s">
        <v>62</v>
      </c>
      <c r="K830" t="s">
        <v>2288</v>
      </c>
      <c r="L830" t="s">
        <v>91</v>
      </c>
      <c r="M830" t="s">
        <v>54</v>
      </c>
      <c r="N830" t="s">
        <v>107</v>
      </c>
      <c r="O830" t="s">
        <v>108</v>
      </c>
      <c r="P830" t="s">
        <v>68</v>
      </c>
      <c r="Q830">
        <v>396</v>
      </c>
      <c r="R830">
        <v>6.77</v>
      </c>
      <c r="S830">
        <v>2680.92</v>
      </c>
      <c r="T830">
        <v>40.130000000000003</v>
      </c>
      <c r="U830">
        <v>2</v>
      </c>
      <c r="V830">
        <v>4892</v>
      </c>
      <c r="W830" t="s">
        <v>36</v>
      </c>
      <c r="X830">
        <v>110.48</v>
      </c>
    </row>
    <row r="831" spans="1:24" x14ac:dyDescent="0.25">
      <c r="A831" s="2">
        <v>100829</v>
      </c>
      <c r="B831" s="1">
        <v>45761</v>
      </c>
      <c r="C831" s="1">
        <v>45765</v>
      </c>
      <c r="D831" s="1">
        <v>45777</v>
      </c>
      <c r="E831" t="s">
        <v>2289</v>
      </c>
      <c r="F831" t="s">
        <v>38</v>
      </c>
      <c r="G831" t="s">
        <v>39</v>
      </c>
      <c r="H831" t="s">
        <v>2290</v>
      </c>
      <c r="I831" t="s">
        <v>139</v>
      </c>
      <c r="J831" t="s">
        <v>42</v>
      </c>
      <c r="K831" t="s">
        <v>2288</v>
      </c>
      <c r="L831" t="s">
        <v>113</v>
      </c>
      <c r="M831" t="s">
        <v>54</v>
      </c>
      <c r="N831" t="s">
        <v>74</v>
      </c>
      <c r="O831" t="s">
        <v>75</v>
      </c>
      <c r="P831" t="s">
        <v>76</v>
      </c>
      <c r="Q831">
        <v>291</v>
      </c>
      <c r="R831">
        <v>225.46</v>
      </c>
      <c r="S831">
        <v>65608.86</v>
      </c>
      <c r="T831">
        <v>13.32</v>
      </c>
      <c r="U831">
        <v>12</v>
      </c>
      <c r="V831">
        <v>1301</v>
      </c>
      <c r="W831" t="s">
        <v>36</v>
      </c>
      <c r="X831">
        <v>5866.88</v>
      </c>
    </row>
    <row r="832" spans="1:24" x14ac:dyDescent="0.25">
      <c r="A832" s="2">
        <v>100830</v>
      </c>
      <c r="B832" s="1">
        <v>45853</v>
      </c>
      <c r="C832" s="1">
        <v>45857</v>
      </c>
      <c r="D832" s="1">
        <v>45866</v>
      </c>
      <c r="E832" t="s">
        <v>2291</v>
      </c>
      <c r="F832" t="s">
        <v>25</v>
      </c>
      <c r="G832" t="s">
        <v>221</v>
      </c>
      <c r="H832" t="s">
        <v>2292</v>
      </c>
      <c r="I832" t="s">
        <v>177</v>
      </c>
      <c r="J832" t="s">
        <v>29</v>
      </c>
      <c r="K832" t="s">
        <v>977</v>
      </c>
      <c r="L832" t="s">
        <v>212</v>
      </c>
      <c r="M832" t="s">
        <v>65</v>
      </c>
      <c r="N832" t="s">
        <v>74</v>
      </c>
      <c r="O832" t="s">
        <v>75</v>
      </c>
      <c r="P832" t="s">
        <v>35</v>
      </c>
      <c r="Q832">
        <v>12</v>
      </c>
      <c r="R832">
        <v>59.56</v>
      </c>
      <c r="S832">
        <v>714.72</v>
      </c>
      <c r="T832">
        <v>12.81</v>
      </c>
      <c r="U832">
        <v>9</v>
      </c>
      <c r="V832">
        <v>3175</v>
      </c>
      <c r="W832" t="s">
        <v>36</v>
      </c>
      <c r="X832">
        <v>60.1</v>
      </c>
    </row>
    <row r="833" spans="1:24" x14ac:dyDescent="0.25">
      <c r="A833" s="2">
        <v>100831</v>
      </c>
      <c r="B833" s="1">
        <v>45838</v>
      </c>
      <c r="C833" s="1">
        <v>45843</v>
      </c>
      <c r="D833" s="1">
        <v>45846</v>
      </c>
      <c r="E833" t="s">
        <v>2293</v>
      </c>
      <c r="F833" t="s">
        <v>65</v>
      </c>
      <c r="G833" t="s">
        <v>70</v>
      </c>
      <c r="H833" t="s">
        <v>2294</v>
      </c>
      <c r="I833" t="s">
        <v>368</v>
      </c>
      <c r="J833" t="s">
        <v>29</v>
      </c>
      <c r="K833" t="s">
        <v>1930</v>
      </c>
      <c r="L833" t="s">
        <v>91</v>
      </c>
      <c r="M833" t="s">
        <v>54</v>
      </c>
      <c r="N833" t="s">
        <v>45</v>
      </c>
      <c r="O833" t="s">
        <v>46</v>
      </c>
      <c r="P833" t="s">
        <v>68</v>
      </c>
      <c r="Q833">
        <v>188</v>
      </c>
      <c r="R833">
        <v>35.4</v>
      </c>
      <c r="S833">
        <v>6655.2</v>
      </c>
      <c r="T833">
        <v>40.69</v>
      </c>
      <c r="U833">
        <v>3</v>
      </c>
      <c r="V833">
        <v>1992</v>
      </c>
      <c r="W833" t="s">
        <v>36</v>
      </c>
      <c r="X833">
        <v>1664.02</v>
      </c>
    </row>
    <row r="834" spans="1:24" x14ac:dyDescent="0.25">
      <c r="A834" s="2">
        <v>100832</v>
      </c>
      <c r="B834" s="1">
        <v>45343</v>
      </c>
      <c r="C834" s="1">
        <v>45345</v>
      </c>
      <c r="D834" s="1">
        <v>45365</v>
      </c>
      <c r="E834" t="s">
        <v>2295</v>
      </c>
      <c r="F834" t="s">
        <v>38</v>
      </c>
      <c r="G834" t="s">
        <v>83</v>
      </c>
      <c r="H834" t="s">
        <v>2296</v>
      </c>
      <c r="I834" t="s">
        <v>238</v>
      </c>
      <c r="J834" t="s">
        <v>62</v>
      </c>
      <c r="K834" t="s">
        <v>1435</v>
      </c>
      <c r="L834" t="s">
        <v>118</v>
      </c>
      <c r="M834" t="s">
        <v>25</v>
      </c>
      <c r="N834" t="s">
        <v>151</v>
      </c>
      <c r="O834" t="s">
        <v>152</v>
      </c>
      <c r="P834" t="s">
        <v>76</v>
      </c>
      <c r="Q834">
        <v>341</v>
      </c>
      <c r="R834">
        <v>25.29</v>
      </c>
      <c r="S834">
        <v>8623.89</v>
      </c>
      <c r="T834">
        <v>14.23</v>
      </c>
      <c r="U834">
        <v>20</v>
      </c>
      <c r="V834">
        <v>2357</v>
      </c>
      <c r="W834" t="s">
        <v>36</v>
      </c>
      <c r="X834">
        <v>661.26</v>
      </c>
    </row>
    <row r="835" spans="1:24" x14ac:dyDescent="0.25">
      <c r="A835" s="2">
        <v>100833</v>
      </c>
      <c r="B835" s="1">
        <v>45931</v>
      </c>
      <c r="C835" s="1">
        <v>45932</v>
      </c>
      <c r="D835" s="1">
        <v>45935</v>
      </c>
      <c r="E835" t="s">
        <v>2297</v>
      </c>
      <c r="F835" t="s">
        <v>25</v>
      </c>
      <c r="G835" t="s">
        <v>233</v>
      </c>
      <c r="H835" t="s">
        <v>2298</v>
      </c>
      <c r="I835" t="s">
        <v>149</v>
      </c>
      <c r="J835" t="s">
        <v>42</v>
      </c>
      <c r="K835" t="s">
        <v>208</v>
      </c>
      <c r="L835" t="s">
        <v>44</v>
      </c>
      <c r="M835" t="s">
        <v>54</v>
      </c>
      <c r="N835" t="s">
        <v>74</v>
      </c>
      <c r="O835" t="s">
        <v>75</v>
      </c>
      <c r="P835" t="s">
        <v>35</v>
      </c>
      <c r="Q835">
        <v>336</v>
      </c>
      <c r="R835">
        <v>126.19</v>
      </c>
      <c r="S835">
        <v>42399.839999999997</v>
      </c>
      <c r="T835">
        <v>22</v>
      </c>
      <c r="U835">
        <v>3</v>
      </c>
      <c r="V835">
        <v>444</v>
      </c>
      <c r="W835" t="s">
        <v>36</v>
      </c>
      <c r="X835">
        <v>6448.61</v>
      </c>
    </row>
    <row r="836" spans="1:24" x14ac:dyDescent="0.25">
      <c r="A836" s="2">
        <v>100834</v>
      </c>
      <c r="B836" s="1">
        <v>45913</v>
      </c>
      <c r="C836" s="1">
        <v>45917</v>
      </c>
      <c r="D836" s="1">
        <v>45936</v>
      </c>
      <c r="E836" t="s">
        <v>2299</v>
      </c>
      <c r="F836" t="s">
        <v>65</v>
      </c>
      <c r="G836" t="s">
        <v>154</v>
      </c>
      <c r="H836" t="s">
        <v>2300</v>
      </c>
      <c r="I836" t="s">
        <v>89</v>
      </c>
      <c r="J836" t="s">
        <v>62</v>
      </c>
      <c r="K836" t="s">
        <v>1779</v>
      </c>
      <c r="L836" t="s">
        <v>187</v>
      </c>
      <c r="M836" t="s">
        <v>38</v>
      </c>
      <c r="N836" t="s">
        <v>33</v>
      </c>
      <c r="O836" t="s">
        <v>34</v>
      </c>
      <c r="P836" t="s">
        <v>76</v>
      </c>
      <c r="Q836">
        <v>271</v>
      </c>
      <c r="R836">
        <v>10.89</v>
      </c>
      <c r="S836">
        <v>2951.19</v>
      </c>
      <c r="T836">
        <v>12.96</v>
      </c>
      <c r="U836">
        <v>19</v>
      </c>
      <c r="V836">
        <v>2103</v>
      </c>
      <c r="W836" t="s">
        <v>36</v>
      </c>
      <c r="X836">
        <v>254.9</v>
      </c>
    </row>
    <row r="837" spans="1:24" x14ac:dyDescent="0.25">
      <c r="A837" s="2">
        <v>100835</v>
      </c>
      <c r="B837" s="1">
        <v>45566</v>
      </c>
      <c r="C837" s="1">
        <v>45567</v>
      </c>
      <c r="D837" s="1">
        <v>45575</v>
      </c>
      <c r="E837" t="s">
        <v>2301</v>
      </c>
      <c r="F837" t="s">
        <v>38</v>
      </c>
      <c r="G837" t="s">
        <v>49</v>
      </c>
      <c r="H837" t="s">
        <v>2302</v>
      </c>
      <c r="I837" t="s">
        <v>198</v>
      </c>
      <c r="J837" t="s">
        <v>52</v>
      </c>
      <c r="K837" t="s">
        <v>2303</v>
      </c>
      <c r="L837" t="s">
        <v>44</v>
      </c>
      <c r="M837" t="s">
        <v>25</v>
      </c>
      <c r="N837" t="s">
        <v>55</v>
      </c>
      <c r="O837" t="s">
        <v>56</v>
      </c>
      <c r="P837" t="s">
        <v>35</v>
      </c>
      <c r="Q837">
        <v>81</v>
      </c>
      <c r="R837">
        <v>42.87</v>
      </c>
      <c r="S837">
        <v>3472.47</v>
      </c>
      <c r="T837">
        <v>14.77</v>
      </c>
      <c r="U837">
        <v>8</v>
      </c>
      <c r="V837">
        <v>416</v>
      </c>
      <c r="W837" t="s">
        <v>36</v>
      </c>
      <c r="X837">
        <v>385.92</v>
      </c>
    </row>
    <row r="838" spans="1:24" x14ac:dyDescent="0.25">
      <c r="A838" s="2">
        <v>100836</v>
      </c>
      <c r="B838" s="1">
        <v>45674</v>
      </c>
      <c r="C838" s="1">
        <v>45678</v>
      </c>
      <c r="D838" s="1">
        <v>45696</v>
      </c>
      <c r="E838" t="s">
        <v>2304</v>
      </c>
      <c r="F838" t="s">
        <v>54</v>
      </c>
      <c r="G838" t="s">
        <v>225</v>
      </c>
      <c r="H838" t="s">
        <v>2305</v>
      </c>
      <c r="I838" t="s">
        <v>89</v>
      </c>
      <c r="J838" t="s">
        <v>62</v>
      </c>
      <c r="K838" t="s">
        <v>2306</v>
      </c>
      <c r="L838" t="s">
        <v>122</v>
      </c>
      <c r="M838" t="s">
        <v>65</v>
      </c>
      <c r="N838" t="s">
        <v>107</v>
      </c>
      <c r="O838" t="s">
        <v>108</v>
      </c>
      <c r="P838" t="s">
        <v>76</v>
      </c>
      <c r="Q838">
        <v>236</v>
      </c>
      <c r="R838">
        <v>40.08</v>
      </c>
      <c r="S838">
        <v>9458.8799999999992</v>
      </c>
      <c r="T838">
        <v>12.32</v>
      </c>
      <c r="U838">
        <v>18</v>
      </c>
      <c r="V838">
        <v>495</v>
      </c>
      <c r="W838" t="s">
        <v>36</v>
      </c>
      <c r="X838">
        <v>133.34</v>
      </c>
    </row>
    <row r="839" spans="1:24" x14ac:dyDescent="0.25">
      <c r="A839" s="2">
        <v>100837</v>
      </c>
      <c r="B839" s="1">
        <v>45492</v>
      </c>
      <c r="C839" s="1">
        <v>45494</v>
      </c>
      <c r="D839" s="1">
        <v>45504</v>
      </c>
      <c r="E839" t="s">
        <v>2307</v>
      </c>
      <c r="F839" t="s">
        <v>25</v>
      </c>
      <c r="G839" t="s">
        <v>26</v>
      </c>
      <c r="H839" t="s">
        <v>2308</v>
      </c>
      <c r="I839" t="s">
        <v>207</v>
      </c>
      <c r="J839" t="s">
        <v>80</v>
      </c>
      <c r="K839" t="s">
        <v>919</v>
      </c>
      <c r="L839" t="s">
        <v>91</v>
      </c>
      <c r="M839" t="s">
        <v>65</v>
      </c>
      <c r="N839" t="s">
        <v>107</v>
      </c>
      <c r="O839" t="s">
        <v>108</v>
      </c>
      <c r="P839" t="s">
        <v>123</v>
      </c>
      <c r="Q839">
        <v>340</v>
      </c>
      <c r="R839">
        <v>106.51</v>
      </c>
      <c r="S839">
        <v>36213.4</v>
      </c>
      <c r="T839">
        <v>18.95</v>
      </c>
      <c r="U839">
        <v>10</v>
      </c>
      <c r="V839">
        <v>965</v>
      </c>
      <c r="W839" t="s">
        <v>36</v>
      </c>
      <c r="X839">
        <v>9093.1299999999992</v>
      </c>
    </row>
    <row r="840" spans="1:24" x14ac:dyDescent="0.25">
      <c r="A840" s="2">
        <v>100838</v>
      </c>
      <c r="B840" s="1">
        <v>45920</v>
      </c>
      <c r="C840" s="1">
        <v>45922</v>
      </c>
      <c r="D840" s="1">
        <v>45939</v>
      </c>
      <c r="E840" t="s">
        <v>2309</v>
      </c>
      <c r="F840" t="s">
        <v>25</v>
      </c>
      <c r="G840" t="s">
        <v>169</v>
      </c>
      <c r="H840" t="s">
        <v>2310</v>
      </c>
      <c r="I840" t="s">
        <v>72</v>
      </c>
      <c r="J840" t="s">
        <v>42</v>
      </c>
      <c r="K840" t="s">
        <v>2311</v>
      </c>
      <c r="L840" t="s">
        <v>91</v>
      </c>
      <c r="M840" t="s">
        <v>65</v>
      </c>
      <c r="N840" t="s">
        <v>151</v>
      </c>
      <c r="O840" t="s">
        <v>152</v>
      </c>
      <c r="P840" t="s">
        <v>76</v>
      </c>
      <c r="Q840">
        <v>254</v>
      </c>
      <c r="R840">
        <v>220</v>
      </c>
      <c r="S840">
        <v>55880</v>
      </c>
      <c r="T840">
        <v>12.65</v>
      </c>
      <c r="U840">
        <v>17</v>
      </c>
      <c r="V840">
        <v>917</v>
      </c>
      <c r="W840" t="s">
        <v>36</v>
      </c>
      <c r="X840">
        <v>9899.89</v>
      </c>
    </row>
    <row r="841" spans="1:24" x14ac:dyDescent="0.25">
      <c r="A841" s="2">
        <v>100839</v>
      </c>
      <c r="B841" s="1">
        <v>45639</v>
      </c>
      <c r="C841" s="1">
        <v>45640</v>
      </c>
      <c r="D841" s="1">
        <v>45644</v>
      </c>
      <c r="E841" t="s">
        <v>2312</v>
      </c>
      <c r="F841" t="s">
        <v>65</v>
      </c>
      <c r="G841" t="s">
        <v>70</v>
      </c>
      <c r="H841" t="s">
        <v>2313</v>
      </c>
      <c r="I841" t="s">
        <v>416</v>
      </c>
      <c r="J841" t="s">
        <v>80</v>
      </c>
      <c r="K841" t="s">
        <v>340</v>
      </c>
      <c r="L841" t="s">
        <v>113</v>
      </c>
      <c r="M841" t="s">
        <v>32</v>
      </c>
      <c r="N841" t="s">
        <v>55</v>
      </c>
      <c r="O841" t="s">
        <v>56</v>
      </c>
      <c r="P841" t="s">
        <v>68</v>
      </c>
      <c r="Q841">
        <v>266</v>
      </c>
      <c r="R841">
        <v>46.2</v>
      </c>
      <c r="S841">
        <v>12289.2</v>
      </c>
      <c r="T841">
        <v>45.75</v>
      </c>
      <c r="U841">
        <v>4</v>
      </c>
      <c r="V841">
        <v>1413</v>
      </c>
      <c r="W841" t="s">
        <v>57</v>
      </c>
      <c r="X841">
        <v>1949.12</v>
      </c>
    </row>
    <row r="842" spans="1:24" x14ac:dyDescent="0.25">
      <c r="A842" s="2">
        <v>100840</v>
      </c>
      <c r="B842" s="1">
        <v>45457</v>
      </c>
      <c r="C842" s="1">
        <v>45460</v>
      </c>
      <c r="D842" s="1">
        <v>45464</v>
      </c>
      <c r="E842" t="s">
        <v>2314</v>
      </c>
      <c r="F842" t="s">
        <v>32</v>
      </c>
      <c r="G842" t="s">
        <v>255</v>
      </c>
      <c r="H842" t="s">
        <v>2315</v>
      </c>
      <c r="I842" t="s">
        <v>416</v>
      </c>
      <c r="J842" t="s">
        <v>80</v>
      </c>
      <c r="K842" t="s">
        <v>658</v>
      </c>
      <c r="L842" t="s">
        <v>122</v>
      </c>
      <c r="M842" t="s">
        <v>38</v>
      </c>
      <c r="N842" t="s">
        <v>203</v>
      </c>
      <c r="O842" t="s">
        <v>204</v>
      </c>
      <c r="P842" t="s">
        <v>123</v>
      </c>
      <c r="Q842">
        <v>210</v>
      </c>
      <c r="R842">
        <v>102</v>
      </c>
      <c r="S842">
        <v>21420</v>
      </c>
      <c r="T842">
        <v>15.8</v>
      </c>
      <c r="U842">
        <v>4</v>
      </c>
      <c r="V842">
        <v>693</v>
      </c>
      <c r="W842" t="s">
        <v>36</v>
      </c>
      <c r="X842">
        <v>4025.52</v>
      </c>
    </row>
    <row r="843" spans="1:24" x14ac:dyDescent="0.25">
      <c r="A843" s="2">
        <v>100841</v>
      </c>
      <c r="B843" s="1">
        <v>45938</v>
      </c>
      <c r="C843" s="1">
        <v>45939</v>
      </c>
      <c r="D843" s="1">
        <v>45961</v>
      </c>
      <c r="E843" t="s">
        <v>2316</v>
      </c>
      <c r="F843" t="s">
        <v>38</v>
      </c>
      <c r="G843" t="s">
        <v>217</v>
      </c>
      <c r="H843" t="s">
        <v>2317</v>
      </c>
      <c r="I843" t="s">
        <v>207</v>
      </c>
      <c r="J843" t="s">
        <v>80</v>
      </c>
      <c r="K843" t="s">
        <v>1051</v>
      </c>
      <c r="L843" t="s">
        <v>44</v>
      </c>
      <c r="M843" t="s">
        <v>25</v>
      </c>
      <c r="N843" t="s">
        <v>33</v>
      </c>
      <c r="O843" t="s">
        <v>34</v>
      </c>
      <c r="P843" t="s">
        <v>76</v>
      </c>
      <c r="Q843">
        <v>151</v>
      </c>
      <c r="R843">
        <v>49.94</v>
      </c>
      <c r="S843">
        <v>7540.94</v>
      </c>
      <c r="T843">
        <v>10.77</v>
      </c>
      <c r="U843">
        <v>22</v>
      </c>
      <c r="V843">
        <v>1809</v>
      </c>
      <c r="W843" t="s">
        <v>36</v>
      </c>
      <c r="X843">
        <v>1734.86</v>
      </c>
    </row>
    <row r="844" spans="1:24" x14ac:dyDescent="0.25">
      <c r="A844" s="2">
        <v>100842</v>
      </c>
      <c r="B844" s="1">
        <v>45870</v>
      </c>
      <c r="C844" s="1">
        <v>45871</v>
      </c>
      <c r="D844" s="1">
        <v>45876</v>
      </c>
      <c r="E844" t="s">
        <v>2318</v>
      </c>
      <c r="F844" t="s">
        <v>38</v>
      </c>
      <c r="G844" t="s">
        <v>83</v>
      </c>
      <c r="H844" t="s">
        <v>2319</v>
      </c>
      <c r="I844" t="s">
        <v>416</v>
      </c>
      <c r="J844" t="s">
        <v>80</v>
      </c>
      <c r="K844" t="s">
        <v>1627</v>
      </c>
      <c r="L844" t="s">
        <v>113</v>
      </c>
      <c r="M844" t="s">
        <v>32</v>
      </c>
      <c r="N844" t="s">
        <v>151</v>
      </c>
      <c r="O844" t="s">
        <v>152</v>
      </c>
      <c r="P844" t="s">
        <v>35</v>
      </c>
      <c r="Q844">
        <v>255</v>
      </c>
      <c r="R844">
        <v>101.51</v>
      </c>
      <c r="S844">
        <v>25885.05</v>
      </c>
      <c r="T844">
        <v>19.7</v>
      </c>
      <c r="U844">
        <v>5</v>
      </c>
      <c r="V844">
        <v>452</v>
      </c>
      <c r="W844" t="s">
        <v>36</v>
      </c>
      <c r="X844">
        <v>5467.39</v>
      </c>
    </row>
    <row r="845" spans="1:24" x14ac:dyDescent="0.25">
      <c r="A845" s="2">
        <v>100843</v>
      </c>
      <c r="B845" s="1">
        <v>45347</v>
      </c>
      <c r="C845" s="1">
        <v>45350</v>
      </c>
      <c r="D845" s="1">
        <v>45352</v>
      </c>
      <c r="E845" t="s">
        <v>2320</v>
      </c>
      <c r="F845" t="s">
        <v>54</v>
      </c>
      <c r="G845" t="s">
        <v>165</v>
      </c>
      <c r="H845" t="s">
        <v>2321</v>
      </c>
      <c r="I845" t="s">
        <v>238</v>
      </c>
      <c r="J845" t="s">
        <v>62</v>
      </c>
      <c r="K845" t="s">
        <v>1177</v>
      </c>
      <c r="L845" t="s">
        <v>91</v>
      </c>
      <c r="M845" t="s">
        <v>38</v>
      </c>
      <c r="N845" t="s">
        <v>151</v>
      </c>
      <c r="O845" t="s">
        <v>152</v>
      </c>
      <c r="P845" t="s">
        <v>35</v>
      </c>
      <c r="Q845">
        <v>278</v>
      </c>
      <c r="R845">
        <v>45.05</v>
      </c>
      <c r="S845">
        <v>12523.9</v>
      </c>
      <c r="T845">
        <v>20.36</v>
      </c>
      <c r="U845">
        <v>2</v>
      </c>
      <c r="V845">
        <v>1826</v>
      </c>
      <c r="W845" t="s">
        <v>36</v>
      </c>
      <c r="X845">
        <v>2228.16</v>
      </c>
    </row>
    <row r="846" spans="1:24" x14ac:dyDescent="0.25">
      <c r="A846" s="2">
        <v>100844</v>
      </c>
      <c r="B846" s="1">
        <v>45465</v>
      </c>
      <c r="C846" s="1">
        <v>45468</v>
      </c>
      <c r="D846" s="1">
        <v>45481</v>
      </c>
      <c r="E846" t="s">
        <v>2322</v>
      </c>
      <c r="F846" t="s">
        <v>54</v>
      </c>
      <c r="G846" t="s">
        <v>129</v>
      </c>
      <c r="H846" t="s">
        <v>2323</v>
      </c>
      <c r="I846" t="s">
        <v>416</v>
      </c>
      <c r="J846" t="s">
        <v>80</v>
      </c>
      <c r="K846" t="s">
        <v>2324</v>
      </c>
      <c r="L846" t="s">
        <v>118</v>
      </c>
      <c r="M846" t="s">
        <v>32</v>
      </c>
      <c r="N846" t="s">
        <v>151</v>
      </c>
      <c r="O846" t="s">
        <v>152</v>
      </c>
      <c r="P846" t="s">
        <v>123</v>
      </c>
      <c r="Q846">
        <v>90</v>
      </c>
      <c r="R846">
        <v>66.27</v>
      </c>
      <c r="S846">
        <v>5964.3</v>
      </c>
      <c r="T846">
        <v>12.88</v>
      </c>
      <c r="U846">
        <v>13</v>
      </c>
      <c r="V846">
        <v>1768</v>
      </c>
      <c r="W846" t="s">
        <v>36</v>
      </c>
      <c r="X846">
        <v>1319.26</v>
      </c>
    </row>
    <row r="847" spans="1:24" x14ac:dyDescent="0.25">
      <c r="A847" s="2">
        <v>100845</v>
      </c>
      <c r="B847" s="1">
        <v>45943</v>
      </c>
      <c r="C847" s="1">
        <v>45948</v>
      </c>
      <c r="D847" s="1">
        <v>45957</v>
      </c>
      <c r="E847" t="s">
        <v>2325</v>
      </c>
      <c r="F847" t="s">
        <v>54</v>
      </c>
      <c r="G847" t="s">
        <v>158</v>
      </c>
      <c r="H847" t="s">
        <v>2326</v>
      </c>
      <c r="I847" t="s">
        <v>144</v>
      </c>
      <c r="J847" t="s">
        <v>52</v>
      </c>
      <c r="K847" t="s">
        <v>634</v>
      </c>
      <c r="L847" t="s">
        <v>64</v>
      </c>
      <c r="M847" t="s">
        <v>65</v>
      </c>
      <c r="N847" t="s">
        <v>107</v>
      </c>
      <c r="O847" t="s">
        <v>108</v>
      </c>
      <c r="P847" t="s">
        <v>123</v>
      </c>
      <c r="Q847">
        <v>128</v>
      </c>
      <c r="R847">
        <v>20.71</v>
      </c>
      <c r="S847">
        <v>2650.88</v>
      </c>
      <c r="T847">
        <v>13.8</v>
      </c>
      <c r="U847">
        <v>9</v>
      </c>
      <c r="V847">
        <v>1728</v>
      </c>
      <c r="W847" t="s">
        <v>36</v>
      </c>
      <c r="X847">
        <v>449.53</v>
      </c>
    </row>
    <row r="848" spans="1:24" x14ac:dyDescent="0.25">
      <c r="A848" s="2">
        <v>100846</v>
      </c>
      <c r="B848" s="1">
        <v>45780</v>
      </c>
      <c r="C848" s="1">
        <v>45784</v>
      </c>
      <c r="D848" s="1">
        <v>45792</v>
      </c>
      <c r="E848" t="s">
        <v>2327</v>
      </c>
      <c r="F848" t="s">
        <v>25</v>
      </c>
      <c r="G848" t="s">
        <v>26</v>
      </c>
      <c r="H848" t="s">
        <v>2328</v>
      </c>
      <c r="I848" t="s">
        <v>139</v>
      </c>
      <c r="J848" t="s">
        <v>42</v>
      </c>
      <c r="K848" t="s">
        <v>362</v>
      </c>
      <c r="L848" t="s">
        <v>118</v>
      </c>
      <c r="M848" t="s">
        <v>65</v>
      </c>
      <c r="N848" t="s">
        <v>33</v>
      </c>
      <c r="O848" t="s">
        <v>34</v>
      </c>
      <c r="P848" t="s">
        <v>123</v>
      </c>
      <c r="Q848">
        <v>116</v>
      </c>
      <c r="R848">
        <v>171.56</v>
      </c>
      <c r="S848">
        <v>19900.96</v>
      </c>
      <c r="T848">
        <v>13.51</v>
      </c>
      <c r="U848">
        <v>8</v>
      </c>
      <c r="V848">
        <v>579</v>
      </c>
      <c r="W848" t="s">
        <v>36</v>
      </c>
      <c r="X848">
        <v>2057.38</v>
      </c>
    </row>
    <row r="849" spans="1:24" x14ac:dyDescent="0.25">
      <c r="A849" s="2">
        <v>100847</v>
      </c>
      <c r="B849" s="1">
        <v>45506</v>
      </c>
      <c r="C849" s="1">
        <v>45506</v>
      </c>
      <c r="D849" s="1">
        <v>45519</v>
      </c>
      <c r="E849" t="s">
        <v>2329</v>
      </c>
      <c r="F849" t="s">
        <v>65</v>
      </c>
      <c r="G849" t="s">
        <v>142</v>
      </c>
      <c r="H849" t="s">
        <v>2330</v>
      </c>
      <c r="I849" t="s">
        <v>191</v>
      </c>
      <c r="J849" t="s">
        <v>62</v>
      </c>
      <c r="K849" t="s">
        <v>2331</v>
      </c>
      <c r="L849" t="s">
        <v>118</v>
      </c>
      <c r="M849" t="s">
        <v>25</v>
      </c>
      <c r="N849" t="s">
        <v>203</v>
      </c>
      <c r="O849" t="s">
        <v>204</v>
      </c>
      <c r="P849" t="s">
        <v>123</v>
      </c>
      <c r="Q849">
        <v>113</v>
      </c>
      <c r="R849">
        <v>30.46</v>
      </c>
      <c r="S849">
        <v>3441.98</v>
      </c>
      <c r="T849">
        <v>13.44</v>
      </c>
      <c r="U849">
        <v>13</v>
      </c>
      <c r="V849">
        <v>2672</v>
      </c>
      <c r="W849" t="s">
        <v>36</v>
      </c>
      <c r="X849">
        <v>324.19</v>
      </c>
    </row>
    <row r="850" spans="1:24" x14ac:dyDescent="0.25">
      <c r="A850" s="2">
        <v>100848</v>
      </c>
      <c r="B850" s="1">
        <v>45354</v>
      </c>
      <c r="C850" s="1">
        <v>45358</v>
      </c>
      <c r="D850" s="1">
        <v>45382</v>
      </c>
      <c r="E850" t="s">
        <v>2332</v>
      </c>
      <c r="F850" t="s">
        <v>65</v>
      </c>
      <c r="G850" t="s">
        <v>142</v>
      </c>
      <c r="H850" t="s">
        <v>2333</v>
      </c>
      <c r="I850" t="s">
        <v>416</v>
      </c>
      <c r="J850" t="s">
        <v>80</v>
      </c>
      <c r="K850" t="s">
        <v>753</v>
      </c>
      <c r="L850" t="s">
        <v>64</v>
      </c>
      <c r="M850" t="s">
        <v>54</v>
      </c>
      <c r="N850" t="s">
        <v>33</v>
      </c>
      <c r="O850" t="s">
        <v>34</v>
      </c>
      <c r="P850" t="s">
        <v>76</v>
      </c>
      <c r="Q850">
        <v>89</v>
      </c>
      <c r="R850">
        <v>286.16000000000003</v>
      </c>
      <c r="S850">
        <v>25468.240000000002</v>
      </c>
      <c r="T850">
        <v>9.64</v>
      </c>
      <c r="U850">
        <v>24</v>
      </c>
      <c r="V850">
        <v>1150</v>
      </c>
      <c r="W850" t="s">
        <v>188</v>
      </c>
      <c r="X850">
        <v>5816.75</v>
      </c>
    </row>
    <row r="851" spans="1:24" x14ac:dyDescent="0.25">
      <c r="A851" s="2">
        <v>100849</v>
      </c>
      <c r="B851" s="1">
        <v>45368</v>
      </c>
      <c r="C851" s="1">
        <v>45372</v>
      </c>
      <c r="D851" s="1">
        <v>45379</v>
      </c>
      <c r="E851" t="s">
        <v>2334</v>
      </c>
      <c r="F851" t="s">
        <v>32</v>
      </c>
      <c r="G851" t="s">
        <v>273</v>
      </c>
      <c r="H851" t="s">
        <v>2335</v>
      </c>
      <c r="I851" t="s">
        <v>126</v>
      </c>
      <c r="J851" t="s">
        <v>42</v>
      </c>
      <c r="K851" t="s">
        <v>673</v>
      </c>
      <c r="L851" t="s">
        <v>187</v>
      </c>
      <c r="M851" t="s">
        <v>38</v>
      </c>
      <c r="N851" t="s">
        <v>45</v>
      </c>
      <c r="O851" t="s">
        <v>46</v>
      </c>
      <c r="P851" t="s">
        <v>123</v>
      </c>
      <c r="Q851">
        <v>254</v>
      </c>
      <c r="R851">
        <v>422.68</v>
      </c>
      <c r="S851">
        <v>107360.72</v>
      </c>
      <c r="T851">
        <v>16.86</v>
      </c>
      <c r="U851">
        <v>7</v>
      </c>
      <c r="V851">
        <v>81</v>
      </c>
      <c r="W851" t="s">
        <v>36</v>
      </c>
      <c r="X851">
        <v>8575.6200000000008</v>
      </c>
    </row>
    <row r="852" spans="1:24" x14ac:dyDescent="0.25">
      <c r="A852" s="2">
        <v>100850</v>
      </c>
      <c r="B852" s="1">
        <v>45887</v>
      </c>
      <c r="C852" s="1">
        <v>45887</v>
      </c>
      <c r="D852" s="1">
        <v>45896</v>
      </c>
      <c r="E852" t="s">
        <v>2336</v>
      </c>
      <c r="F852" t="s">
        <v>54</v>
      </c>
      <c r="G852" t="s">
        <v>158</v>
      </c>
      <c r="H852" t="s">
        <v>2337</v>
      </c>
      <c r="I852" t="s">
        <v>134</v>
      </c>
      <c r="J852" t="s">
        <v>52</v>
      </c>
      <c r="K852" t="s">
        <v>2088</v>
      </c>
      <c r="L852" t="s">
        <v>113</v>
      </c>
      <c r="M852" t="s">
        <v>38</v>
      </c>
      <c r="N852" t="s">
        <v>92</v>
      </c>
      <c r="O852" t="s">
        <v>93</v>
      </c>
      <c r="P852" t="s">
        <v>123</v>
      </c>
      <c r="Q852">
        <v>491</v>
      </c>
      <c r="R852">
        <v>29.64</v>
      </c>
      <c r="S852">
        <v>14553.24</v>
      </c>
      <c r="T852">
        <v>22.62</v>
      </c>
      <c r="U852">
        <v>9</v>
      </c>
      <c r="V852">
        <v>4403</v>
      </c>
      <c r="W852" t="s">
        <v>57</v>
      </c>
      <c r="X852">
        <v>1817.08</v>
      </c>
    </row>
    <row r="853" spans="1:24" x14ac:dyDescent="0.25">
      <c r="A853" s="2">
        <v>100851</v>
      </c>
      <c r="B853" s="1">
        <v>45404</v>
      </c>
      <c r="C853" s="1">
        <v>45404</v>
      </c>
      <c r="D853" s="1">
        <v>45414</v>
      </c>
      <c r="E853" t="s">
        <v>2338</v>
      </c>
      <c r="F853" t="s">
        <v>25</v>
      </c>
      <c r="G853" t="s">
        <v>169</v>
      </c>
      <c r="H853" t="s">
        <v>2339</v>
      </c>
      <c r="I853" t="s">
        <v>139</v>
      </c>
      <c r="J853" t="s">
        <v>42</v>
      </c>
      <c r="K853" t="s">
        <v>1010</v>
      </c>
      <c r="L853" t="s">
        <v>187</v>
      </c>
      <c r="M853" t="s">
        <v>54</v>
      </c>
      <c r="N853" t="s">
        <v>33</v>
      </c>
      <c r="O853" t="s">
        <v>34</v>
      </c>
      <c r="P853" t="s">
        <v>35</v>
      </c>
      <c r="Q853">
        <v>363</v>
      </c>
      <c r="R853">
        <v>449.81</v>
      </c>
      <c r="S853">
        <v>163281.03</v>
      </c>
      <c r="T853">
        <v>22.77</v>
      </c>
      <c r="U853">
        <v>10</v>
      </c>
      <c r="V853">
        <v>1626</v>
      </c>
      <c r="W853" t="s">
        <v>36</v>
      </c>
      <c r="X853">
        <v>26018.720000000001</v>
      </c>
    </row>
    <row r="854" spans="1:24" x14ac:dyDescent="0.25">
      <c r="A854" s="2">
        <v>100852</v>
      </c>
      <c r="B854" s="1">
        <v>46013</v>
      </c>
      <c r="C854" s="1">
        <v>46016</v>
      </c>
      <c r="D854" s="1">
        <v>46040</v>
      </c>
      <c r="E854" t="s">
        <v>2340</v>
      </c>
      <c r="F854" t="s">
        <v>38</v>
      </c>
      <c r="G854" t="s">
        <v>39</v>
      </c>
      <c r="H854" t="s">
        <v>2341</v>
      </c>
      <c r="I854" t="s">
        <v>85</v>
      </c>
      <c r="J854" t="s">
        <v>52</v>
      </c>
      <c r="K854" t="s">
        <v>2342</v>
      </c>
      <c r="L854" t="s">
        <v>212</v>
      </c>
      <c r="M854" t="s">
        <v>32</v>
      </c>
      <c r="N854" t="s">
        <v>33</v>
      </c>
      <c r="O854" t="s">
        <v>34</v>
      </c>
      <c r="P854" t="s">
        <v>76</v>
      </c>
      <c r="Q854">
        <v>54</v>
      </c>
      <c r="R854">
        <v>14.78</v>
      </c>
      <c r="S854">
        <v>798.12</v>
      </c>
      <c r="T854">
        <v>9</v>
      </c>
      <c r="U854">
        <v>24</v>
      </c>
      <c r="V854">
        <v>439</v>
      </c>
      <c r="W854" t="s">
        <v>36</v>
      </c>
      <c r="X854">
        <v>17.670000000000002</v>
      </c>
    </row>
    <row r="855" spans="1:24" x14ac:dyDescent="0.25">
      <c r="A855" s="2">
        <v>100853</v>
      </c>
      <c r="B855" s="1">
        <v>45626</v>
      </c>
      <c r="C855" s="1">
        <v>45630</v>
      </c>
      <c r="D855" s="1">
        <v>45635</v>
      </c>
      <c r="E855" t="s">
        <v>2343</v>
      </c>
      <c r="F855" t="s">
        <v>32</v>
      </c>
      <c r="G855" t="s">
        <v>137</v>
      </c>
      <c r="H855" t="s">
        <v>2344</v>
      </c>
      <c r="I855" t="s">
        <v>72</v>
      </c>
      <c r="J855" t="s">
        <v>42</v>
      </c>
      <c r="K855" t="s">
        <v>2268</v>
      </c>
      <c r="L855" t="s">
        <v>212</v>
      </c>
      <c r="M855" t="s">
        <v>25</v>
      </c>
      <c r="N855" t="s">
        <v>45</v>
      </c>
      <c r="O855" t="s">
        <v>46</v>
      </c>
      <c r="P855" t="s">
        <v>35</v>
      </c>
      <c r="Q855">
        <v>419</v>
      </c>
      <c r="R855">
        <v>266.8</v>
      </c>
      <c r="S855">
        <v>111789.2</v>
      </c>
      <c r="T855">
        <v>24.35</v>
      </c>
      <c r="U855">
        <v>5</v>
      </c>
      <c r="V855">
        <v>843</v>
      </c>
      <c r="W855" t="s">
        <v>36</v>
      </c>
      <c r="X855">
        <v>14388.23</v>
      </c>
    </row>
    <row r="856" spans="1:24" x14ac:dyDescent="0.25">
      <c r="A856" s="2">
        <v>100854</v>
      </c>
      <c r="B856" s="1">
        <v>45736</v>
      </c>
      <c r="C856" s="1">
        <v>45740</v>
      </c>
      <c r="D856" s="1">
        <v>45758</v>
      </c>
      <c r="E856" t="s">
        <v>1209</v>
      </c>
      <c r="F856" t="s">
        <v>25</v>
      </c>
      <c r="G856" t="s">
        <v>244</v>
      </c>
      <c r="H856" t="s">
        <v>2345</v>
      </c>
      <c r="I856" t="s">
        <v>139</v>
      </c>
      <c r="J856" t="s">
        <v>42</v>
      </c>
      <c r="K856" t="s">
        <v>1184</v>
      </c>
      <c r="L856" t="s">
        <v>44</v>
      </c>
      <c r="M856" t="s">
        <v>54</v>
      </c>
      <c r="N856" t="s">
        <v>55</v>
      </c>
      <c r="O856" t="s">
        <v>56</v>
      </c>
      <c r="P856" t="s">
        <v>76</v>
      </c>
      <c r="Q856">
        <v>339</v>
      </c>
      <c r="R856">
        <v>274.49</v>
      </c>
      <c r="S856">
        <v>93052.11</v>
      </c>
      <c r="T856">
        <v>14.2</v>
      </c>
      <c r="U856">
        <v>18</v>
      </c>
      <c r="V856">
        <v>1495</v>
      </c>
      <c r="W856" t="s">
        <v>36</v>
      </c>
      <c r="X856">
        <v>15242.69</v>
      </c>
    </row>
    <row r="857" spans="1:24" x14ac:dyDescent="0.25">
      <c r="A857" s="2">
        <v>100855</v>
      </c>
      <c r="B857" s="1">
        <v>45917</v>
      </c>
      <c r="C857" s="1">
        <v>45919</v>
      </c>
      <c r="D857" s="1">
        <v>45938</v>
      </c>
      <c r="E857" t="s">
        <v>2346</v>
      </c>
      <c r="F857" t="s">
        <v>38</v>
      </c>
      <c r="G857" t="s">
        <v>217</v>
      </c>
      <c r="H857" t="s">
        <v>2347</v>
      </c>
      <c r="I857" t="s">
        <v>41</v>
      </c>
      <c r="J857" t="s">
        <v>42</v>
      </c>
      <c r="K857" t="s">
        <v>202</v>
      </c>
      <c r="L857" t="s">
        <v>113</v>
      </c>
      <c r="M857" t="s">
        <v>38</v>
      </c>
      <c r="N857" t="s">
        <v>55</v>
      </c>
      <c r="O857" t="s">
        <v>56</v>
      </c>
      <c r="P857" t="s">
        <v>76</v>
      </c>
      <c r="Q857">
        <v>174</v>
      </c>
      <c r="R857">
        <v>388.75</v>
      </c>
      <c r="S857">
        <v>67642.5</v>
      </c>
      <c r="T857">
        <v>8.2899999999999991</v>
      </c>
      <c r="U857">
        <v>19</v>
      </c>
      <c r="V857">
        <v>1427</v>
      </c>
      <c r="W857" t="s">
        <v>36</v>
      </c>
      <c r="X857">
        <v>14405.36</v>
      </c>
    </row>
    <row r="858" spans="1:24" x14ac:dyDescent="0.25">
      <c r="A858" s="2">
        <v>100856</v>
      </c>
      <c r="B858" s="1">
        <v>45714</v>
      </c>
      <c r="C858" s="1">
        <v>45717</v>
      </c>
      <c r="D858" s="1">
        <v>45732</v>
      </c>
      <c r="E858" t="s">
        <v>2348</v>
      </c>
      <c r="F858" t="s">
        <v>25</v>
      </c>
      <c r="G858" t="s">
        <v>59</v>
      </c>
      <c r="H858" t="s">
        <v>2349</v>
      </c>
      <c r="I858" t="s">
        <v>61</v>
      </c>
      <c r="J858" t="s">
        <v>62</v>
      </c>
      <c r="K858" t="s">
        <v>1600</v>
      </c>
      <c r="L858" t="s">
        <v>64</v>
      </c>
      <c r="M858" t="s">
        <v>54</v>
      </c>
      <c r="N858" t="s">
        <v>74</v>
      </c>
      <c r="O858" t="s">
        <v>75</v>
      </c>
      <c r="P858" t="s">
        <v>76</v>
      </c>
      <c r="Q858">
        <v>425</v>
      </c>
      <c r="R858">
        <v>26.56</v>
      </c>
      <c r="S858">
        <v>11288</v>
      </c>
      <c r="T858">
        <v>15.76</v>
      </c>
      <c r="U858">
        <v>15</v>
      </c>
      <c r="V858">
        <v>3930</v>
      </c>
      <c r="W858" t="s">
        <v>36</v>
      </c>
      <c r="X858">
        <v>1209.55</v>
      </c>
    </row>
    <row r="859" spans="1:24" x14ac:dyDescent="0.25">
      <c r="A859" s="2">
        <v>100857</v>
      </c>
      <c r="B859" s="1">
        <v>45333</v>
      </c>
      <c r="C859" s="1">
        <v>45337</v>
      </c>
      <c r="D859" s="1">
        <v>45344</v>
      </c>
      <c r="E859" t="s">
        <v>2350</v>
      </c>
      <c r="F859" t="s">
        <v>38</v>
      </c>
      <c r="G859" t="s">
        <v>147</v>
      </c>
      <c r="H859" t="s">
        <v>2351</v>
      </c>
      <c r="I859" t="s">
        <v>238</v>
      </c>
      <c r="J859" t="s">
        <v>62</v>
      </c>
      <c r="K859" t="s">
        <v>2352</v>
      </c>
      <c r="L859" t="s">
        <v>31</v>
      </c>
      <c r="M859" t="s">
        <v>25</v>
      </c>
      <c r="N859" t="s">
        <v>55</v>
      </c>
      <c r="O859" t="s">
        <v>56</v>
      </c>
      <c r="P859" t="s">
        <v>35</v>
      </c>
      <c r="Q859">
        <v>322</v>
      </c>
      <c r="R859">
        <v>22.89</v>
      </c>
      <c r="S859">
        <v>7370.58</v>
      </c>
      <c r="T859">
        <v>21.6</v>
      </c>
      <c r="U859">
        <v>7</v>
      </c>
      <c r="V859">
        <v>1171</v>
      </c>
      <c r="W859" t="s">
        <v>36</v>
      </c>
      <c r="X859">
        <v>519.29999999999995</v>
      </c>
    </row>
    <row r="860" spans="1:24" x14ac:dyDescent="0.25">
      <c r="A860" s="2">
        <v>100858</v>
      </c>
      <c r="B860" s="1">
        <v>45926</v>
      </c>
      <c r="C860" s="1">
        <v>45928</v>
      </c>
      <c r="D860" s="1">
        <v>45952</v>
      </c>
      <c r="E860" t="s">
        <v>2353</v>
      </c>
      <c r="F860" t="s">
        <v>65</v>
      </c>
      <c r="G860" t="s">
        <v>70</v>
      </c>
      <c r="H860" t="s">
        <v>2354</v>
      </c>
      <c r="I860" t="s">
        <v>139</v>
      </c>
      <c r="J860" t="s">
        <v>42</v>
      </c>
      <c r="K860" t="s">
        <v>1063</v>
      </c>
      <c r="L860" t="s">
        <v>122</v>
      </c>
      <c r="M860" t="s">
        <v>54</v>
      </c>
      <c r="N860" t="s">
        <v>66</v>
      </c>
      <c r="O860" t="s">
        <v>67</v>
      </c>
      <c r="P860" t="s">
        <v>76</v>
      </c>
      <c r="Q860">
        <v>53</v>
      </c>
      <c r="R860">
        <v>81.05</v>
      </c>
      <c r="S860">
        <v>4295.6499999999996</v>
      </c>
      <c r="T860">
        <v>8.98</v>
      </c>
      <c r="U860">
        <v>24</v>
      </c>
      <c r="V860">
        <v>1642</v>
      </c>
      <c r="W860" t="s">
        <v>36</v>
      </c>
      <c r="X860">
        <v>892.65</v>
      </c>
    </row>
    <row r="861" spans="1:24" x14ac:dyDescent="0.25">
      <c r="A861" s="2">
        <v>100859</v>
      </c>
      <c r="B861" s="1">
        <v>45558</v>
      </c>
      <c r="C861" s="1">
        <v>45560</v>
      </c>
      <c r="D861" s="1">
        <v>45572</v>
      </c>
      <c r="E861" t="s">
        <v>2355</v>
      </c>
      <c r="F861" t="s">
        <v>38</v>
      </c>
      <c r="G861" t="s">
        <v>49</v>
      </c>
      <c r="H861" t="s">
        <v>2356</v>
      </c>
      <c r="I861" t="s">
        <v>230</v>
      </c>
      <c r="J861" t="s">
        <v>80</v>
      </c>
      <c r="K861" t="s">
        <v>565</v>
      </c>
      <c r="L861" t="s">
        <v>212</v>
      </c>
      <c r="M861" t="s">
        <v>25</v>
      </c>
      <c r="N861" t="s">
        <v>66</v>
      </c>
      <c r="O861" t="s">
        <v>67</v>
      </c>
      <c r="P861" t="s">
        <v>68</v>
      </c>
      <c r="Q861">
        <v>240</v>
      </c>
      <c r="R861">
        <v>321.88</v>
      </c>
      <c r="S861">
        <v>77251.199999999997</v>
      </c>
      <c r="T861">
        <v>44.06</v>
      </c>
      <c r="U861">
        <v>12</v>
      </c>
      <c r="V861">
        <v>1960</v>
      </c>
      <c r="W861" t="s">
        <v>188</v>
      </c>
      <c r="X861">
        <v>11106.66</v>
      </c>
    </row>
    <row r="862" spans="1:24" x14ac:dyDescent="0.25">
      <c r="A862" s="2">
        <v>100860</v>
      </c>
      <c r="B862" s="1">
        <v>45890</v>
      </c>
      <c r="C862" s="1">
        <v>45893</v>
      </c>
      <c r="D862" s="1">
        <v>45900</v>
      </c>
      <c r="E862" t="s">
        <v>1997</v>
      </c>
      <c r="F862" t="s">
        <v>38</v>
      </c>
      <c r="G862" t="s">
        <v>39</v>
      </c>
      <c r="H862" t="s">
        <v>2357</v>
      </c>
      <c r="I862" t="s">
        <v>89</v>
      </c>
      <c r="J862" t="s">
        <v>62</v>
      </c>
      <c r="K862" t="s">
        <v>1835</v>
      </c>
      <c r="L862" t="s">
        <v>113</v>
      </c>
      <c r="M862" t="s">
        <v>25</v>
      </c>
      <c r="N862" t="s">
        <v>151</v>
      </c>
      <c r="O862" t="s">
        <v>152</v>
      </c>
      <c r="P862" t="s">
        <v>35</v>
      </c>
      <c r="Q862">
        <v>267</v>
      </c>
      <c r="R862">
        <v>45.28</v>
      </c>
      <c r="S862">
        <v>12089.76</v>
      </c>
      <c r="T862">
        <v>20.04</v>
      </c>
      <c r="U862">
        <v>7</v>
      </c>
      <c r="V862">
        <v>3141</v>
      </c>
      <c r="W862" t="s">
        <v>36</v>
      </c>
      <c r="X862">
        <v>1042.6199999999999</v>
      </c>
    </row>
    <row r="863" spans="1:24" x14ac:dyDescent="0.25">
      <c r="A863" s="2">
        <v>100861</v>
      </c>
      <c r="B863" s="1">
        <v>45299</v>
      </c>
      <c r="C863" s="1">
        <v>45304</v>
      </c>
      <c r="D863" s="1">
        <v>45306</v>
      </c>
      <c r="E863" t="s">
        <v>1017</v>
      </c>
      <c r="F863" t="s">
        <v>32</v>
      </c>
      <c r="G863" t="s">
        <v>364</v>
      </c>
      <c r="H863" t="s">
        <v>2358</v>
      </c>
      <c r="I863" t="s">
        <v>134</v>
      </c>
      <c r="J863" t="s">
        <v>52</v>
      </c>
      <c r="K863" t="s">
        <v>319</v>
      </c>
      <c r="L863" t="s">
        <v>91</v>
      </c>
      <c r="M863" t="s">
        <v>54</v>
      </c>
      <c r="N863" t="s">
        <v>66</v>
      </c>
      <c r="O863" t="s">
        <v>67</v>
      </c>
      <c r="P863" t="s">
        <v>35</v>
      </c>
      <c r="Q863">
        <v>360</v>
      </c>
      <c r="R863">
        <v>70.66</v>
      </c>
      <c r="S863">
        <v>25437.599999999999</v>
      </c>
      <c r="T863">
        <v>22.68</v>
      </c>
      <c r="U863">
        <v>2</v>
      </c>
      <c r="V863">
        <v>3970</v>
      </c>
      <c r="W863" t="s">
        <v>36</v>
      </c>
      <c r="X863">
        <v>1842.1</v>
      </c>
    </row>
    <row r="864" spans="1:24" x14ac:dyDescent="0.25">
      <c r="A864" s="2">
        <v>100862</v>
      </c>
      <c r="B864" s="1">
        <v>45924</v>
      </c>
      <c r="C864" s="1">
        <v>45928</v>
      </c>
      <c r="D864" s="1">
        <v>45941</v>
      </c>
      <c r="E864" t="s">
        <v>2359</v>
      </c>
      <c r="F864" t="s">
        <v>32</v>
      </c>
      <c r="G864" t="s">
        <v>255</v>
      </c>
      <c r="H864" t="s">
        <v>2360</v>
      </c>
      <c r="I864" t="s">
        <v>368</v>
      </c>
      <c r="J864" t="s">
        <v>29</v>
      </c>
      <c r="K864" t="s">
        <v>1408</v>
      </c>
      <c r="L864" t="s">
        <v>113</v>
      </c>
      <c r="M864" t="s">
        <v>54</v>
      </c>
      <c r="N864" t="s">
        <v>45</v>
      </c>
      <c r="O864" t="s">
        <v>46</v>
      </c>
      <c r="P864" t="s">
        <v>76</v>
      </c>
      <c r="Q864">
        <v>173</v>
      </c>
      <c r="R864">
        <v>62.48</v>
      </c>
      <c r="S864">
        <v>10809.04</v>
      </c>
      <c r="T864">
        <v>11.17</v>
      </c>
      <c r="U864">
        <v>13</v>
      </c>
      <c r="V864">
        <v>2818</v>
      </c>
      <c r="W864" t="s">
        <v>36</v>
      </c>
      <c r="X864">
        <v>3047.26</v>
      </c>
    </row>
    <row r="865" spans="1:24" x14ac:dyDescent="0.25">
      <c r="A865" s="2">
        <v>100863</v>
      </c>
      <c r="B865" s="1">
        <v>45949</v>
      </c>
      <c r="C865" s="1">
        <v>45952</v>
      </c>
      <c r="D865" s="1">
        <v>45968</v>
      </c>
      <c r="E865" t="s">
        <v>1820</v>
      </c>
      <c r="F865" t="s">
        <v>38</v>
      </c>
      <c r="G865" t="s">
        <v>217</v>
      </c>
      <c r="H865" t="s">
        <v>2361</v>
      </c>
      <c r="I865" t="s">
        <v>85</v>
      </c>
      <c r="J865" t="s">
        <v>52</v>
      </c>
      <c r="K865" t="s">
        <v>467</v>
      </c>
      <c r="L865" t="s">
        <v>113</v>
      </c>
      <c r="M865" t="s">
        <v>38</v>
      </c>
      <c r="N865" t="s">
        <v>33</v>
      </c>
      <c r="O865" t="s">
        <v>34</v>
      </c>
      <c r="P865" t="s">
        <v>76</v>
      </c>
      <c r="Q865">
        <v>182</v>
      </c>
      <c r="R865">
        <v>61.61</v>
      </c>
      <c r="S865">
        <v>11213.02</v>
      </c>
      <c r="T865">
        <v>8.4</v>
      </c>
      <c r="U865">
        <v>16</v>
      </c>
      <c r="V865">
        <v>1243</v>
      </c>
      <c r="W865" t="s">
        <v>36</v>
      </c>
      <c r="X865">
        <v>2141.41</v>
      </c>
    </row>
    <row r="866" spans="1:24" x14ac:dyDescent="0.25">
      <c r="A866" s="2">
        <v>100864</v>
      </c>
      <c r="B866" s="1">
        <v>45601</v>
      </c>
      <c r="C866" s="1">
        <v>45606</v>
      </c>
      <c r="D866" s="1">
        <v>45610</v>
      </c>
      <c r="E866" t="s">
        <v>1411</v>
      </c>
      <c r="F866" t="s">
        <v>65</v>
      </c>
      <c r="G866" t="s">
        <v>154</v>
      </c>
      <c r="H866" t="s">
        <v>2362</v>
      </c>
      <c r="I866" t="s">
        <v>149</v>
      </c>
      <c r="J866" t="s">
        <v>42</v>
      </c>
      <c r="K866" t="s">
        <v>2363</v>
      </c>
      <c r="L866" t="s">
        <v>31</v>
      </c>
      <c r="M866" t="s">
        <v>32</v>
      </c>
      <c r="N866" t="s">
        <v>33</v>
      </c>
      <c r="O866" t="s">
        <v>34</v>
      </c>
      <c r="P866" t="s">
        <v>68</v>
      </c>
      <c r="Q866">
        <v>292</v>
      </c>
      <c r="R866">
        <v>285.52999999999997</v>
      </c>
      <c r="S866">
        <v>83374.759999999995</v>
      </c>
      <c r="T866">
        <v>47.43</v>
      </c>
      <c r="U866">
        <v>4</v>
      </c>
      <c r="V866">
        <v>1298</v>
      </c>
      <c r="W866" t="s">
        <v>57</v>
      </c>
      <c r="X866">
        <v>10684.72</v>
      </c>
    </row>
    <row r="867" spans="1:24" x14ac:dyDescent="0.25">
      <c r="A867" s="2">
        <v>100865</v>
      </c>
      <c r="B867" s="1">
        <v>45386</v>
      </c>
      <c r="C867" s="1">
        <v>45391</v>
      </c>
      <c r="D867" s="1">
        <v>45398</v>
      </c>
      <c r="E867" t="s">
        <v>2364</v>
      </c>
      <c r="F867" t="s">
        <v>38</v>
      </c>
      <c r="G867" t="s">
        <v>83</v>
      </c>
      <c r="H867" t="s">
        <v>2365</v>
      </c>
      <c r="I867" t="s">
        <v>144</v>
      </c>
      <c r="J867" t="s">
        <v>52</v>
      </c>
      <c r="K867" t="s">
        <v>2366</v>
      </c>
      <c r="L867" t="s">
        <v>31</v>
      </c>
      <c r="M867" t="s">
        <v>54</v>
      </c>
      <c r="N867" t="s">
        <v>45</v>
      </c>
      <c r="O867" t="s">
        <v>46</v>
      </c>
      <c r="P867" t="s">
        <v>35</v>
      </c>
      <c r="Q867">
        <v>380</v>
      </c>
      <c r="R867">
        <v>16.84</v>
      </c>
      <c r="S867">
        <v>6399.2</v>
      </c>
      <c r="T867">
        <v>23.25</v>
      </c>
      <c r="U867">
        <v>7</v>
      </c>
      <c r="V867">
        <v>487</v>
      </c>
      <c r="W867" t="s">
        <v>36</v>
      </c>
      <c r="X867">
        <v>1113.43</v>
      </c>
    </row>
    <row r="868" spans="1:24" x14ac:dyDescent="0.25">
      <c r="A868" s="2">
        <v>100866</v>
      </c>
      <c r="B868" s="1">
        <v>45365</v>
      </c>
      <c r="C868" s="1">
        <v>45365</v>
      </c>
      <c r="D868" s="1">
        <v>45366</v>
      </c>
      <c r="E868" t="s">
        <v>2367</v>
      </c>
      <c r="F868" t="s">
        <v>25</v>
      </c>
      <c r="G868" t="s">
        <v>244</v>
      </c>
      <c r="H868" t="s">
        <v>2368</v>
      </c>
      <c r="I868" t="s">
        <v>126</v>
      </c>
      <c r="J868" t="s">
        <v>42</v>
      </c>
      <c r="K868" t="s">
        <v>160</v>
      </c>
      <c r="L868" t="s">
        <v>113</v>
      </c>
      <c r="M868" t="s">
        <v>54</v>
      </c>
      <c r="N868" t="s">
        <v>66</v>
      </c>
      <c r="O868" t="s">
        <v>67</v>
      </c>
      <c r="P868" t="s">
        <v>68</v>
      </c>
      <c r="Q868">
        <v>32</v>
      </c>
      <c r="R868">
        <v>300.85000000000002</v>
      </c>
      <c r="S868">
        <v>9627.2000000000007</v>
      </c>
      <c r="T868">
        <v>30.59</v>
      </c>
      <c r="U868">
        <v>1</v>
      </c>
      <c r="V868">
        <v>456</v>
      </c>
      <c r="W868" t="s">
        <v>36</v>
      </c>
      <c r="X868">
        <v>1687.14</v>
      </c>
    </row>
    <row r="869" spans="1:24" x14ac:dyDescent="0.25">
      <c r="A869" s="2">
        <v>100867</v>
      </c>
      <c r="B869" s="1">
        <v>45314</v>
      </c>
      <c r="C869" s="1">
        <v>45314</v>
      </c>
      <c r="D869" s="1">
        <v>45326</v>
      </c>
      <c r="E869" t="s">
        <v>2369</v>
      </c>
      <c r="F869" t="s">
        <v>25</v>
      </c>
      <c r="G869" t="s">
        <v>172</v>
      </c>
      <c r="H869" t="s">
        <v>2370</v>
      </c>
      <c r="I869" t="s">
        <v>278</v>
      </c>
      <c r="J869" t="s">
        <v>29</v>
      </c>
      <c r="K869" t="s">
        <v>2371</v>
      </c>
      <c r="L869" t="s">
        <v>31</v>
      </c>
      <c r="M869" t="s">
        <v>54</v>
      </c>
      <c r="N869" t="s">
        <v>107</v>
      </c>
      <c r="O869" t="s">
        <v>108</v>
      </c>
      <c r="P869" t="s">
        <v>76</v>
      </c>
      <c r="Q869">
        <v>231</v>
      </c>
      <c r="R869">
        <v>87.49</v>
      </c>
      <c r="S869">
        <v>20210.189999999999</v>
      </c>
      <c r="T869">
        <v>12.23</v>
      </c>
      <c r="U869">
        <v>12</v>
      </c>
      <c r="V869">
        <v>3088</v>
      </c>
      <c r="W869" t="s">
        <v>36</v>
      </c>
      <c r="X869">
        <v>4712.7299999999996</v>
      </c>
    </row>
    <row r="870" spans="1:24" x14ac:dyDescent="0.25">
      <c r="A870" s="2">
        <v>100868</v>
      </c>
      <c r="B870" s="1">
        <v>45734</v>
      </c>
      <c r="C870" s="1">
        <v>45738</v>
      </c>
      <c r="D870" s="1">
        <v>45744</v>
      </c>
      <c r="E870" t="s">
        <v>124</v>
      </c>
      <c r="F870" t="s">
        <v>38</v>
      </c>
      <c r="G870" t="s">
        <v>39</v>
      </c>
      <c r="H870" t="s">
        <v>2372</v>
      </c>
      <c r="I870" t="s">
        <v>41</v>
      </c>
      <c r="J870" t="s">
        <v>42</v>
      </c>
      <c r="K870" t="s">
        <v>1633</v>
      </c>
      <c r="L870" t="s">
        <v>187</v>
      </c>
      <c r="M870" t="s">
        <v>38</v>
      </c>
      <c r="N870" t="s">
        <v>66</v>
      </c>
      <c r="O870" t="s">
        <v>67</v>
      </c>
      <c r="P870" t="s">
        <v>68</v>
      </c>
      <c r="Q870">
        <v>372</v>
      </c>
      <c r="R870">
        <v>88.46</v>
      </c>
      <c r="S870">
        <v>32907.120000000003</v>
      </c>
      <c r="T870">
        <v>38.979999999999997</v>
      </c>
      <c r="U870">
        <v>6</v>
      </c>
      <c r="V870">
        <v>574</v>
      </c>
      <c r="W870" t="s">
        <v>36</v>
      </c>
      <c r="X870">
        <v>2665.29</v>
      </c>
    </row>
    <row r="871" spans="1:24" x14ac:dyDescent="0.25">
      <c r="A871" s="2">
        <v>100869</v>
      </c>
      <c r="B871" s="1">
        <v>45874</v>
      </c>
      <c r="C871" s="1">
        <v>45875</v>
      </c>
      <c r="D871" s="1">
        <v>45900</v>
      </c>
      <c r="E871" t="s">
        <v>2373</v>
      </c>
      <c r="F871" t="s">
        <v>25</v>
      </c>
      <c r="G871" t="s">
        <v>233</v>
      </c>
      <c r="H871" t="s">
        <v>2374</v>
      </c>
      <c r="I871" t="s">
        <v>198</v>
      </c>
      <c r="J871" t="s">
        <v>52</v>
      </c>
      <c r="K871" t="s">
        <v>2375</v>
      </c>
      <c r="L871" t="s">
        <v>44</v>
      </c>
      <c r="M871" t="s">
        <v>32</v>
      </c>
      <c r="N871" t="s">
        <v>92</v>
      </c>
      <c r="O871" t="s">
        <v>93</v>
      </c>
      <c r="P871" t="s">
        <v>76</v>
      </c>
      <c r="Q871">
        <v>423</v>
      </c>
      <c r="R871">
        <v>75.849999999999994</v>
      </c>
      <c r="S871">
        <v>32084.55</v>
      </c>
      <c r="T871">
        <v>15.73</v>
      </c>
      <c r="U871">
        <v>25</v>
      </c>
      <c r="V871">
        <v>3942</v>
      </c>
      <c r="W871" t="s">
        <v>188</v>
      </c>
      <c r="X871">
        <v>2363.06</v>
      </c>
    </row>
    <row r="872" spans="1:24" x14ac:dyDescent="0.25">
      <c r="A872" s="2">
        <v>100870</v>
      </c>
      <c r="B872" s="1">
        <v>45474</v>
      </c>
      <c r="C872" s="1">
        <v>45478</v>
      </c>
      <c r="D872" s="1">
        <v>45482</v>
      </c>
      <c r="E872" t="s">
        <v>2376</v>
      </c>
      <c r="F872" t="s">
        <v>54</v>
      </c>
      <c r="G872" t="s">
        <v>193</v>
      </c>
      <c r="H872" t="s">
        <v>2377</v>
      </c>
      <c r="I872" t="s">
        <v>28</v>
      </c>
      <c r="J872" t="s">
        <v>29</v>
      </c>
      <c r="K872" t="s">
        <v>2378</v>
      </c>
      <c r="L872" t="s">
        <v>44</v>
      </c>
      <c r="M872" t="s">
        <v>65</v>
      </c>
      <c r="N872" t="s">
        <v>45</v>
      </c>
      <c r="O872" t="s">
        <v>46</v>
      </c>
      <c r="P872" t="s">
        <v>68</v>
      </c>
      <c r="Q872">
        <v>129</v>
      </c>
      <c r="R872">
        <v>104.37</v>
      </c>
      <c r="S872">
        <v>13463.73</v>
      </c>
      <c r="T872">
        <v>36.869999999999997</v>
      </c>
      <c r="U872">
        <v>4</v>
      </c>
      <c r="V872">
        <v>2905</v>
      </c>
      <c r="W872" t="s">
        <v>36</v>
      </c>
      <c r="X872">
        <v>2595.2600000000002</v>
      </c>
    </row>
    <row r="873" spans="1:24" x14ac:dyDescent="0.25">
      <c r="A873" s="2">
        <v>100871</v>
      </c>
      <c r="B873" s="1">
        <v>46019</v>
      </c>
      <c r="C873" s="1">
        <v>46022</v>
      </c>
      <c r="D873" s="1">
        <v>46028</v>
      </c>
      <c r="E873" t="s">
        <v>2379</v>
      </c>
      <c r="F873" t="s">
        <v>32</v>
      </c>
      <c r="G873" t="s">
        <v>255</v>
      </c>
      <c r="H873" t="s">
        <v>2380</v>
      </c>
      <c r="I873" t="s">
        <v>230</v>
      </c>
      <c r="J873" t="s">
        <v>80</v>
      </c>
      <c r="K873" t="s">
        <v>359</v>
      </c>
      <c r="L873" t="s">
        <v>91</v>
      </c>
      <c r="M873" t="s">
        <v>32</v>
      </c>
      <c r="N873" t="s">
        <v>33</v>
      </c>
      <c r="O873" t="s">
        <v>34</v>
      </c>
      <c r="P873" t="s">
        <v>35</v>
      </c>
      <c r="Q873">
        <v>210</v>
      </c>
      <c r="R873">
        <v>298.51</v>
      </c>
      <c r="S873">
        <v>62687.1</v>
      </c>
      <c r="T873">
        <v>13.65</v>
      </c>
      <c r="U873">
        <v>6</v>
      </c>
      <c r="V873">
        <v>869</v>
      </c>
      <c r="W873" t="s">
        <v>36</v>
      </c>
      <c r="X873">
        <v>11636.76</v>
      </c>
    </row>
    <row r="874" spans="1:24" x14ac:dyDescent="0.25">
      <c r="A874" s="2">
        <v>100872</v>
      </c>
      <c r="B874" s="1">
        <v>45468</v>
      </c>
      <c r="C874" s="1">
        <v>45471</v>
      </c>
      <c r="D874" s="1">
        <v>45475</v>
      </c>
      <c r="E874" t="s">
        <v>2381</v>
      </c>
      <c r="F874" t="s">
        <v>38</v>
      </c>
      <c r="G874" t="s">
        <v>39</v>
      </c>
      <c r="H874" t="s">
        <v>2382</v>
      </c>
      <c r="I874" t="s">
        <v>72</v>
      </c>
      <c r="J874" t="s">
        <v>42</v>
      </c>
      <c r="K874" t="s">
        <v>2383</v>
      </c>
      <c r="L874" t="s">
        <v>122</v>
      </c>
      <c r="M874" t="s">
        <v>32</v>
      </c>
      <c r="N874" t="s">
        <v>55</v>
      </c>
      <c r="O874" t="s">
        <v>56</v>
      </c>
      <c r="P874" t="s">
        <v>123</v>
      </c>
      <c r="Q874">
        <v>459</v>
      </c>
      <c r="R874">
        <v>68.260000000000005</v>
      </c>
      <c r="S874">
        <v>31331.34</v>
      </c>
      <c r="T874">
        <v>21.85</v>
      </c>
      <c r="U874">
        <v>4</v>
      </c>
      <c r="V874">
        <v>1530</v>
      </c>
      <c r="W874" t="s">
        <v>36</v>
      </c>
      <c r="X874">
        <v>6258.57</v>
      </c>
    </row>
    <row r="875" spans="1:24" x14ac:dyDescent="0.25">
      <c r="A875" s="2">
        <v>100873</v>
      </c>
      <c r="B875" s="1">
        <v>45669</v>
      </c>
      <c r="C875" s="1">
        <v>45671</v>
      </c>
      <c r="D875" s="1">
        <v>45682</v>
      </c>
      <c r="E875" t="s">
        <v>2384</v>
      </c>
      <c r="F875" t="s">
        <v>32</v>
      </c>
      <c r="G875" t="s">
        <v>137</v>
      </c>
      <c r="H875" t="s">
        <v>2385</v>
      </c>
      <c r="I875" t="s">
        <v>28</v>
      </c>
      <c r="J875" t="s">
        <v>29</v>
      </c>
      <c r="K875" t="s">
        <v>573</v>
      </c>
      <c r="L875" t="s">
        <v>113</v>
      </c>
      <c r="M875" t="s">
        <v>32</v>
      </c>
      <c r="N875" t="s">
        <v>74</v>
      </c>
      <c r="O875" t="s">
        <v>75</v>
      </c>
      <c r="P875" t="s">
        <v>123</v>
      </c>
      <c r="Q875">
        <v>467</v>
      </c>
      <c r="R875">
        <v>52.67</v>
      </c>
      <c r="S875">
        <v>24596.89</v>
      </c>
      <c r="T875">
        <v>16.329999999999998</v>
      </c>
      <c r="U875">
        <v>11</v>
      </c>
      <c r="V875">
        <v>2332</v>
      </c>
      <c r="W875" t="s">
        <v>36</v>
      </c>
      <c r="X875">
        <v>3169.08</v>
      </c>
    </row>
    <row r="876" spans="1:24" x14ac:dyDescent="0.25">
      <c r="A876" s="2">
        <v>100874</v>
      </c>
      <c r="B876" s="1">
        <v>45386</v>
      </c>
      <c r="C876" s="1">
        <v>45386</v>
      </c>
      <c r="D876" s="1">
        <v>45387</v>
      </c>
      <c r="E876" t="s">
        <v>2386</v>
      </c>
      <c r="F876" t="s">
        <v>32</v>
      </c>
      <c r="G876" t="s">
        <v>95</v>
      </c>
      <c r="H876" t="s">
        <v>2387</v>
      </c>
      <c r="I876" t="s">
        <v>89</v>
      </c>
      <c r="J876" t="s">
        <v>62</v>
      </c>
      <c r="K876" t="s">
        <v>1909</v>
      </c>
      <c r="L876" t="s">
        <v>212</v>
      </c>
      <c r="M876" t="s">
        <v>25</v>
      </c>
      <c r="N876" t="s">
        <v>107</v>
      </c>
      <c r="O876" t="s">
        <v>108</v>
      </c>
      <c r="P876" t="s">
        <v>68</v>
      </c>
      <c r="Q876">
        <v>251</v>
      </c>
      <c r="R876">
        <v>44.99</v>
      </c>
      <c r="S876">
        <v>11292.49</v>
      </c>
      <c r="T876">
        <v>44.78</v>
      </c>
      <c r="U876">
        <v>1</v>
      </c>
      <c r="V876">
        <v>3163</v>
      </c>
      <c r="W876" t="s">
        <v>36</v>
      </c>
      <c r="X876">
        <v>1611.51</v>
      </c>
    </row>
    <row r="877" spans="1:24" x14ac:dyDescent="0.25">
      <c r="A877" s="2">
        <v>100875</v>
      </c>
      <c r="B877" s="1">
        <v>45446</v>
      </c>
      <c r="C877" s="1">
        <v>45448</v>
      </c>
      <c r="D877" s="1">
        <v>45464</v>
      </c>
      <c r="E877" t="s">
        <v>2388</v>
      </c>
      <c r="F877" t="s">
        <v>25</v>
      </c>
      <c r="G877" t="s">
        <v>59</v>
      </c>
      <c r="H877" t="s">
        <v>2389</v>
      </c>
      <c r="I877" t="s">
        <v>182</v>
      </c>
      <c r="J877" t="s">
        <v>80</v>
      </c>
      <c r="K877" t="s">
        <v>2390</v>
      </c>
      <c r="L877" t="s">
        <v>91</v>
      </c>
      <c r="M877" t="s">
        <v>32</v>
      </c>
      <c r="N877" t="s">
        <v>74</v>
      </c>
      <c r="O877" t="s">
        <v>75</v>
      </c>
      <c r="P877" t="s">
        <v>76</v>
      </c>
      <c r="Q877">
        <v>381</v>
      </c>
      <c r="R877">
        <v>303.83999999999997</v>
      </c>
      <c r="S877">
        <v>115763.04</v>
      </c>
      <c r="T877">
        <v>14.96</v>
      </c>
      <c r="U877">
        <v>16</v>
      </c>
      <c r="V877">
        <v>161</v>
      </c>
      <c r="W877" t="s">
        <v>36</v>
      </c>
      <c r="X877">
        <v>28482.23</v>
      </c>
    </row>
    <row r="878" spans="1:24" x14ac:dyDescent="0.25">
      <c r="A878" s="2">
        <v>100876</v>
      </c>
      <c r="B878" s="1">
        <v>45544</v>
      </c>
      <c r="C878" s="1">
        <v>45548</v>
      </c>
      <c r="D878" s="1">
        <v>45561</v>
      </c>
      <c r="E878" t="s">
        <v>2391</v>
      </c>
      <c r="F878" t="s">
        <v>65</v>
      </c>
      <c r="G878" t="s">
        <v>142</v>
      </c>
      <c r="H878" t="s">
        <v>2392</v>
      </c>
      <c r="I878" t="s">
        <v>116</v>
      </c>
      <c r="J878" t="s">
        <v>62</v>
      </c>
      <c r="K878" t="s">
        <v>2393</v>
      </c>
      <c r="L878" t="s">
        <v>122</v>
      </c>
      <c r="M878" t="s">
        <v>38</v>
      </c>
      <c r="N878" t="s">
        <v>102</v>
      </c>
      <c r="O878" t="s">
        <v>103</v>
      </c>
      <c r="P878" t="s">
        <v>76</v>
      </c>
      <c r="Q878">
        <v>331</v>
      </c>
      <c r="R878">
        <v>45.09</v>
      </c>
      <c r="S878">
        <v>14924.79</v>
      </c>
      <c r="T878">
        <v>14.05</v>
      </c>
      <c r="U878">
        <v>13</v>
      </c>
      <c r="V878">
        <v>361</v>
      </c>
      <c r="W878" t="s">
        <v>36</v>
      </c>
      <c r="X878">
        <v>1343.47</v>
      </c>
    </row>
    <row r="879" spans="1:24" x14ac:dyDescent="0.25">
      <c r="A879" s="2">
        <v>100877</v>
      </c>
      <c r="B879" s="1">
        <v>45917</v>
      </c>
      <c r="C879" s="1">
        <v>45918</v>
      </c>
      <c r="D879" s="1">
        <v>45930</v>
      </c>
      <c r="E879" t="s">
        <v>248</v>
      </c>
      <c r="F879" t="s">
        <v>25</v>
      </c>
      <c r="G879" t="s">
        <v>233</v>
      </c>
      <c r="H879" t="s">
        <v>2394</v>
      </c>
      <c r="I879" t="s">
        <v>51</v>
      </c>
      <c r="J879" t="s">
        <v>52</v>
      </c>
      <c r="K879" t="s">
        <v>714</v>
      </c>
      <c r="L879" t="s">
        <v>31</v>
      </c>
      <c r="M879" t="s">
        <v>38</v>
      </c>
      <c r="N879" t="s">
        <v>92</v>
      </c>
      <c r="O879" t="s">
        <v>93</v>
      </c>
      <c r="P879" t="s">
        <v>76</v>
      </c>
      <c r="Q879">
        <v>11</v>
      </c>
      <c r="R879">
        <v>65.959999999999994</v>
      </c>
      <c r="S879">
        <v>725.56</v>
      </c>
      <c r="T879">
        <v>8.2200000000000006</v>
      </c>
      <c r="U879">
        <v>12</v>
      </c>
      <c r="V879">
        <v>1474</v>
      </c>
      <c r="W879" t="s">
        <v>36</v>
      </c>
      <c r="X879">
        <v>78.38</v>
      </c>
    </row>
    <row r="880" spans="1:24" x14ac:dyDescent="0.25">
      <c r="A880" s="2">
        <v>100878</v>
      </c>
      <c r="B880" s="1">
        <v>45875</v>
      </c>
      <c r="C880" s="1">
        <v>45877</v>
      </c>
      <c r="D880" s="1">
        <v>45891</v>
      </c>
      <c r="E880" t="s">
        <v>2395</v>
      </c>
      <c r="F880" t="s">
        <v>65</v>
      </c>
      <c r="G880" t="s">
        <v>70</v>
      </c>
      <c r="H880" t="s">
        <v>2396</v>
      </c>
      <c r="I880" t="s">
        <v>230</v>
      </c>
      <c r="J880" t="s">
        <v>80</v>
      </c>
      <c r="K880" t="s">
        <v>913</v>
      </c>
      <c r="L880" t="s">
        <v>31</v>
      </c>
      <c r="M880" t="s">
        <v>65</v>
      </c>
      <c r="N880" t="s">
        <v>203</v>
      </c>
      <c r="O880" t="s">
        <v>204</v>
      </c>
      <c r="P880" t="s">
        <v>123</v>
      </c>
      <c r="Q880">
        <v>74</v>
      </c>
      <c r="R880">
        <v>45.25</v>
      </c>
      <c r="S880">
        <v>3348.5</v>
      </c>
      <c r="T880">
        <v>9.25</v>
      </c>
      <c r="U880">
        <v>14</v>
      </c>
      <c r="V880">
        <v>1464</v>
      </c>
      <c r="W880" t="s">
        <v>36</v>
      </c>
      <c r="X880">
        <v>647.34</v>
      </c>
    </row>
    <row r="881" spans="1:24" x14ac:dyDescent="0.25">
      <c r="A881" s="2">
        <v>100879</v>
      </c>
      <c r="B881" s="1">
        <v>45553</v>
      </c>
      <c r="C881" s="1">
        <v>45553</v>
      </c>
      <c r="D881" s="1">
        <v>45577</v>
      </c>
      <c r="E881" t="s">
        <v>2397</v>
      </c>
      <c r="F881" t="s">
        <v>38</v>
      </c>
      <c r="G881" t="s">
        <v>49</v>
      </c>
      <c r="H881" t="s">
        <v>2398</v>
      </c>
      <c r="I881" t="s">
        <v>198</v>
      </c>
      <c r="J881" t="s">
        <v>52</v>
      </c>
      <c r="K881" t="s">
        <v>2399</v>
      </c>
      <c r="L881" t="s">
        <v>91</v>
      </c>
      <c r="M881" t="s">
        <v>25</v>
      </c>
      <c r="N881" t="s">
        <v>151</v>
      </c>
      <c r="O881" t="s">
        <v>152</v>
      </c>
      <c r="P881" t="s">
        <v>76</v>
      </c>
      <c r="Q881">
        <v>22</v>
      </c>
      <c r="R881">
        <v>76.8</v>
      </c>
      <c r="S881">
        <v>1689.6</v>
      </c>
      <c r="T881">
        <v>8.42</v>
      </c>
      <c r="U881">
        <v>24</v>
      </c>
      <c r="V881">
        <v>4105</v>
      </c>
      <c r="W881" t="s">
        <v>36</v>
      </c>
      <c r="X881">
        <v>118.75</v>
      </c>
    </row>
    <row r="882" spans="1:24" x14ac:dyDescent="0.25">
      <c r="A882" s="2">
        <v>100880</v>
      </c>
      <c r="B882" s="1">
        <v>45812</v>
      </c>
      <c r="C882" s="1">
        <v>45813</v>
      </c>
      <c r="D882" s="1">
        <v>45823</v>
      </c>
      <c r="E882" t="s">
        <v>2400</v>
      </c>
      <c r="F882" t="s">
        <v>38</v>
      </c>
      <c r="G882" t="s">
        <v>217</v>
      </c>
      <c r="H882" t="s">
        <v>2401</v>
      </c>
      <c r="I882" t="s">
        <v>79</v>
      </c>
      <c r="J882" t="s">
        <v>80</v>
      </c>
      <c r="K882" t="s">
        <v>2402</v>
      </c>
      <c r="L882" t="s">
        <v>91</v>
      </c>
      <c r="M882" t="s">
        <v>54</v>
      </c>
      <c r="N882" t="s">
        <v>33</v>
      </c>
      <c r="O882" t="s">
        <v>34</v>
      </c>
      <c r="P882" t="s">
        <v>123</v>
      </c>
      <c r="Q882">
        <v>244</v>
      </c>
      <c r="R882">
        <v>124.03</v>
      </c>
      <c r="S882">
        <v>30263.32</v>
      </c>
      <c r="T882">
        <v>16.62</v>
      </c>
      <c r="U882">
        <v>10</v>
      </c>
      <c r="V882">
        <v>1598</v>
      </c>
      <c r="W882" t="s">
        <v>36</v>
      </c>
      <c r="X882">
        <v>8177.89</v>
      </c>
    </row>
    <row r="883" spans="1:24" x14ac:dyDescent="0.25">
      <c r="A883" s="2">
        <v>100881</v>
      </c>
      <c r="B883" s="1">
        <v>45646</v>
      </c>
      <c r="C883" s="1">
        <v>45649</v>
      </c>
      <c r="D883" s="1">
        <v>45657</v>
      </c>
      <c r="E883" t="s">
        <v>2403</v>
      </c>
      <c r="F883" t="s">
        <v>54</v>
      </c>
      <c r="G883" t="s">
        <v>193</v>
      </c>
      <c r="H883" t="s">
        <v>2404</v>
      </c>
      <c r="I883" t="s">
        <v>149</v>
      </c>
      <c r="J883" t="s">
        <v>42</v>
      </c>
      <c r="K883" t="s">
        <v>2405</v>
      </c>
      <c r="L883" t="s">
        <v>187</v>
      </c>
      <c r="M883" t="s">
        <v>54</v>
      </c>
      <c r="N883" t="s">
        <v>45</v>
      </c>
      <c r="O883" t="s">
        <v>46</v>
      </c>
      <c r="P883" t="s">
        <v>123</v>
      </c>
      <c r="Q883">
        <v>103</v>
      </c>
      <c r="R883">
        <v>209.84</v>
      </c>
      <c r="S883">
        <v>21613.52</v>
      </c>
      <c r="T883">
        <v>9.77</v>
      </c>
      <c r="U883">
        <v>8</v>
      </c>
      <c r="V883">
        <v>900</v>
      </c>
      <c r="W883" t="s">
        <v>57</v>
      </c>
      <c r="X883">
        <v>4509.88</v>
      </c>
    </row>
    <row r="884" spans="1:24" x14ac:dyDescent="0.25">
      <c r="A884" s="2">
        <v>100882</v>
      </c>
      <c r="B884" s="1">
        <v>45919</v>
      </c>
      <c r="C884" s="1">
        <v>45919</v>
      </c>
      <c r="D884" s="1">
        <v>45938</v>
      </c>
      <c r="E884" t="s">
        <v>2406</v>
      </c>
      <c r="F884" t="s">
        <v>65</v>
      </c>
      <c r="G884" t="s">
        <v>154</v>
      </c>
      <c r="H884" t="s">
        <v>2407</v>
      </c>
      <c r="I884" t="s">
        <v>89</v>
      </c>
      <c r="J884" t="s">
        <v>62</v>
      </c>
      <c r="K884" t="s">
        <v>1013</v>
      </c>
      <c r="L884" t="s">
        <v>187</v>
      </c>
      <c r="M884" t="s">
        <v>54</v>
      </c>
      <c r="N884" t="s">
        <v>107</v>
      </c>
      <c r="O884" t="s">
        <v>108</v>
      </c>
      <c r="P884" t="s">
        <v>76</v>
      </c>
      <c r="Q884">
        <v>344</v>
      </c>
      <c r="R884">
        <v>25.51</v>
      </c>
      <c r="S884">
        <v>8775.44</v>
      </c>
      <c r="T884">
        <v>14.29</v>
      </c>
      <c r="U884">
        <v>19</v>
      </c>
      <c r="V884">
        <v>2373</v>
      </c>
      <c r="W884" t="s">
        <v>36</v>
      </c>
      <c r="X884">
        <v>547.83000000000004</v>
      </c>
    </row>
    <row r="885" spans="1:24" x14ac:dyDescent="0.25">
      <c r="A885" s="2">
        <v>100883</v>
      </c>
      <c r="B885" s="1">
        <v>45314</v>
      </c>
      <c r="C885" s="1">
        <v>45317</v>
      </c>
      <c r="D885" s="1">
        <v>45340</v>
      </c>
      <c r="E885" t="s">
        <v>2408</v>
      </c>
      <c r="F885" t="s">
        <v>54</v>
      </c>
      <c r="G885" t="s">
        <v>225</v>
      </c>
      <c r="H885" t="s">
        <v>2409</v>
      </c>
      <c r="I885" t="s">
        <v>198</v>
      </c>
      <c r="J885" t="s">
        <v>52</v>
      </c>
      <c r="K885" t="s">
        <v>948</v>
      </c>
      <c r="L885" t="s">
        <v>113</v>
      </c>
      <c r="M885" t="s">
        <v>54</v>
      </c>
      <c r="N885" t="s">
        <v>66</v>
      </c>
      <c r="O885" t="s">
        <v>67</v>
      </c>
      <c r="P885" t="s">
        <v>76</v>
      </c>
      <c r="Q885">
        <v>143</v>
      </c>
      <c r="R885">
        <v>80.42</v>
      </c>
      <c r="S885">
        <v>11500.06</v>
      </c>
      <c r="T885">
        <v>7.87</v>
      </c>
      <c r="U885">
        <v>23</v>
      </c>
      <c r="V885">
        <v>1222</v>
      </c>
      <c r="W885" t="s">
        <v>36</v>
      </c>
      <c r="X885">
        <v>2259.65</v>
      </c>
    </row>
    <row r="886" spans="1:24" x14ac:dyDescent="0.25">
      <c r="A886" s="2">
        <v>100884</v>
      </c>
      <c r="B886" s="1">
        <v>45319</v>
      </c>
      <c r="C886" s="1">
        <v>45322</v>
      </c>
      <c r="D886" s="1">
        <v>45331</v>
      </c>
      <c r="E886" t="s">
        <v>2410</v>
      </c>
      <c r="F886" t="s">
        <v>32</v>
      </c>
      <c r="G886" t="s">
        <v>180</v>
      </c>
      <c r="H886" t="s">
        <v>2411</v>
      </c>
      <c r="I886" t="s">
        <v>177</v>
      </c>
      <c r="J886" t="s">
        <v>29</v>
      </c>
      <c r="K886" t="s">
        <v>562</v>
      </c>
      <c r="L886" t="s">
        <v>187</v>
      </c>
      <c r="M886" t="s">
        <v>25</v>
      </c>
      <c r="N886" t="s">
        <v>203</v>
      </c>
      <c r="O886" t="s">
        <v>204</v>
      </c>
      <c r="P886" t="s">
        <v>123</v>
      </c>
      <c r="Q886">
        <v>289</v>
      </c>
      <c r="R886">
        <v>40.72</v>
      </c>
      <c r="S886">
        <v>11768.08</v>
      </c>
      <c r="T886">
        <v>17.71</v>
      </c>
      <c r="U886">
        <v>9</v>
      </c>
      <c r="V886">
        <v>1459</v>
      </c>
      <c r="W886" t="s">
        <v>36</v>
      </c>
      <c r="X886">
        <v>2863.6</v>
      </c>
    </row>
    <row r="887" spans="1:24" x14ac:dyDescent="0.25">
      <c r="A887" s="2">
        <v>100885</v>
      </c>
      <c r="B887" s="1">
        <v>45719</v>
      </c>
      <c r="C887" s="1">
        <v>45723</v>
      </c>
      <c r="D887" s="1">
        <v>45725</v>
      </c>
      <c r="E887" t="s">
        <v>2412</v>
      </c>
      <c r="F887" t="s">
        <v>38</v>
      </c>
      <c r="G887" t="s">
        <v>217</v>
      </c>
      <c r="H887" t="s">
        <v>2413</v>
      </c>
      <c r="I887" t="s">
        <v>177</v>
      </c>
      <c r="J887" t="s">
        <v>29</v>
      </c>
      <c r="K887" t="s">
        <v>195</v>
      </c>
      <c r="L887" t="s">
        <v>98</v>
      </c>
      <c r="M887" t="s">
        <v>38</v>
      </c>
      <c r="N887" t="s">
        <v>102</v>
      </c>
      <c r="O887" t="s">
        <v>103</v>
      </c>
      <c r="P887" t="s">
        <v>68</v>
      </c>
      <c r="Q887">
        <v>222</v>
      </c>
      <c r="R887">
        <v>31.21</v>
      </c>
      <c r="S887">
        <v>6928.62</v>
      </c>
      <c r="T887">
        <v>31.78</v>
      </c>
      <c r="U887">
        <v>2</v>
      </c>
      <c r="V887">
        <v>2637</v>
      </c>
      <c r="W887" t="s">
        <v>36</v>
      </c>
      <c r="X887">
        <v>1252.93</v>
      </c>
    </row>
    <row r="888" spans="1:24" x14ac:dyDescent="0.25">
      <c r="A888" s="2">
        <v>100886</v>
      </c>
      <c r="B888" s="1">
        <v>45536</v>
      </c>
      <c r="C888" s="1">
        <v>45536</v>
      </c>
      <c r="D888" s="1">
        <v>45552</v>
      </c>
      <c r="E888" t="s">
        <v>2414</v>
      </c>
      <c r="F888" t="s">
        <v>25</v>
      </c>
      <c r="G888" t="s">
        <v>221</v>
      </c>
      <c r="H888" t="s">
        <v>2415</v>
      </c>
      <c r="I888" t="s">
        <v>246</v>
      </c>
      <c r="J888" t="s">
        <v>29</v>
      </c>
      <c r="K888" t="s">
        <v>2416</v>
      </c>
      <c r="L888" t="s">
        <v>118</v>
      </c>
      <c r="M888" t="s">
        <v>65</v>
      </c>
      <c r="N888" t="s">
        <v>151</v>
      </c>
      <c r="O888" t="s">
        <v>152</v>
      </c>
      <c r="P888" t="s">
        <v>76</v>
      </c>
      <c r="Q888">
        <v>87</v>
      </c>
      <c r="R888">
        <v>56.47</v>
      </c>
      <c r="S888">
        <v>4912.8900000000003</v>
      </c>
      <c r="T888">
        <v>9.6</v>
      </c>
      <c r="U888">
        <v>16</v>
      </c>
      <c r="V888">
        <v>1531</v>
      </c>
      <c r="W888" t="s">
        <v>36</v>
      </c>
      <c r="X888">
        <v>888.54</v>
      </c>
    </row>
    <row r="889" spans="1:24" x14ac:dyDescent="0.25">
      <c r="A889" s="2">
        <v>100887</v>
      </c>
      <c r="B889" s="1">
        <v>45754</v>
      </c>
      <c r="C889" s="1">
        <v>45757</v>
      </c>
      <c r="D889" s="1">
        <v>45763</v>
      </c>
      <c r="E889" t="s">
        <v>2417</v>
      </c>
      <c r="F889" t="s">
        <v>54</v>
      </c>
      <c r="G889" t="s">
        <v>165</v>
      </c>
      <c r="H889" t="s">
        <v>2418</v>
      </c>
      <c r="I889" t="s">
        <v>79</v>
      </c>
      <c r="J889" t="s">
        <v>80</v>
      </c>
      <c r="K889" t="s">
        <v>2131</v>
      </c>
      <c r="L889" t="s">
        <v>187</v>
      </c>
      <c r="M889" t="s">
        <v>65</v>
      </c>
      <c r="N889" t="s">
        <v>74</v>
      </c>
      <c r="O889" t="s">
        <v>75</v>
      </c>
      <c r="P889" t="s">
        <v>35</v>
      </c>
      <c r="Q889">
        <v>417</v>
      </c>
      <c r="R889">
        <v>143.41999999999999</v>
      </c>
      <c r="S889">
        <v>59806.14</v>
      </c>
      <c r="T889">
        <v>24.3</v>
      </c>
      <c r="U889">
        <v>6</v>
      </c>
      <c r="V889">
        <v>900</v>
      </c>
      <c r="W889" t="s">
        <v>36</v>
      </c>
      <c r="X889">
        <v>9545.23</v>
      </c>
    </row>
    <row r="890" spans="1:24" x14ac:dyDescent="0.25">
      <c r="A890" s="2">
        <v>100888</v>
      </c>
      <c r="B890" s="1">
        <v>45887</v>
      </c>
      <c r="C890" s="1">
        <v>45892</v>
      </c>
      <c r="D890" s="1">
        <v>45915</v>
      </c>
      <c r="E890" t="s">
        <v>2419</v>
      </c>
      <c r="F890" t="s">
        <v>38</v>
      </c>
      <c r="G890" t="s">
        <v>217</v>
      </c>
      <c r="H890" t="s">
        <v>2420</v>
      </c>
      <c r="I890" t="s">
        <v>85</v>
      </c>
      <c r="J890" t="s">
        <v>52</v>
      </c>
      <c r="K890" t="s">
        <v>1752</v>
      </c>
      <c r="L890" t="s">
        <v>122</v>
      </c>
      <c r="M890" t="s">
        <v>65</v>
      </c>
      <c r="N890" t="s">
        <v>45</v>
      </c>
      <c r="O890" t="s">
        <v>46</v>
      </c>
      <c r="P890" t="s">
        <v>76</v>
      </c>
      <c r="Q890">
        <v>66</v>
      </c>
      <c r="R890">
        <v>65.790000000000006</v>
      </c>
      <c r="S890">
        <v>4342.1400000000003</v>
      </c>
      <c r="T890">
        <v>9.2200000000000006</v>
      </c>
      <c r="U890">
        <v>23</v>
      </c>
      <c r="V890">
        <v>4311</v>
      </c>
      <c r="W890" t="s">
        <v>36</v>
      </c>
      <c r="X890">
        <v>588.82000000000005</v>
      </c>
    </row>
    <row r="891" spans="1:24" x14ac:dyDescent="0.25">
      <c r="A891" s="2">
        <v>100889</v>
      </c>
      <c r="B891" s="1">
        <v>45359</v>
      </c>
      <c r="C891" s="1">
        <v>45359</v>
      </c>
      <c r="D891" s="1">
        <v>45367</v>
      </c>
      <c r="E891" t="s">
        <v>2421</v>
      </c>
      <c r="F891" t="s">
        <v>54</v>
      </c>
      <c r="G891" t="s">
        <v>225</v>
      </c>
      <c r="H891" t="s">
        <v>2422</v>
      </c>
      <c r="I891" t="s">
        <v>191</v>
      </c>
      <c r="J891" t="s">
        <v>62</v>
      </c>
      <c r="K891" t="s">
        <v>2107</v>
      </c>
      <c r="L891" t="s">
        <v>64</v>
      </c>
      <c r="M891" t="s">
        <v>65</v>
      </c>
      <c r="N891" t="s">
        <v>107</v>
      </c>
      <c r="O891" t="s">
        <v>108</v>
      </c>
      <c r="P891" t="s">
        <v>35</v>
      </c>
      <c r="Q891">
        <v>34</v>
      </c>
      <c r="R891">
        <v>8.26</v>
      </c>
      <c r="S891">
        <v>280.83999999999997</v>
      </c>
      <c r="T891">
        <v>13.44</v>
      </c>
      <c r="U891">
        <v>8</v>
      </c>
      <c r="V891">
        <v>1425</v>
      </c>
      <c r="W891" t="s">
        <v>36</v>
      </c>
      <c r="X891">
        <v>6.32</v>
      </c>
    </row>
    <row r="892" spans="1:24" x14ac:dyDescent="0.25">
      <c r="A892" s="2">
        <v>100890</v>
      </c>
      <c r="B892" s="1">
        <v>45411</v>
      </c>
      <c r="C892" s="1">
        <v>45413</v>
      </c>
      <c r="D892" s="1">
        <v>45423</v>
      </c>
      <c r="E892" t="s">
        <v>2423</v>
      </c>
      <c r="F892" t="s">
        <v>65</v>
      </c>
      <c r="G892" t="s">
        <v>70</v>
      </c>
      <c r="H892" t="s">
        <v>2424</v>
      </c>
      <c r="I892" t="s">
        <v>139</v>
      </c>
      <c r="J892" t="s">
        <v>42</v>
      </c>
      <c r="K892" t="s">
        <v>2425</v>
      </c>
      <c r="L892" t="s">
        <v>64</v>
      </c>
      <c r="M892" t="s">
        <v>54</v>
      </c>
      <c r="N892" t="s">
        <v>92</v>
      </c>
      <c r="O892" t="s">
        <v>93</v>
      </c>
      <c r="P892" t="s">
        <v>123</v>
      </c>
      <c r="Q892">
        <v>47</v>
      </c>
      <c r="R892">
        <v>234.75</v>
      </c>
      <c r="S892">
        <v>11033.25</v>
      </c>
      <c r="T892">
        <v>11.83</v>
      </c>
      <c r="U892">
        <v>10</v>
      </c>
      <c r="V892">
        <v>1613</v>
      </c>
      <c r="W892" t="s">
        <v>36</v>
      </c>
      <c r="X892">
        <v>1807.38</v>
      </c>
    </row>
    <row r="893" spans="1:24" x14ac:dyDescent="0.25">
      <c r="A893" s="2">
        <v>100891</v>
      </c>
      <c r="B893" s="1">
        <v>45900</v>
      </c>
      <c r="C893" s="1">
        <v>45905</v>
      </c>
      <c r="D893" s="1">
        <v>45915</v>
      </c>
      <c r="E893" t="s">
        <v>2426</v>
      </c>
      <c r="F893" t="s">
        <v>54</v>
      </c>
      <c r="G893" t="s">
        <v>225</v>
      </c>
      <c r="H893" t="s">
        <v>1958</v>
      </c>
      <c r="I893" t="s">
        <v>134</v>
      </c>
      <c r="J893" t="s">
        <v>52</v>
      </c>
      <c r="K893" t="s">
        <v>2427</v>
      </c>
      <c r="L893" t="s">
        <v>113</v>
      </c>
      <c r="M893" t="s">
        <v>38</v>
      </c>
      <c r="N893" t="s">
        <v>74</v>
      </c>
      <c r="O893" t="s">
        <v>75</v>
      </c>
      <c r="P893" t="s">
        <v>35</v>
      </c>
      <c r="Q893">
        <v>56</v>
      </c>
      <c r="R893">
        <v>59.91</v>
      </c>
      <c r="S893">
        <v>3354.96</v>
      </c>
      <c r="T893">
        <v>14.06</v>
      </c>
      <c r="U893">
        <v>10</v>
      </c>
      <c r="V893">
        <v>1380</v>
      </c>
      <c r="W893" t="s">
        <v>36</v>
      </c>
      <c r="X893">
        <v>242.43</v>
      </c>
    </row>
    <row r="894" spans="1:24" x14ac:dyDescent="0.25">
      <c r="A894" s="2">
        <v>100892</v>
      </c>
      <c r="B894" s="1">
        <v>45813</v>
      </c>
      <c r="C894" s="1">
        <v>45818</v>
      </c>
      <c r="D894" s="1">
        <v>45828</v>
      </c>
      <c r="E894" t="s">
        <v>2428</v>
      </c>
      <c r="F894" t="s">
        <v>32</v>
      </c>
      <c r="G894" t="s">
        <v>137</v>
      </c>
      <c r="H894" t="s">
        <v>2429</v>
      </c>
      <c r="I894" t="s">
        <v>41</v>
      </c>
      <c r="J894" t="s">
        <v>42</v>
      </c>
      <c r="K894" t="s">
        <v>183</v>
      </c>
      <c r="L894" t="s">
        <v>91</v>
      </c>
      <c r="M894" t="s">
        <v>32</v>
      </c>
      <c r="N894" t="s">
        <v>107</v>
      </c>
      <c r="O894" t="s">
        <v>108</v>
      </c>
      <c r="P894" t="s">
        <v>35</v>
      </c>
      <c r="Q894">
        <v>350</v>
      </c>
      <c r="R894">
        <v>440.49</v>
      </c>
      <c r="S894">
        <v>154171.5</v>
      </c>
      <c r="T894">
        <v>16.59</v>
      </c>
      <c r="U894">
        <v>10</v>
      </c>
      <c r="V894">
        <v>749</v>
      </c>
      <c r="W894" t="s">
        <v>36</v>
      </c>
      <c r="X894">
        <v>23047.41</v>
      </c>
    </row>
    <row r="895" spans="1:24" x14ac:dyDescent="0.25">
      <c r="A895" s="2">
        <v>100893</v>
      </c>
      <c r="B895" s="1">
        <v>45440</v>
      </c>
      <c r="C895" s="1">
        <v>45443</v>
      </c>
      <c r="D895" s="1">
        <v>45448</v>
      </c>
      <c r="E895" t="s">
        <v>2430</v>
      </c>
      <c r="F895" t="s">
        <v>25</v>
      </c>
      <c r="G895" t="s">
        <v>244</v>
      </c>
      <c r="H895" t="s">
        <v>2431</v>
      </c>
      <c r="I895" t="s">
        <v>246</v>
      </c>
      <c r="J895" t="s">
        <v>29</v>
      </c>
      <c r="K895" t="s">
        <v>1408</v>
      </c>
      <c r="L895" t="s">
        <v>122</v>
      </c>
      <c r="M895" t="s">
        <v>54</v>
      </c>
      <c r="N895" t="s">
        <v>66</v>
      </c>
      <c r="O895" t="s">
        <v>67</v>
      </c>
      <c r="P895" t="s">
        <v>35</v>
      </c>
      <c r="Q895">
        <v>233</v>
      </c>
      <c r="R895">
        <v>41.55</v>
      </c>
      <c r="S895">
        <v>9681.15</v>
      </c>
      <c r="T895">
        <v>19.079999999999998</v>
      </c>
      <c r="U895">
        <v>5</v>
      </c>
      <c r="V895">
        <v>1723</v>
      </c>
      <c r="W895" t="s">
        <v>36</v>
      </c>
      <c r="X895">
        <v>1327.89</v>
      </c>
    </row>
    <row r="896" spans="1:24" x14ac:dyDescent="0.25">
      <c r="A896" s="2">
        <v>100894</v>
      </c>
      <c r="B896" s="1">
        <v>45642</v>
      </c>
      <c r="C896" s="1">
        <v>45643</v>
      </c>
      <c r="D896" s="1">
        <v>45659</v>
      </c>
      <c r="E896" t="s">
        <v>2432</v>
      </c>
      <c r="F896" t="s">
        <v>38</v>
      </c>
      <c r="G896" t="s">
        <v>217</v>
      </c>
      <c r="H896" t="s">
        <v>2433</v>
      </c>
      <c r="I896" t="s">
        <v>177</v>
      </c>
      <c r="J896" t="s">
        <v>29</v>
      </c>
      <c r="K896" t="s">
        <v>2434</v>
      </c>
      <c r="L896" t="s">
        <v>118</v>
      </c>
      <c r="M896" t="s">
        <v>32</v>
      </c>
      <c r="N896" t="s">
        <v>92</v>
      </c>
      <c r="O896" t="s">
        <v>93</v>
      </c>
      <c r="P896" t="s">
        <v>76</v>
      </c>
      <c r="Q896">
        <v>312</v>
      </c>
      <c r="R896">
        <v>105.15</v>
      </c>
      <c r="S896">
        <v>32806.800000000003</v>
      </c>
      <c r="T896">
        <v>13.71</v>
      </c>
      <c r="U896">
        <v>16</v>
      </c>
      <c r="V896">
        <v>1148</v>
      </c>
      <c r="W896" t="s">
        <v>36</v>
      </c>
      <c r="X896">
        <v>5161.01</v>
      </c>
    </row>
    <row r="897" spans="1:24" x14ac:dyDescent="0.25">
      <c r="A897" s="2">
        <v>100895</v>
      </c>
      <c r="B897" s="1">
        <v>45327</v>
      </c>
      <c r="C897" s="1">
        <v>45331</v>
      </c>
      <c r="D897" s="1">
        <v>45333</v>
      </c>
      <c r="E897" t="s">
        <v>2435</v>
      </c>
      <c r="F897" t="s">
        <v>54</v>
      </c>
      <c r="G897" t="s">
        <v>129</v>
      </c>
      <c r="H897" t="s">
        <v>2436</v>
      </c>
      <c r="I897" t="s">
        <v>139</v>
      </c>
      <c r="J897" t="s">
        <v>42</v>
      </c>
      <c r="K897" t="s">
        <v>2437</v>
      </c>
      <c r="L897" t="s">
        <v>31</v>
      </c>
      <c r="M897" t="s">
        <v>25</v>
      </c>
      <c r="N897" t="s">
        <v>151</v>
      </c>
      <c r="O897" t="s">
        <v>152</v>
      </c>
      <c r="P897" t="s">
        <v>68</v>
      </c>
      <c r="Q897">
        <v>399</v>
      </c>
      <c r="R897">
        <v>133.09</v>
      </c>
      <c r="S897">
        <v>53102.91</v>
      </c>
      <c r="T897">
        <v>54.37</v>
      </c>
      <c r="U897">
        <v>2</v>
      </c>
      <c r="V897">
        <v>599</v>
      </c>
      <c r="W897" t="s">
        <v>36</v>
      </c>
      <c r="X897">
        <v>9737.99</v>
      </c>
    </row>
    <row r="898" spans="1:24" x14ac:dyDescent="0.25">
      <c r="A898" s="2">
        <v>100896</v>
      </c>
      <c r="B898" s="1">
        <v>45329</v>
      </c>
      <c r="C898" s="1">
        <v>45333</v>
      </c>
      <c r="D898" s="1">
        <v>45346</v>
      </c>
      <c r="E898" t="s">
        <v>2438</v>
      </c>
      <c r="F898" t="s">
        <v>38</v>
      </c>
      <c r="G898" t="s">
        <v>83</v>
      </c>
      <c r="H898" t="s">
        <v>2439</v>
      </c>
      <c r="I898" t="s">
        <v>79</v>
      </c>
      <c r="J898" t="s">
        <v>80</v>
      </c>
      <c r="K898" t="s">
        <v>1826</v>
      </c>
      <c r="L898" t="s">
        <v>64</v>
      </c>
      <c r="M898" t="s">
        <v>65</v>
      </c>
      <c r="N898" t="s">
        <v>92</v>
      </c>
      <c r="O898" t="s">
        <v>93</v>
      </c>
      <c r="P898" t="s">
        <v>76</v>
      </c>
      <c r="Q898">
        <v>182</v>
      </c>
      <c r="R898">
        <v>349.8</v>
      </c>
      <c r="S898">
        <v>63663.6</v>
      </c>
      <c r="T898">
        <v>11.34</v>
      </c>
      <c r="U898">
        <v>13</v>
      </c>
      <c r="V898">
        <v>828</v>
      </c>
      <c r="W898" t="s">
        <v>36</v>
      </c>
      <c r="X898">
        <v>15099.45</v>
      </c>
    </row>
    <row r="899" spans="1:24" x14ac:dyDescent="0.25">
      <c r="A899" s="2">
        <v>100897</v>
      </c>
      <c r="B899" s="1">
        <v>45829</v>
      </c>
      <c r="C899" s="1">
        <v>45831</v>
      </c>
      <c r="D899" s="1">
        <v>45838</v>
      </c>
      <c r="E899" t="s">
        <v>2440</v>
      </c>
      <c r="F899" t="s">
        <v>54</v>
      </c>
      <c r="G899" t="s">
        <v>165</v>
      </c>
      <c r="H899" t="s">
        <v>2441</v>
      </c>
      <c r="I899" t="s">
        <v>85</v>
      </c>
      <c r="J899" t="s">
        <v>52</v>
      </c>
      <c r="K899" t="s">
        <v>1474</v>
      </c>
      <c r="L899" t="s">
        <v>98</v>
      </c>
      <c r="M899" t="s">
        <v>32</v>
      </c>
      <c r="N899" t="s">
        <v>107</v>
      </c>
      <c r="O899" t="s">
        <v>108</v>
      </c>
      <c r="P899" t="s">
        <v>123</v>
      </c>
      <c r="Q899">
        <v>105</v>
      </c>
      <c r="R899">
        <v>36.18</v>
      </c>
      <c r="S899">
        <v>3798.9</v>
      </c>
      <c r="T899">
        <v>13.24</v>
      </c>
      <c r="U899">
        <v>7</v>
      </c>
      <c r="V899">
        <v>2085</v>
      </c>
      <c r="W899" t="s">
        <v>36</v>
      </c>
      <c r="X899">
        <v>587.05999999999995</v>
      </c>
    </row>
    <row r="900" spans="1:24" x14ac:dyDescent="0.25">
      <c r="A900" s="2">
        <v>100898</v>
      </c>
      <c r="B900" s="1">
        <v>45828</v>
      </c>
      <c r="C900" s="1">
        <v>45833</v>
      </c>
      <c r="D900" s="1">
        <v>45844</v>
      </c>
      <c r="E900" t="s">
        <v>996</v>
      </c>
      <c r="F900" t="s">
        <v>54</v>
      </c>
      <c r="G900" t="s">
        <v>165</v>
      </c>
      <c r="H900" t="s">
        <v>2442</v>
      </c>
      <c r="I900" t="s">
        <v>246</v>
      </c>
      <c r="J900" t="s">
        <v>29</v>
      </c>
      <c r="K900" t="s">
        <v>1374</v>
      </c>
      <c r="L900" t="s">
        <v>122</v>
      </c>
      <c r="M900" t="s">
        <v>65</v>
      </c>
      <c r="N900" t="s">
        <v>107</v>
      </c>
      <c r="O900" t="s">
        <v>108</v>
      </c>
      <c r="P900" t="s">
        <v>76</v>
      </c>
      <c r="Q900">
        <v>231</v>
      </c>
      <c r="R900">
        <v>41.87</v>
      </c>
      <c r="S900">
        <v>9671.9699999999993</v>
      </c>
      <c r="T900">
        <v>12.23</v>
      </c>
      <c r="U900">
        <v>11</v>
      </c>
      <c r="V900">
        <v>1667</v>
      </c>
      <c r="W900" t="s">
        <v>36</v>
      </c>
      <c r="X900">
        <v>994.11</v>
      </c>
    </row>
    <row r="901" spans="1:24" x14ac:dyDescent="0.25">
      <c r="A901" s="2">
        <v>100899</v>
      </c>
      <c r="B901" s="1">
        <v>45433</v>
      </c>
      <c r="C901" s="1">
        <v>45437</v>
      </c>
      <c r="D901" s="1">
        <v>45456</v>
      </c>
      <c r="E901" t="s">
        <v>2443</v>
      </c>
      <c r="F901" t="s">
        <v>32</v>
      </c>
      <c r="G901" t="s">
        <v>110</v>
      </c>
      <c r="H901" t="s">
        <v>2444</v>
      </c>
      <c r="I901" t="s">
        <v>116</v>
      </c>
      <c r="J901" t="s">
        <v>62</v>
      </c>
      <c r="K901" t="s">
        <v>1121</v>
      </c>
      <c r="L901" t="s">
        <v>98</v>
      </c>
      <c r="M901" t="s">
        <v>32</v>
      </c>
      <c r="N901" t="s">
        <v>66</v>
      </c>
      <c r="O901" t="s">
        <v>67</v>
      </c>
      <c r="P901" t="s">
        <v>123</v>
      </c>
      <c r="Q901">
        <v>241</v>
      </c>
      <c r="R901">
        <v>21.22</v>
      </c>
      <c r="S901">
        <v>5114.0200000000004</v>
      </c>
      <c r="T901">
        <v>12.26</v>
      </c>
      <c r="U901">
        <v>19</v>
      </c>
      <c r="V901">
        <v>830</v>
      </c>
      <c r="W901" t="s">
        <v>188</v>
      </c>
      <c r="X901">
        <v>623.79</v>
      </c>
    </row>
    <row r="902" spans="1:24" x14ac:dyDescent="0.25">
      <c r="A902" s="2">
        <v>100900</v>
      </c>
      <c r="B902" s="1">
        <v>45987</v>
      </c>
      <c r="C902" s="1">
        <v>45987</v>
      </c>
      <c r="D902" s="1">
        <v>45999</v>
      </c>
      <c r="E902" t="s">
        <v>393</v>
      </c>
      <c r="F902" t="s">
        <v>32</v>
      </c>
      <c r="G902" t="s">
        <v>273</v>
      </c>
      <c r="H902" t="s">
        <v>2445</v>
      </c>
      <c r="I902" t="s">
        <v>41</v>
      </c>
      <c r="J902" t="s">
        <v>42</v>
      </c>
      <c r="K902" t="s">
        <v>319</v>
      </c>
      <c r="L902" t="s">
        <v>64</v>
      </c>
      <c r="M902" t="s">
        <v>38</v>
      </c>
      <c r="N902" t="s">
        <v>66</v>
      </c>
      <c r="O902" t="s">
        <v>67</v>
      </c>
      <c r="P902" t="s">
        <v>76</v>
      </c>
      <c r="Q902">
        <v>90</v>
      </c>
      <c r="R902">
        <v>187.43</v>
      </c>
      <c r="S902">
        <v>16868.7</v>
      </c>
      <c r="T902">
        <v>9.66</v>
      </c>
      <c r="U902">
        <v>12</v>
      </c>
      <c r="V902">
        <v>836</v>
      </c>
      <c r="W902" t="s">
        <v>36</v>
      </c>
      <c r="X902">
        <v>1933.81</v>
      </c>
    </row>
    <row r="903" spans="1:24" x14ac:dyDescent="0.25">
      <c r="A903" s="2">
        <v>100901</v>
      </c>
      <c r="B903" s="1">
        <v>45960</v>
      </c>
      <c r="C903" s="1">
        <v>45962</v>
      </c>
      <c r="D903" s="1">
        <v>45974</v>
      </c>
      <c r="E903" t="s">
        <v>614</v>
      </c>
      <c r="F903" t="s">
        <v>65</v>
      </c>
      <c r="G903" t="s">
        <v>154</v>
      </c>
      <c r="H903" t="s">
        <v>2446</v>
      </c>
      <c r="I903" t="s">
        <v>191</v>
      </c>
      <c r="J903" t="s">
        <v>62</v>
      </c>
      <c r="K903" t="s">
        <v>2447</v>
      </c>
      <c r="L903" t="s">
        <v>118</v>
      </c>
      <c r="M903" t="s">
        <v>25</v>
      </c>
      <c r="N903" t="s">
        <v>74</v>
      </c>
      <c r="O903" t="s">
        <v>75</v>
      </c>
      <c r="P903" t="s">
        <v>123</v>
      </c>
      <c r="Q903">
        <v>213</v>
      </c>
      <c r="R903">
        <v>33.24</v>
      </c>
      <c r="S903">
        <v>7080.12</v>
      </c>
      <c r="T903">
        <v>15.87</v>
      </c>
      <c r="U903">
        <v>12</v>
      </c>
      <c r="V903">
        <v>3013</v>
      </c>
      <c r="W903" t="s">
        <v>188</v>
      </c>
      <c r="X903">
        <v>361.68</v>
      </c>
    </row>
    <row r="904" spans="1:24" x14ac:dyDescent="0.25">
      <c r="A904" s="2">
        <v>100902</v>
      </c>
      <c r="B904" s="1">
        <v>45947</v>
      </c>
      <c r="C904" s="1">
        <v>45951</v>
      </c>
      <c r="D904" s="1">
        <v>45954</v>
      </c>
      <c r="E904" t="s">
        <v>2448</v>
      </c>
      <c r="F904" t="s">
        <v>32</v>
      </c>
      <c r="G904" t="s">
        <v>95</v>
      </c>
      <c r="H904" t="s">
        <v>2449</v>
      </c>
      <c r="I904" t="s">
        <v>79</v>
      </c>
      <c r="J904" t="s">
        <v>80</v>
      </c>
      <c r="K904" t="s">
        <v>501</v>
      </c>
      <c r="L904" t="s">
        <v>122</v>
      </c>
      <c r="M904" t="s">
        <v>38</v>
      </c>
      <c r="N904" t="s">
        <v>107</v>
      </c>
      <c r="O904" t="s">
        <v>108</v>
      </c>
      <c r="P904" t="s">
        <v>68</v>
      </c>
      <c r="Q904">
        <v>159</v>
      </c>
      <c r="R904">
        <v>132.38999999999999</v>
      </c>
      <c r="S904">
        <v>21050.01</v>
      </c>
      <c r="T904">
        <v>38.82</v>
      </c>
      <c r="U904">
        <v>3</v>
      </c>
      <c r="V904">
        <v>1132</v>
      </c>
      <c r="W904" t="s">
        <v>36</v>
      </c>
      <c r="X904">
        <v>2709.23</v>
      </c>
    </row>
    <row r="905" spans="1:24" x14ac:dyDescent="0.25">
      <c r="A905" s="2">
        <v>100903</v>
      </c>
      <c r="B905" s="1">
        <v>45658</v>
      </c>
      <c r="C905" s="1">
        <v>45661</v>
      </c>
      <c r="D905" s="1">
        <v>45671</v>
      </c>
      <c r="E905" t="s">
        <v>2450</v>
      </c>
      <c r="F905" t="s">
        <v>25</v>
      </c>
      <c r="G905" t="s">
        <v>233</v>
      </c>
      <c r="H905" t="s">
        <v>2451</v>
      </c>
      <c r="I905" t="s">
        <v>230</v>
      </c>
      <c r="J905" t="s">
        <v>80</v>
      </c>
      <c r="K905" t="s">
        <v>2452</v>
      </c>
      <c r="L905" t="s">
        <v>113</v>
      </c>
      <c r="M905" t="s">
        <v>65</v>
      </c>
      <c r="N905" t="s">
        <v>66</v>
      </c>
      <c r="O905" t="s">
        <v>67</v>
      </c>
      <c r="P905" t="s">
        <v>35</v>
      </c>
      <c r="Q905">
        <v>72</v>
      </c>
      <c r="R905">
        <v>124.79</v>
      </c>
      <c r="S905">
        <v>8984.8799999999992</v>
      </c>
      <c r="T905">
        <v>14.52</v>
      </c>
      <c r="U905">
        <v>10</v>
      </c>
      <c r="V905">
        <v>1611</v>
      </c>
      <c r="W905" t="s">
        <v>36</v>
      </c>
      <c r="X905">
        <v>2185.35</v>
      </c>
    </row>
    <row r="906" spans="1:24" x14ac:dyDescent="0.25">
      <c r="A906" s="2">
        <v>100904</v>
      </c>
      <c r="B906" s="1">
        <v>45872</v>
      </c>
      <c r="C906" s="1">
        <v>45872</v>
      </c>
      <c r="D906" s="1">
        <v>45879</v>
      </c>
      <c r="E906" t="s">
        <v>2453</v>
      </c>
      <c r="F906" t="s">
        <v>38</v>
      </c>
      <c r="G906" t="s">
        <v>147</v>
      </c>
      <c r="H906" t="s">
        <v>2454</v>
      </c>
      <c r="I906" t="s">
        <v>278</v>
      </c>
      <c r="J906" t="s">
        <v>29</v>
      </c>
      <c r="K906" t="s">
        <v>2455</v>
      </c>
      <c r="L906" t="s">
        <v>113</v>
      </c>
      <c r="M906" t="s">
        <v>65</v>
      </c>
      <c r="N906" t="s">
        <v>55</v>
      </c>
      <c r="O906" t="s">
        <v>56</v>
      </c>
      <c r="P906" t="s">
        <v>35</v>
      </c>
      <c r="Q906">
        <v>408</v>
      </c>
      <c r="R906">
        <v>84.68</v>
      </c>
      <c r="S906">
        <v>34549.440000000002</v>
      </c>
      <c r="T906">
        <v>24.04</v>
      </c>
      <c r="U906">
        <v>7</v>
      </c>
      <c r="V906">
        <v>2747</v>
      </c>
      <c r="W906" t="s">
        <v>36</v>
      </c>
      <c r="X906">
        <v>9142.91</v>
      </c>
    </row>
    <row r="907" spans="1:24" x14ac:dyDescent="0.25">
      <c r="A907" s="2">
        <v>100905</v>
      </c>
      <c r="B907" s="1">
        <v>45481</v>
      </c>
      <c r="C907" s="1">
        <v>45484</v>
      </c>
      <c r="D907" s="1">
        <v>45504</v>
      </c>
      <c r="E907" t="s">
        <v>2456</v>
      </c>
      <c r="F907" t="s">
        <v>38</v>
      </c>
      <c r="G907" t="s">
        <v>39</v>
      </c>
      <c r="H907" t="s">
        <v>2457</v>
      </c>
      <c r="I907" t="s">
        <v>246</v>
      </c>
      <c r="J907" t="s">
        <v>29</v>
      </c>
      <c r="K907" t="s">
        <v>1076</v>
      </c>
      <c r="L907" t="s">
        <v>113</v>
      </c>
      <c r="M907" t="s">
        <v>25</v>
      </c>
      <c r="N907" t="s">
        <v>66</v>
      </c>
      <c r="O907" t="s">
        <v>67</v>
      </c>
      <c r="P907" t="s">
        <v>76</v>
      </c>
      <c r="Q907">
        <v>294</v>
      </c>
      <c r="R907">
        <v>75.650000000000006</v>
      </c>
      <c r="S907">
        <v>22241.1</v>
      </c>
      <c r="T907">
        <v>13.38</v>
      </c>
      <c r="U907">
        <v>20</v>
      </c>
      <c r="V907">
        <v>1617</v>
      </c>
      <c r="W907" t="s">
        <v>57</v>
      </c>
      <c r="X907">
        <v>6479.12</v>
      </c>
    </row>
    <row r="908" spans="1:24" x14ac:dyDescent="0.25">
      <c r="A908" s="2">
        <v>100906</v>
      </c>
      <c r="B908" s="1">
        <v>45607</v>
      </c>
      <c r="C908" s="1">
        <v>45612</v>
      </c>
      <c r="D908" s="1">
        <v>45617</v>
      </c>
      <c r="E908" t="s">
        <v>1393</v>
      </c>
      <c r="F908" t="s">
        <v>65</v>
      </c>
      <c r="G908" t="s">
        <v>70</v>
      </c>
      <c r="H908" t="s">
        <v>2458</v>
      </c>
      <c r="I908" t="s">
        <v>79</v>
      </c>
      <c r="J908" t="s">
        <v>80</v>
      </c>
      <c r="K908" t="s">
        <v>2459</v>
      </c>
      <c r="L908" t="s">
        <v>31</v>
      </c>
      <c r="M908" t="s">
        <v>54</v>
      </c>
      <c r="N908" t="s">
        <v>74</v>
      </c>
      <c r="O908" t="s">
        <v>75</v>
      </c>
      <c r="P908" t="s">
        <v>35</v>
      </c>
      <c r="Q908">
        <v>268</v>
      </c>
      <c r="R908">
        <v>244.22</v>
      </c>
      <c r="S908">
        <v>65450.96</v>
      </c>
      <c r="T908">
        <v>20.07</v>
      </c>
      <c r="U908">
        <v>5</v>
      </c>
      <c r="V908">
        <v>966</v>
      </c>
      <c r="W908" t="s">
        <v>36</v>
      </c>
      <c r="X908">
        <v>9502.08</v>
      </c>
    </row>
    <row r="909" spans="1:24" x14ac:dyDescent="0.25">
      <c r="A909" s="2">
        <v>100907</v>
      </c>
      <c r="B909" s="1">
        <v>45663</v>
      </c>
      <c r="C909" s="1">
        <v>45665</v>
      </c>
      <c r="D909" s="1">
        <v>45673</v>
      </c>
      <c r="E909" t="s">
        <v>2460</v>
      </c>
      <c r="F909" t="s">
        <v>65</v>
      </c>
      <c r="G909" t="s">
        <v>70</v>
      </c>
      <c r="H909" t="s">
        <v>2461</v>
      </c>
      <c r="I909" t="s">
        <v>85</v>
      </c>
      <c r="J909" t="s">
        <v>52</v>
      </c>
      <c r="K909" t="s">
        <v>1938</v>
      </c>
      <c r="L909" t="s">
        <v>212</v>
      </c>
      <c r="M909" t="s">
        <v>38</v>
      </c>
      <c r="N909" t="s">
        <v>45</v>
      </c>
      <c r="O909" t="s">
        <v>46</v>
      </c>
      <c r="P909" t="s">
        <v>35</v>
      </c>
      <c r="Q909">
        <v>36</v>
      </c>
      <c r="R909">
        <v>66.22</v>
      </c>
      <c r="S909">
        <v>2383.92</v>
      </c>
      <c r="T909">
        <v>13.49</v>
      </c>
      <c r="U909">
        <v>8</v>
      </c>
      <c r="V909">
        <v>1000</v>
      </c>
      <c r="W909" t="s">
        <v>36</v>
      </c>
      <c r="X909">
        <v>189.91</v>
      </c>
    </row>
    <row r="910" spans="1:24" x14ac:dyDescent="0.25">
      <c r="A910" s="2">
        <v>100908</v>
      </c>
      <c r="B910" s="1">
        <v>45477</v>
      </c>
      <c r="C910" s="1">
        <v>45482</v>
      </c>
      <c r="D910" s="1">
        <v>45487</v>
      </c>
      <c r="E910" t="s">
        <v>2462</v>
      </c>
      <c r="F910" t="s">
        <v>32</v>
      </c>
      <c r="G910" t="s">
        <v>364</v>
      </c>
      <c r="H910" t="s">
        <v>2463</v>
      </c>
      <c r="I910" t="s">
        <v>149</v>
      </c>
      <c r="J910" t="s">
        <v>42</v>
      </c>
      <c r="K910" t="s">
        <v>1880</v>
      </c>
      <c r="L910" t="s">
        <v>113</v>
      </c>
      <c r="M910" t="s">
        <v>25</v>
      </c>
      <c r="N910" t="s">
        <v>102</v>
      </c>
      <c r="O910" t="s">
        <v>103</v>
      </c>
      <c r="P910" t="s">
        <v>68</v>
      </c>
      <c r="Q910">
        <v>41</v>
      </c>
      <c r="R910">
        <v>305.7</v>
      </c>
      <c r="S910">
        <v>12533.7</v>
      </c>
      <c r="T910">
        <v>31.17</v>
      </c>
      <c r="U910">
        <v>5</v>
      </c>
      <c r="V910">
        <v>1215</v>
      </c>
      <c r="W910" t="s">
        <v>36</v>
      </c>
      <c r="X910">
        <v>1366.12</v>
      </c>
    </row>
    <row r="911" spans="1:24" x14ac:dyDescent="0.25">
      <c r="A911" s="2">
        <v>100909</v>
      </c>
      <c r="B911" s="1">
        <v>45846</v>
      </c>
      <c r="C911" s="1">
        <v>45849</v>
      </c>
      <c r="D911" s="1">
        <v>45858</v>
      </c>
      <c r="E911" t="s">
        <v>2464</v>
      </c>
      <c r="F911" t="s">
        <v>32</v>
      </c>
      <c r="G911" t="s">
        <v>137</v>
      </c>
      <c r="H911" t="s">
        <v>2465</v>
      </c>
      <c r="I911" t="s">
        <v>368</v>
      </c>
      <c r="J911" t="s">
        <v>29</v>
      </c>
      <c r="K911" t="s">
        <v>893</v>
      </c>
      <c r="L911" t="s">
        <v>212</v>
      </c>
      <c r="M911" t="s">
        <v>38</v>
      </c>
      <c r="N911" t="s">
        <v>151</v>
      </c>
      <c r="O911" t="s">
        <v>152</v>
      </c>
      <c r="P911" t="s">
        <v>123</v>
      </c>
      <c r="Q911">
        <v>54</v>
      </c>
      <c r="R911">
        <v>62.49</v>
      </c>
      <c r="S911">
        <v>3374.46</v>
      </c>
      <c r="T911">
        <v>12</v>
      </c>
      <c r="U911">
        <v>9</v>
      </c>
      <c r="V911">
        <v>961</v>
      </c>
      <c r="W911" t="s">
        <v>36</v>
      </c>
      <c r="X911">
        <v>867.17</v>
      </c>
    </row>
    <row r="912" spans="1:24" x14ac:dyDescent="0.25">
      <c r="A912" s="2">
        <v>100910</v>
      </c>
      <c r="B912" s="1">
        <v>45553</v>
      </c>
      <c r="C912" s="1">
        <v>45556</v>
      </c>
      <c r="D912" s="1">
        <v>45559</v>
      </c>
      <c r="E912" t="s">
        <v>2466</v>
      </c>
      <c r="F912" t="s">
        <v>54</v>
      </c>
      <c r="G912" t="s">
        <v>193</v>
      </c>
      <c r="H912" t="s">
        <v>2467</v>
      </c>
      <c r="I912" t="s">
        <v>207</v>
      </c>
      <c r="J912" t="s">
        <v>80</v>
      </c>
      <c r="K912" t="s">
        <v>977</v>
      </c>
      <c r="L912" t="s">
        <v>91</v>
      </c>
      <c r="M912" t="s">
        <v>65</v>
      </c>
      <c r="N912" t="s">
        <v>151</v>
      </c>
      <c r="O912" t="s">
        <v>152</v>
      </c>
      <c r="P912" t="s">
        <v>68</v>
      </c>
      <c r="Q912">
        <v>452</v>
      </c>
      <c r="R912">
        <v>143.76</v>
      </c>
      <c r="S912">
        <v>64979.519999999997</v>
      </c>
      <c r="T912">
        <v>57.8</v>
      </c>
      <c r="U912">
        <v>3</v>
      </c>
      <c r="V912">
        <v>335</v>
      </c>
      <c r="W912" t="s">
        <v>57</v>
      </c>
      <c r="X912">
        <v>12666.95</v>
      </c>
    </row>
    <row r="913" spans="1:24" x14ac:dyDescent="0.25">
      <c r="A913" s="2">
        <v>100911</v>
      </c>
      <c r="B913" s="1">
        <v>45789</v>
      </c>
      <c r="C913" s="1">
        <v>45789</v>
      </c>
      <c r="D913" s="1">
        <v>45790</v>
      </c>
      <c r="E913" t="s">
        <v>2468</v>
      </c>
      <c r="F913" t="s">
        <v>65</v>
      </c>
      <c r="G913" t="s">
        <v>154</v>
      </c>
      <c r="H913" t="s">
        <v>2469</v>
      </c>
      <c r="I913" t="s">
        <v>177</v>
      </c>
      <c r="J913" t="s">
        <v>29</v>
      </c>
      <c r="K913" t="s">
        <v>401</v>
      </c>
      <c r="L913" t="s">
        <v>118</v>
      </c>
      <c r="M913" t="s">
        <v>25</v>
      </c>
      <c r="N913" t="s">
        <v>45</v>
      </c>
      <c r="O913" t="s">
        <v>46</v>
      </c>
      <c r="P913" t="s">
        <v>68</v>
      </c>
      <c r="Q913">
        <v>52</v>
      </c>
      <c r="R913">
        <v>81.36</v>
      </c>
      <c r="S913">
        <v>4230.72</v>
      </c>
      <c r="T913">
        <v>31.88</v>
      </c>
      <c r="U913">
        <v>1</v>
      </c>
      <c r="V913">
        <v>1995</v>
      </c>
      <c r="W913" t="s">
        <v>36</v>
      </c>
      <c r="X913">
        <v>1126.29</v>
      </c>
    </row>
    <row r="914" spans="1:24" x14ac:dyDescent="0.25">
      <c r="A914" s="2">
        <v>100912</v>
      </c>
      <c r="B914" s="1">
        <v>45866</v>
      </c>
      <c r="C914" s="1">
        <v>45868</v>
      </c>
      <c r="D914" s="1">
        <v>45882</v>
      </c>
      <c r="E914" t="s">
        <v>2470</v>
      </c>
      <c r="F914" t="s">
        <v>54</v>
      </c>
      <c r="G914" t="s">
        <v>129</v>
      </c>
      <c r="H914" t="s">
        <v>2471</v>
      </c>
      <c r="I914" t="s">
        <v>28</v>
      </c>
      <c r="J914" t="s">
        <v>29</v>
      </c>
      <c r="K914" t="s">
        <v>1365</v>
      </c>
      <c r="L914" t="s">
        <v>91</v>
      </c>
      <c r="M914" t="s">
        <v>54</v>
      </c>
      <c r="N914" t="s">
        <v>66</v>
      </c>
      <c r="O914" t="s">
        <v>67</v>
      </c>
      <c r="P914" t="s">
        <v>123</v>
      </c>
      <c r="Q914">
        <v>194</v>
      </c>
      <c r="R914">
        <v>112.2</v>
      </c>
      <c r="S914">
        <v>21766.799999999999</v>
      </c>
      <c r="T914">
        <v>11.41</v>
      </c>
      <c r="U914">
        <v>14</v>
      </c>
      <c r="V914">
        <v>1721</v>
      </c>
      <c r="W914" t="s">
        <v>36</v>
      </c>
      <c r="X914">
        <v>1978.41</v>
      </c>
    </row>
    <row r="915" spans="1:24" x14ac:dyDescent="0.25">
      <c r="A915" s="2">
        <v>100913</v>
      </c>
      <c r="B915" s="1">
        <v>45763</v>
      </c>
      <c r="C915" s="1">
        <v>45766</v>
      </c>
      <c r="D915" s="1">
        <v>45774</v>
      </c>
      <c r="E915" t="s">
        <v>1849</v>
      </c>
      <c r="F915" t="s">
        <v>32</v>
      </c>
      <c r="G915" t="s">
        <v>273</v>
      </c>
      <c r="H915" t="s">
        <v>2472</v>
      </c>
      <c r="I915" t="s">
        <v>177</v>
      </c>
      <c r="J915" t="s">
        <v>29</v>
      </c>
      <c r="K915" t="s">
        <v>1138</v>
      </c>
      <c r="L915" t="s">
        <v>118</v>
      </c>
      <c r="M915" t="s">
        <v>65</v>
      </c>
      <c r="N915" t="s">
        <v>33</v>
      </c>
      <c r="O915" t="s">
        <v>34</v>
      </c>
      <c r="P915" t="s">
        <v>35</v>
      </c>
      <c r="Q915">
        <v>21</v>
      </c>
      <c r="R915">
        <v>67.72</v>
      </c>
      <c r="S915">
        <v>1422.12</v>
      </c>
      <c r="T915">
        <v>13.07</v>
      </c>
      <c r="U915">
        <v>8</v>
      </c>
      <c r="V915">
        <v>1347</v>
      </c>
      <c r="W915" t="s">
        <v>36</v>
      </c>
      <c r="X915">
        <v>215.71</v>
      </c>
    </row>
    <row r="916" spans="1:24" x14ac:dyDescent="0.25">
      <c r="A916" s="2">
        <v>100914</v>
      </c>
      <c r="B916" s="1">
        <v>45535</v>
      </c>
      <c r="C916" s="1">
        <v>45538</v>
      </c>
      <c r="D916" s="1">
        <v>45550</v>
      </c>
      <c r="E916" t="s">
        <v>2473</v>
      </c>
      <c r="F916" t="s">
        <v>25</v>
      </c>
      <c r="G916" t="s">
        <v>172</v>
      </c>
      <c r="H916" t="s">
        <v>2474</v>
      </c>
      <c r="I916" t="s">
        <v>207</v>
      </c>
      <c r="J916" t="s">
        <v>80</v>
      </c>
      <c r="K916" t="s">
        <v>2475</v>
      </c>
      <c r="L916" t="s">
        <v>91</v>
      </c>
      <c r="M916" t="s">
        <v>32</v>
      </c>
      <c r="N916" t="s">
        <v>102</v>
      </c>
      <c r="O916" t="s">
        <v>103</v>
      </c>
      <c r="P916" t="s">
        <v>123</v>
      </c>
      <c r="Q916">
        <v>429</v>
      </c>
      <c r="R916">
        <v>122.32</v>
      </c>
      <c r="S916">
        <v>52475.28</v>
      </c>
      <c r="T916">
        <v>21.12</v>
      </c>
      <c r="U916">
        <v>12</v>
      </c>
      <c r="V916">
        <v>867</v>
      </c>
      <c r="W916" t="s">
        <v>36</v>
      </c>
      <c r="X916">
        <v>14211.16</v>
      </c>
    </row>
    <row r="917" spans="1:24" x14ac:dyDescent="0.25">
      <c r="A917" s="2">
        <v>100915</v>
      </c>
      <c r="B917" s="1">
        <v>45844</v>
      </c>
      <c r="C917" s="1">
        <v>45847</v>
      </c>
      <c r="D917" s="1">
        <v>45853</v>
      </c>
      <c r="E917" t="s">
        <v>2476</v>
      </c>
      <c r="F917" t="s">
        <v>38</v>
      </c>
      <c r="G917" t="s">
        <v>49</v>
      </c>
      <c r="H917" t="s">
        <v>2477</v>
      </c>
      <c r="I917" t="s">
        <v>191</v>
      </c>
      <c r="J917" t="s">
        <v>62</v>
      </c>
      <c r="K917" t="s">
        <v>1747</v>
      </c>
      <c r="L917" t="s">
        <v>91</v>
      </c>
      <c r="M917" t="s">
        <v>65</v>
      </c>
      <c r="N917" t="s">
        <v>102</v>
      </c>
      <c r="O917" t="s">
        <v>103</v>
      </c>
      <c r="P917" t="s">
        <v>123</v>
      </c>
      <c r="Q917">
        <v>132</v>
      </c>
      <c r="R917">
        <v>19.34</v>
      </c>
      <c r="S917">
        <v>2552.88</v>
      </c>
      <c r="T917">
        <v>13.9</v>
      </c>
      <c r="U917">
        <v>6</v>
      </c>
      <c r="V917">
        <v>2596</v>
      </c>
      <c r="W917" t="s">
        <v>36</v>
      </c>
      <c r="X917">
        <v>423.9</v>
      </c>
    </row>
    <row r="918" spans="1:24" x14ac:dyDescent="0.25">
      <c r="A918" s="2">
        <v>100916</v>
      </c>
      <c r="B918" s="1">
        <v>45525</v>
      </c>
      <c r="C918" s="1">
        <v>45526</v>
      </c>
      <c r="D918" s="1">
        <v>45539</v>
      </c>
      <c r="E918" t="s">
        <v>2478</v>
      </c>
      <c r="F918" t="s">
        <v>25</v>
      </c>
      <c r="G918" t="s">
        <v>59</v>
      </c>
      <c r="H918" t="s">
        <v>2479</v>
      </c>
      <c r="I918" t="s">
        <v>368</v>
      </c>
      <c r="J918" t="s">
        <v>29</v>
      </c>
      <c r="K918" t="s">
        <v>2480</v>
      </c>
      <c r="L918" t="s">
        <v>98</v>
      </c>
      <c r="M918" t="s">
        <v>54</v>
      </c>
      <c r="N918" t="s">
        <v>102</v>
      </c>
      <c r="O918" t="s">
        <v>103</v>
      </c>
      <c r="P918" t="s">
        <v>123</v>
      </c>
      <c r="Q918">
        <v>215</v>
      </c>
      <c r="R918">
        <v>58.88</v>
      </c>
      <c r="S918">
        <v>12659.2</v>
      </c>
      <c r="T918">
        <v>15.92</v>
      </c>
      <c r="U918">
        <v>13</v>
      </c>
      <c r="V918">
        <v>866</v>
      </c>
      <c r="W918" t="s">
        <v>36</v>
      </c>
      <c r="X918">
        <v>990.34</v>
      </c>
    </row>
    <row r="919" spans="1:24" x14ac:dyDescent="0.25">
      <c r="A919" s="2">
        <v>100917</v>
      </c>
      <c r="B919" s="1">
        <v>45531</v>
      </c>
      <c r="C919" s="1">
        <v>45531</v>
      </c>
      <c r="D919" s="1">
        <v>45545</v>
      </c>
      <c r="E919" t="s">
        <v>2481</v>
      </c>
      <c r="F919" t="s">
        <v>32</v>
      </c>
      <c r="G919" t="s">
        <v>364</v>
      </c>
      <c r="H919" t="s">
        <v>2482</v>
      </c>
      <c r="I919" t="s">
        <v>126</v>
      </c>
      <c r="J919" t="s">
        <v>42</v>
      </c>
      <c r="K919" t="s">
        <v>847</v>
      </c>
      <c r="L919" t="s">
        <v>98</v>
      </c>
      <c r="M919" t="s">
        <v>65</v>
      </c>
      <c r="N919" t="s">
        <v>92</v>
      </c>
      <c r="O919" t="s">
        <v>93</v>
      </c>
      <c r="P919" t="s">
        <v>123</v>
      </c>
      <c r="Q919">
        <v>497</v>
      </c>
      <c r="R919">
        <v>361</v>
      </c>
      <c r="S919">
        <v>179417</v>
      </c>
      <c r="T919">
        <v>22.77</v>
      </c>
      <c r="U919">
        <v>14</v>
      </c>
      <c r="V919">
        <v>900</v>
      </c>
      <c r="W919" t="s">
        <v>36</v>
      </c>
      <c r="X919">
        <v>38210.949999999997</v>
      </c>
    </row>
    <row r="920" spans="1:24" x14ac:dyDescent="0.25">
      <c r="A920" s="2">
        <v>100918</v>
      </c>
      <c r="B920" s="1">
        <v>45350</v>
      </c>
      <c r="C920" s="1">
        <v>45354</v>
      </c>
      <c r="D920" s="1">
        <v>45362</v>
      </c>
      <c r="E920" t="s">
        <v>1997</v>
      </c>
      <c r="F920" t="s">
        <v>65</v>
      </c>
      <c r="G920" t="s">
        <v>154</v>
      </c>
      <c r="H920" t="s">
        <v>2483</v>
      </c>
      <c r="I920" t="s">
        <v>61</v>
      </c>
      <c r="J920" t="s">
        <v>62</v>
      </c>
      <c r="K920" t="s">
        <v>2484</v>
      </c>
      <c r="L920" t="s">
        <v>31</v>
      </c>
      <c r="M920" t="s">
        <v>25</v>
      </c>
      <c r="N920" t="s">
        <v>33</v>
      </c>
      <c r="O920" t="s">
        <v>34</v>
      </c>
      <c r="P920" t="s">
        <v>35</v>
      </c>
      <c r="Q920">
        <v>107</v>
      </c>
      <c r="R920">
        <v>25.52</v>
      </c>
      <c r="S920">
        <v>2730.64</v>
      </c>
      <c r="T920">
        <v>15.51</v>
      </c>
      <c r="U920">
        <v>8</v>
      </c>
      <c r="V920">
        <v>1752</v>
      </c>
      <c r="W920" t="s">
        <v>36</v>
      </c>
      <c r="X920">
        <v>334.66</v>
      </c>
    </row>
    <row r="921" spans="1:24" x14ac:dyDescent="0.25">
      <c r="A921" s="2">
        <v>100919</v>
      </c>
      <c r="B921" s="1">
        <v>45817</v>
      </c>
      <c r="C921" s="1">
        <v>45821</v>
      </c>
      <c r="D921" s="1">
        <v>45831</v>
      </c>
      <c r="E921" t="s">
        <v>674</v>
      </c>
      <c r="F921" t="s">
        <v>54</v>
      </c>
      <c r="G921" t="s">
        <v>158</v>
      </c>
      <c r="H921" t="s">
        <v>2485</v>
      </c>
      <c r="I921" t="s">
        <v>134</v>
      </c>
      <c r="J921" t="s">
        <v>52</v>
      </c>
      <c r="K921" t="s">
        <v>2486</v>
      </c>
      <c r="L921" t="s">
        <v>212</v>
      </c>
      <c r="M921" t="s">
        <v>54</v>
      </c>
      <c r="N921" t="s">
        <v>55</v>
      </c>
      <c r="O921" t="s">
        <v>56</v>
      </c>
      <c r="P921" t="s">
        <v>68</v>
      </c>
      <c r="Q921">
        <v>226</v>
      </c>
      <c r="R921">
        <v>18.91</v>
      </c>
      <c r="S921">
        <v>4273.66</v>
      </c>
      <c r="T921">
        <v>31.97</v>
      </c>
      <c r="U921">
        <v>10</v>
      </c>
      <c r="V921">
        <v>4331</v>
      </c>
      <c r="W921" t="s">
        <v>36</v>
      </c>
      <c r="X921">
        <v>812.79</v>
      </c>
    </row>
    <row r="922" spans="1:24" x14ac:dyDescent="0.25">
      <c r="A922" s="2">
        <v>100920</v>
      </c>
      <c r="B922" s="1">
        <v>45360</v>
      </c>
      <c r="C922" s="1">
        <v>45362</v>
      </c>
      <c r="D922" s="1">
        <v>45372</v>
      </c>
      <c r="E922" t="s">
        <v>2487</v>
      </c>
      <c r="F922" t="s">
        <v>65</v>
      </c>
      <c r="G922" t="s">
        <v>142</v>
      </c>
      <c r="H922" t="s">
        <v>2488</v>
      </c>
      <c r="I922" t="s">
        <v>416</v>
      </c>
      <c r="J922" t="s">
        <v>80</v>
      </c>
      <c r="K922" t="s">
        <v>1501</v>
      </c>
      <c r="L922" t="s">
        <v>64</v>
      </c>
      <c r="M922" t="s">
        <v>38</v>
      </c>
      <c r="N922" t="s">
        <v>55</v>
      </c>
      <c r="O922" t="s">
        <v>56</v>
      </c>
      <c r="P922" t="s">
        <v>123</v>
      </c>
      <c r="Q922">
        <v>440</v>
      </c>
      <c r="R922">
        <v>138.19</v>
      </c>
      <c r="S922">
        <v>60803.6</v>
      </c>
      <c r="T922">
        <v>21.38</v>
      </c>
      <c r="U922">
        <v>10</v>
      </c>
      <c r="V922">
        <v>279</v>
      </c>
      <c r="W922" t="s">
        <v>36</v>
      </c>
      <c r="X922">
        <v>9634.98</v>
      </c>
    </row>
    <row r="923" spans="1:24" x14ac:dyDescent="0.25">
      <c r="A923" s="2">
        <v>100921</v>
      </c>
      <c r="B923" s="1">
        <v>45373</v>
      </c>
      <c r="C923" s="1">
        <v>45378</v>
      </c>
      <c r="D923" s="1">
        <v>45385</v>
      </c>
      <c r="E923" t="s">
        <v>2489</v>
      </c>
      <c r="F923" t="s">
        <v>65</v>
      </c>
      <c r="G923" t="s">
        <v>70</v>
      </c>
      <c r="H923" t="s">
        <v>2490</v>
      </c>
      <c r="I923" t="s">
        <v>198</v>
      </c>
      <c r="J923" t="s">
        <v>52</v>
      </c>
      <c r="K923" t="s">
        <v>1509</v>
      </c>
      <c r="L923" t="s">
        <v>122</v>
      </c>
      <c r="M923" t="s">
        <v>65</v>
      </c>
      <c r="N923" t="s">
        <v>92</v>
      </c>
      <c r="O923" t="s">
        <v>93</v>
      </c>
      <c r="P923" t="s">
        <v>35</v>
      </c>
      <c r="Q923">
        <v>299</v>
      </c>
      <c r="R923">
        <v>21.57</v>
      </c>
      <c r="S923">
        <v>6449.43</v>
      </c>
      <c r="T923">
        <v>15.52</v>
      </c>
      <c r="U923">
        <v>7</v>
      </c>
      <c r="V923">
        <v>1122</v>
      </c>
      <c r="W923" t="s">
        <v>36</v>
      </c>
      <c r="X923">
        <v>967.5</v>
      </c>
    </row>
    <row r="924" spans="1:24" x14ac:dyDescent="0.25">
      <c r="A924" s="2">
        <v>100922</v>
      </c>
      <c r="B924" s="1">
        <v>45680</v>
      </c>
      <c r="C924" s="1">
        <v>45681</v>
      </c>
      <c r="D924" s="1">
        <v>45702</v>
      </c>
      <c r="E924" t="s">
        <v>2491</v>
      </c>
      <c r="F924" t="s">
        <v>65</v>
      </c>
      <c r="G924" t="s">
        <v>70</v>
      </c>
      <c r="H924" t="s">
        <v>2492</v>
      </c>
      <c r="I924" t="s">
        <v>139</v>
      </c>
      <c r="J924" t="s">
        <v>42</v>
      </c>
      <c r="K924" t="s">
        <v>1234</v>
      </c>
      <c r="L924" t="s">
        <v>64</v>
      </c>
      <c r="M924" t="s">
        <v>54</v>
      </c>
      <c r="N924" t="s">
        <v>74</v>
      </c>
      <c r="O924" t="s">
        <v>75</v>
      </c>
      <c r="P924" t="s">
        <v>76</v>
      </c>
      <c r="Q924">
        <v>393</v>
      </c>
      <c r="R924">
        <v>365.46</v>
      </c>
      <c r="S924">
        <v>143625.78</v>
      </c>
      <c r="T924">
        <v>15.18</v>
      </c>
      <c r="U924">
        <v>21</v>
      </c>
      <c r="V924">
        <v>613</v>
      </c>
      <c r="W924" t="s">
        <v>36</v>
      </c>
      <c r="X924">
        <v>14800.7</v>
      </c>
    </row>
    <row r="925" spans="1:24" x14ac:dyDescent="0.25">
      <c r="A925" s="2">
        <v>100923</v>
      </c>
      <c r="B925" s="1">
        <v>45603</v>
      </c>
      <c r="C925" s="1">
        <v>45607</v>
      </c>
      <c r="D925" s="1">
        <v>45616</v>
      </c>
      <c r="E925" t="s">
        <v>2493</v>
      </c>
      <c r="F925" t="s">
        <v>65</v>
      </c>
      <c r="G925" t="s">
        <v>154</v>
      </c>
      <c r="H925" t="s">
        <v>2494</v>
      </c>
      <c r="I925" t="s">
        <v>198</v>
      </c>
      <c r="J925" t="s">
        <v>52</v>
      </c>
      <c r="K925" t="s">
        <v>1283</v>
      </c>
      <c r="L925" t="s">
        <v>118</v>
      </c>
      <c r="M925" t="s">
        <v>32</v>
      </c>
      <c r="N925" t="s">
        <v>66</v>
      </c>
      <c r="O925" t="s">
        <v>67</v>
      </c>
      <c r="P925" t="s">
        <v>35</v>
      </c>
      <c r="Q925">
        <v>178</v>
      </c>
      <c r="R925">
        <v>50.27</v>
      </c>
      <c r="S925">
        <v>8948.06</v>
      </c>
      <c r="T925">
        <v>17.52</v>
      </c>
      <c r="U925">
        <v>9</v>
      </c>
      <c r="V925">
        <v>3229</v>
      </c>
      <c r="W925" t="s">
        <v>36</v>
      </c>
      <c r="X925">
        <v>1451.74</v>
      </c>
    </row>
    <row r="926" spans="1:24" x14ac:dyDescent="0.25">
      <c r="A926" s="2">
        <v>100924</v>
      </c>
      <c r="B926" s="1">
        <v>45728</v>
      </c>
      <c r="C926" s="1">
        <v>45732</v>
      </c>
      <c r="D926" s="1">
        <v>45736</v>
      </c>
      <c r="E926" t="s">
        <v>2495</v>
      </c>
      <c r="F926" t="s">
        <v>38</v>
      </c>
      <c r="G926" t="s">
        <v>49</v>
      </c>
      <c r="H926" t="s">
        <v>2496</v>
      </c>
      <c r="I926" t="s">
        <v>134</v>
      </c>
      <c r="J926" t="s">
        <v>52</v>
      </c>
      <c r="K926" t="s">
        <v>1305</v>
      </c>
      <c r="L926" t="s">
        <v>64</v>
      </c>
      <c r="M926" t="s">
        <v>65</v>
      </c>
      <c r="N926" t="s">
        <v>107</v>
      </c>
      <c r="O926" t="s">
        <v>108</v>
      </c>
      <c r="P926" t="s">
        <v>35</v>
      </c>
      <c r="Q926">
        <v>438</v>
      </c>
      <c r="R926">
        <v>28.68</v>
      </c>
      <c r="S926">
        <v>12561.84</v>
      </c>
      <c r="T926">
        <v>24.89</v>
      </c>
      <c r="U926">
        <v>4</v>
      </c>
      <c r="V926">
        <v>1603</v>
      </c>
      <c r="W926" t="s">
        <v>36</v>
      </c>
      <c r="X926">
        <v>1431.8</v>
      </c>
    </row>
    <row r="927" spans="1:24" x14ac:dyDescent="0.25">
      <c r="A927" s="2">
        <v>100925</v>
      </c>
      <c r="B927" s="1">
        <v>45862</v>
      </c>
      <c r="C927" s="1">
        <v>45862</v>
      </c>
      <c r="D927" s="1">
        <v>45867</v>
      </c>
      <c r="E927" t="s">
        <v>1226</v>
      </c>
      <c r="F927" t="s">
        <v>25</v>
      </c>
      <c r="G927" t="s">
        <v>221</v>
      </c>
      <c r="H927" t="s">
        <v>2497</v>
      </c>
      <c r="I927" t="s">
        <v>134</v>
      </c>
      <c r="J927" t="s">
        <v>52</v>
      </c>
      <c r="K927" t="s">
        <v>2498</v>
      </c>
      <c r="L927" t="s">
        <v>122</v>
      </c>
      <c r="M927" t="s">
        <v>25</v>
      </c>
      <c r="N927" t="s">
        <v>66</v>
      </c>
      <c r="O927" t="s">
        <v>67</v>
      </c>
      <c r="P927" t="s">
        <v>68</v>
      </c>
      <c r="Q927">
        <v>271</v>
      </c>
      <c r="R927">
        <v>62.77</v>
      </c>
      <c r="S927">
        <v>17010.669999999998</v>
      </c>
      <c r="T927">
        <v>34.130000000000003</v>
      </c>
      <c r="U927">
        <v>5</v>
      </c>
      <c r="V927">
        <v>3460</v>
      </c>
      <c r="W927" t="s">
        <v>36</v>
      </c>
      <c r="X927">
        <v>1604.35</v>
      </c>
    </row>
    <row r="928" spans="1:24" x14ac:dyDescent="0.25">
      <c r="A928" s="2">
        <v>100926</v>
      </c>
      <c r="B928" s="1">
        <v>45355</v>
      </c>
      <c r="C928" s="1">
        <v>45359</v>
      </c>
      <c r="D928" s="1">
        <v>45362</v>
      </c>
      <c r="E928" t="s">
        <v>2499</v>
      </c>
      <c r="F928" t="s">
        <v>65</v>
      </c>
      <c r="G928" t="s">
        <v>154</v>
      </c>
      <c r="H928" t="s">
        <v>2500</v>
      </c>
      <c r="I928" t="s">
        <v>207</v>
      </c>
      <c r="J928" t="s">
        <v>80</v>
      </c>
      <c r="K928" t="s">
        <v>2501</v>
      </c>
      <c r="L928" t="s">
        <v>122</v>
      </c>
      <c r="M928" t="s">
        <v>25</v>
      </c>
      <c r="N928" t="s">
        <v>45</v>
      </c>
      <c r="O928" t="s">
        <v>46</v>
      </c>
      <c r="P928" t="s">
        <v>68</v>
      </c>
      <c r="Q928">
        <v>93</v>
      </c>
      <c r="R928">
        <v>318.22000000000003</v>
      </c>
      <c r="S928">
        <v>29594.46</v>
      </c>
      <c r="T928">
        <v>34.54</v>
      </c>
      <c r="U928">
        <v>3</v>
      </c>
      <c r="V928">
        <v>1531</v>
      </c>
      <c r="W928" t="s">
        <v>36</v>
      </c>
      <c r="X928">
        <v>5121.7</v>
      </c>
    </row>
    <row r="929" spans="1:24" x14ac:dyDescent="0.25">
      <c r="A929" s="2">
        <v>100927</v>
      </c>
      <c r="B929" s="1">
        <v>45494</v>
      </c>
      <c r="C929" s="1">
        <v>45494</v>
      </c>
      <c r="D929" s="1">
        <v>45508</v>
      </c>
      <c r="E929" t="s">
        <v>2502</v>
      </c>
      <c r="F929" t="s">
        <v>38</v>
      </c>
      <c r="G929" t="s">
        <v>49</v>
      </c>
      <c r="H929" t="s">
        <v>2503</v>
      </c>
      <c r="I929" t="s">
        <v>116</v>
      </c>
      <c r="J929" t="s">
        <v>62</v>
      </c>
      <c r="K929" t="s">
        <v>1208</v>
      </c>
      <c r="L929" t="s">
        <v>212</v>
      </c>
      <c r="M929" t="s">
        <v>38</v>
      </c>
      <c r="N929" t="s">
        <v>102</v>
      </c>
      <c r="O929" t="s">
        <v>103</v>
      </c>
      <c r="P929" t="s">
        <v>76</v>
      </c>
      <c r="Q929">
        <v>325</v>
      </c>
      <c r="R929">
        <v>39.36</v>
      </c>
      <c r="S929">
        <v>12792</v>
      </c>
      <c r="T929">
        <v>10.33</v>
      </c>
      <c r="U929">
        <v>14</v>
      </c>
      <c r="V929">
        <v>3996</v>
      </c>
      <c r="W929" t="s">
        <v>36</v>
      </c>
      <c r="X929">
        <v>1503.46</v>
      </c>
    </row>
    <row r="930" spans="1:24" x14ac:dyDescent="0.25">
      <c r="A930" s="2">
        <v>100928</v>
      </c>
      <c r="B930" s="1">
        <v>45786</v>
      </c>
      <c r="C930" s="1">
        <v>45787</v>
      </c>
      <c r="D930" s="1">
        <v>45791</v>
      </c>
      <c r="E930" t="s">
        <v>2504</v>
      </c>
      <c r="F930" t="s">
        <v>54</v>
      </c>
      <c r="G930" t="s">
        <v>129</v>
      </c>
      <c r="H930" t="s">
        <v>2505</v>
      </c>
      <c r="I930" t="s">
        <v>41</v>
      </c>
      <c r="J930" t="s">
        <v>42</v>
      </c>
      <c r="K930" t="s">
        <v>2506</v>
      </c>
      <c r="L930" t="s">
        <v>122</v>
      </c>
      <c r="M930" t="s">
        <v>25</v>
      </c>
      <c r="N930" t="s">
        <v>92</v>
      </c>
      <c r="O930" t="s">
        <v>93</v>
      </c>
      <c r="P930" t="s">
        <v>35</v>
      </c>
      <c r="Q930">
        <v>317</v>
      </c>
      <c r="R930">
        <v>311.3</v>
      </c>
      <c r="S930">
        <v>98682.1</v>
      </c>
      <c r="T930">
        <v>21.46</v>
      </c>
      <c r="U930">
        <v>4</v>
      </c>
      <c r="V930">
        <v>555</v>
      </c>
      <c r="W930" t="s">
        <v>36</v>
      </c>
      <c r="X930">
        <v>11390.66</v>
      </c>
    </row>
    <row r="931" spans="1:24" x14ac:dyDescent="0.25">
      <c r="A931" s="2">
        <v>100929</v>
      </c>
      <c r="B931" s="1">
        <v>45899</v>
      </c>
      <c r="C931" s="1">
        <v>45901</v>
      </c>
      <c r="D931" s="1">
        <v>45906</v>
      </c>
      <c r="E931" t="s">
        <v>2507</v>
      </c>
      <c r="F931" t="s">
        <v>65</v>
      </c>
      <c r="G931" t="s">
        <v>142</v>
      </c>
      <c r="H931" t="s">
        <v>2508</v>
      </c>
      <c r="I931" t="s">
        <v>28</v>
      </c>
      <c r="J931" t="s">
        <v>29</v>
      </c>
      <c r="K931" t="s">
        <v>1377</v>
      </c>
      <c r="L931" t="s">
        <v>113</v>
      </c>
      <c r="M931" t="s">
        <v>38</v>
      </c>
      <c r="N931" t="s">
        <v>102</v>
      </c>
      <c r="O931" t="s">
        <v>103</v>
      </c>
      <c r="P931" t="s">
        <v>68</v>
      </c>
      <c r="Q931">
        <v>316</v>
      </c>
      <c r="R931">
        <v>115.01</v>
      </c>
      <c r="S931">
        <v>36343.160000000003</v>
      </c>
      <c r="T931">
        <v>48.99</v>
      </c>
      <c r="U931">
        <v>5</v>
      </c>
      <c r="V931">
        <v>271</v>
      </c>
      <c r="W931" t="s">
        <v>36</v>
      </c>
      <c r="X931">
        <v>7272</v>
      </c>
    </row>
    <row r="932" spans="1:24" x14ac:dyDescent="0.25">
      <c r="A932" s="2">
        <v>100930</v>
      </c>
      <c r="B932" s="1">
        <v>45592</v>
      </c>
      <c r="C932" s="1">
        <v>45592</v>
      </c>
      <c r="D932" s="1">
        <v>45597</v>
      </c>
      <c r="E932" t="s">
        <v>2509</v>
      </c>
      <c r="F932" t="s">
        <v>32</v>
      </c>
      <c r="G932" t="s">
        <v>255</v>
      </c>
      <c r="H932" t="s">
        <v>2510</v>
      </c>
      <c r="I932" t="s">
        <v>246</v>
      </c>
      <c r="J932" t="s">
        <v>29</v>
      </c>
      <c r="K932" t="s">
        <v>2511</v>
      </c>
      <c r="L932" t="s">
        <v>44</v>
      </c>
      <c r="M932" t="s">
        <v>32</v>
      </c>
      <c r="N932" t="s">
        <v>66</v>
      </c>
      <c r="O932" t="s">
        <v>67</v>
      </c>
      <c r="P932" t="s">
        <v>68</v>
      </c>
      <c r="Q932">
        <v>407</v>
      </c>
      <c r="R932">
        <v>14.81</v>
      </c>
      <c r="S932">
        <v>6027.67</v>
      </c>
      <c r="T932">
        <v>40.659999999999997</v>
      </c>
      <c r="U932">
        <v>5</v>
      </c>
      <c r="V932">
        <v>3484</v>
      </c>
      <c r="W932" t="s">
        <v>36</v>
      </c>
      <c r="X932">
        <v>1135.03</v>
      </c>
    </row>
    <row r="933" spans="1:24" x14ac:dyDescent="0.25">
      <c r="A933" s="2">
        <v>100931</v>
      </c>
      <c r="B933" s="1">
        <v>45420</v>
      </c>
      <c r="C933" s="1">
        <v>45421</v>
      </c>
      <c r="D933" s="1">
        <v>45431</v>
      </c>
      <c r="E933" t="s">
        <v>2512</v>
      </c>
      <c r="F933" t="s">
        <v>32</v>
      </c>
      <c r="G933" t="s">
        <v>95</v>
      </c>
      <c r="H933" t="s">
        <v>2513</v>
      </c>
      <c r="I933" t="s">
        <v>191</v>
      </c>
      <c r="J933" t="s">
        <v>62</v>
      </c>
      <c r="K933" t="s">
        <v>1543</v>
      </c>
      <c r="L933" t="s">
        <v>122</v>
      </c>
      <c r="M933" t="s">
        <v>25</v>
      </c>
      <c r="N933" t="s">
        <v>203</v>
      </c>
      <c r="O933" t="s">
        <v>204</v>
      </c>
      <c r="P933" t="s">
        <v>76</v>
      </c>
      <c r="Q933">
        <v>144</v>
      </c>
      <c r="R933">
        <v>45.01</v>
      </c>
      <c r="S933">
        <v>6481.44</v>
      </c>
      <c r="T933">
        <v>10.64</v>
      </c>
      <c r="U933">
        <v>10</v>
      </c>
      <c r="V933">
        <v>4781</v>
      </c>
      <c r="W933" t="s">
        <v>36</v>
      </c>
      <c r="X933">
        <v>729.03</v>
      </c>
    </row>
    <row r="934" spans="1:24" x14ac:dyDescent="0.25">
      <c r="A934" s="2">
        <v>100932</v>
      </c>
      <c r="B934" s="1">
        <v>45750</v>
      </c>
      <c r="C934" s="1">
        <v>45754</v>
      </c>
      <c r="D934" s="1">
        <v>45760</v>
      </c>
      <c r="E934" t="s">
        <v>2514</v>
      </c>
      <c r="F934" t="s">
        <v>25</v>
      </c>
      <c r="G934" t="s">
        <v>172</v>
      </c>
      <c r="H934" t="s">
        <v>2515</v>
      </c>
      <c r="I934" t="s">
        <v>182</v>
      </c>
      <c r="J934" t="s">
        <v>80</v>
      </c>
      <c r="K934" t="s">
        <v>2516</v>
      </c>
      <c r="L934" t="s">
        <v>187</v>
      </c>
      <c r="M934" t="s">
        <v>32</v>
      </c>
      <c r="N934" t="s">
        <v>33</v>
      </c>
      <c r="O934" t="s">
        <v>34</v>
      </c>
      <c r="P934" t="s">
        <v>35</v>
      </c>
      <c r="Q934">
        <v>284</v>
      </c>
      <c r="R934">
        <v>227.89</v>
      </c>
      <c r="S934">
        <v>64720.76</v>
      </c>
      <c r="T934">
        <v>20.53</v>
      </c>
      <c r="U934">
        <v>6</v>
      </c>
      <c r="V934">
        <v>723</v>
      </c>
      <c r="W934" t="s">
        <v>36</v>
      </c>
      <c r="X934">
        <v>14714.24</v>
      </c>
    </row>
    <row r="935" spans="1:24" x14ac:dyDescent="0.25">
      <c r="A935" s="2">
        <v>100933</v>
      </c>
      <c r="B935" s="1">
        <v>45802</v>
      </c>
      <c r="C935" s="1">
        <v>45802</v>
      </c>
      <c r="D935" s="1">
        <v>45811</v>
      </c>
      <c r="E935" t="s">
        <v>2517</v>
      </c>
      <c r="F935" t="s">
        <v>38</v>
      </c>
      <c r="G935" t="s">
        <v>147</v>
      </c>
      <c r="H935" t="s">
        <v>2518</v>
      </c>
      <c r="I935" t="s">
        <v>72</v>
      </c>
      <c r="J935" t="s">
        <v>42</v>
      </c>
      <c r="K935" t="s">
        <v>1377</v>
      </c>
      <c r="L935" t="s">
        <v>44</v>
      </c>
      <c r="M935" t="s">
        <v>65</v>
      </c>
      <c r="N935" t="s">
        <v>151</v>
      </c>
      <c r="O935" t="s">
        <v>152</v>
      </c>
      <c r="P935" t="s">
        <v>35</v>
      </c>
      <c r="Q935">
        <v>217</v>
      </c>
      <c r="R935">
        <v>449.74</v>
      </c>
      <c r="S935">
        <v>97593.58</v>
      </c>
      <c r="T935">
        <v>18.63</v>
      </c>
      <c r="U935">
        <v>9</v>
      </c>
      <c r="V935">
        <v>1208</v>
      </c>
      <c r="W935" t="s">
        <v>36</v>
      </c>
      <c r="X935">
        <v>11943.94</v>
      </c>
    </row>
    <row r="936" spans="1:24" x14ac:dyDescent="0.25">
      <c r="A936" s="2">
        <v>100934</v>
      </c>
      <c r="B936" s="1">
        <v>45335</v>
      </c>
      <c r="C936" s="1">
        <v>45337</v>
      </c>
      <c r="D936" s="1">
        <v>45344</v>
      </c>
      <c r="E936" t="s">
        <v>2519</v>
      </c>
      <c r="F936" t="s">
        <v>65</v>
      </c>
      <c r="G936" t="s">
        <v>142</v>
      </c>
      <c r="H936" t="s">
        <v>2520</v>
      </c>
      <c r="I936" t="s">
        <v>41</v>
      </c>
      <c r="J936" t="s">
        <v>42</v>
      </c>
      <c r="K936" t="s">
        <v>2521</v>
      </c>
      <c r="L936" t="s">
        <v>44</v>
      </c>
      <c r="M936" t="s">
        <v>38</v>
      </c>
      <c r="N936" t="s">
        <v>45</v>
      </c>
      <c r="O936" t="s">
        <v>46</v>
      </c>
      <c r="P936" t="s">
        <v>35</v>
      </c>
      <c r="Q936">
        <v>492</v>
      </c>
      <c r="R936">
        <v>211.04</v>
      </c>
      <c r="S936">
        <v>103831.67999999999</v>
      </c>
      <c r="T936">
        <v>26.42</v>
      </c>
      <c r="U936">
        <v>7</v>
      </c>
      <c r="V936">
        <v>1221</v>
      </c>
      <c r="W936" t="s">
        <v>36</v>
      </c>
      <c r="X936">
        <v>9086.65</v>
      </c>
    </row>
    <row r="937" spans="1:24" x14ac:dyDescent="0.25">
      <c r="A937" s="2">
        <v>100935</v>
      </c>
      <c r="B937" s="1">
        <v>45357</v>
      </c>
      <c r="C937" s="1">
        <v>45361</v>
      </c>
      <c r="D937" s="1">
        <v>45384</v>
      </c>
      <c r="E937" t="s">
        <v>2522</v>
      </c>
      <c r="F937" t="s">
        <v>32</v>
      </c>
      <c r="G937" t="s">
        <v>255</v>
      </c>
      <c r="H937" t="s">
        <v>2523</v>
      </c>
      <c r="I937" t="s">
        <v>246</v>
      </c>
      <c r="J937" t="s">
        <v>29</v>
      </c>
      <c r="K937" t="s">
        <v>401</v>
      </c>
      <c r="L937" t="s">
        <v>44</v>
      </c>
      <c r="M937" t="s">
        <v>32</v>
      </c>
      <c r="N937" t="s">
        <v>107</v>
      </c>
      <c r="O937" t="s">
        <v>108</v>
      </c>
      <c r="P937" t="s">
        <v>76</v>
      </c>
      <c r="Q937">
        <v>167</v>
      </c>
      <c r="R937">
        <v>102.71</v>
      </c>
      <c r="S937">
        <v>17152.57</v>
      </c>
      <c r="T937">
        <v>8.19</v>
      </c>
      <c r="U937">
        <v>23</v>
      </c>
      <c r="V937">
        <v>3053</v>
      </c>
      <c r="W937" t="s">
        <v>36</v>
      </c>
      <c r="X937">
        <v>1934.06</v>
      </c>
    </row>
    <row r="938" spans="1:24" x14ac:dyDescent="0.25">
      <c r="A938" s="2">
        <v>100936</v>
      </c>
      <c r="B938" s="1">
        <v>45362</v>
      </c>
      <c r="C938" s="1">
        <v>45362</v>
      </c>
      <c r="D938" s="1">
        <v>45365</v>
      </c>
      <c r="E938" t="s">
        <v>2524</v>
      </c>
      <c r="F938" t="s">
        <v>65</v>
      </c>
      <c r="G938" t="s">
        <v>70</v>
      </c>
      <c r="H938" t="s">
        <v>2525</v>
      </c>
      <c r="I938" t="s">
        <v>144</v>
      </c>
      <c r="J938" t="s">
        <v>52</v>
      </c>
      <c r="K938" t="s">
        <v>1076</v>
      </c>
      <c r="L938" t="s">
        <v>31</v>
      </c>
      <c r="M938" t="s">
        <v>38</v>
      </c>
      <c r="N938" t="s">
        <v>55</v>
      </c>
      <c r="O938" t="s">
        <v>56</v>
      </c>
      <c r="P938" t="s">
        <v>68</v>
      </c>
      <c r="Q938">
        <v>125</v>
      </c>
      <c r="R938">
        <v>48.57</v>
      </c>
      <c r="S938">
        <v>6071.25</v>
      </c>
      <c r="T938">
        <v>36.61</v>
      </c>
      <c r="U938">
        <v>3</v>
      </c>
      <c r="V938">
        <v>3276</v>
      </c>
      <c r="W938" t="s">
        <v>36</v>
      </c>
      <c r="X938">
        <v>1121.94</v>
      </c>
    </row>
    <row r="939" spans="1:24" x14ac:dyDescent="0.25">
      <c r="A939" s="2">
        <v>100937</v>
      </c>
      <c r="B939" s="1">
        <v>45730</v>
      </c>
      <c r="C939" s="1">
        <v>45732</v>
      </c>
      <c r="D939" s="1">
        <v>45741</v>
      </c>
      <c r="E939" t="s">
        <v>1499</v>
      </c>
      <c r="F939" t="s">
        <v>25</v>
      </c>
      <c r="G939" t="s">
        <v>59</v>
      </c>
      <c r="H939" t="s">
        <v>2526</v>
      </c>
      <c r="I939" t="s">
        <v>198</v>
      </c>
      <c r="J939" t="s">
        <v>52</v>
      </c>
      <c r="K939" t="s">
        <v>2527</v>
      </c>
      <c r="L939" t="s">
        <v>118</v>
      </c>
      <c r="M939" t="s">
        <v>32</v>
      </c>
      <c r="N939" t="s">
        <v>45</v>
      </c>
      <c r="O939" t="s">
        <v>46</v>
      </c>
      <c r="P939" t="s">
        <v>35</v>
      </c>
      <c r="Q939">
        <v>347</v>
      </c>
      <c r="R939">
        <v>12.94</v>
      </c>
      <c r="S939">
        <v>4490.18</v>
      </c>
      <c r="T939">
        <v>22.31</v>
      </c>
      <c r="U939">
        <v>9</v>
      </c>
      <c r="V939">
        <v>1987</v>
      </c>
      <c r="W939" t="s">
        <v>36</v>
      </c>
      <c r="X939">
        <v>710.41</v>
      </c>
    </row>
    <row r="940" spans="1:24" x14ac:dyDescent="0.25">
      <c r="A940" s="2">
        <v>100938</v>
      </c>
      <c r="B940" s="1">
        <v>45373</v>
      </c>
      <c r="C940" s="1">
        <v>45376</v>
      </c>
      <c r="D940" s="1">
        <v>45381</v>
      </c>
      <c r="E940" t="s">
        <v>2528</v>
      </c>
      <c r="F940" t="s">
        <v>32</v>
      </c>
      <c r="G940" t="s">
        <v>180</v>
      </c>
      <c r="H940" t="s">
        <v>2529</v>
      </c>
      <c r="I940" t="s">
        <v>198</v>
      </c>
      <c r="J940" t="s">
        <v>52</v>
      </c>
      <c r="K940" t="s">
        <v>1705</v>
      </c>
      <c r="L940" t="s">
        <v>44</v>
      </c>
      <c r="M940" t="s">
        <v>32</v>
      </c>
      <c r="N940" t="s">
        <v>102</v>
      </c>
      <c r="O940" t="s">
        <v>103</v>
      </c>
      <c r="P940" t="s">
        <v>68</v>
      </c>
      <c r="Q940">
        <v>115</v>
      </c>
      <c r="R940">
        <v>74.010000000000005</v>
      </c>
      <c r="S940">
        <v>8511.15</v>
      </c>
      <c r="T940">
        <v>26.64</v>
      </c>
      <c r="U940">
        <v>5</v>
      </c>
      <c r="V940">
        <v>2474</v>
      </c>
      <c r="W940" t="s">
        <v>36</v>
      </c>
      <c r="X940">
        <v>980.21</v>
      </c>
    </row>
    <row r="941" spans="1:24" x14ac:dyDescent="0.25">
      <c r="A941" s="2">
        <v>100939</v>
      </c>
      <c r="B941" s="1">
        <v>45606</v>
      </c>
      <c r="C941" s="1">
        <v>45610</v>
      </c>
      <c r="D941" s="1">
        <v>45627</v>
      </c>
      <c r="E941" t="s">
        <v>2530</v>
      </c>
      <c r="F941" t="s">
        <v>65</v>
      </c>
      <c r="G941" t="s">
        <v>142</v>
      </c>
      <c r="H941" t="s">
        <v>2531</v>
      </c>
      <c r="I941" t="s">
        <v>85</v>
      </c>
      <c r="J941" t="s">
        <v>52</v>
      </c>
      <c r="K941" t="s">
        <v>410</v>
      </c>
      <c r="L941" t="s">
        <v>113</v>
      </c>
      <c r="M941" t="s">
        <v>25</v>
      </c>
      <c r="N941" t="s">
        <v>66</v>
      </c>
      <c r="O941" t="s">
        <v>67</v>
      </c>
      <c r="P941" t="s">
        <v>123</v>
      </c>
      <c r="Q941">
        <v>307</v>
      </c>
      <c r="R941">
        <v>27.91</v>
      </c>
      <c r="S941">
        <v>8568.3700000000008</v>
      </c>
      <c r="T941">
        <v>18.149999999999999</v>
      </c>
      <c r="U941">
        <v>17</v>
      </c>
      <c r="V941">
        <v>1744</v>
      </c>
      <c r="W941" t="s">
        <v>188</v>
      </c>
      <c r="X941">
        <v>938.09</v>
      </c>
    </row>
    <row r="942" spans="1:24" x14ac:dyDescent="0.25">
      <c r="A942" s="2">
        <v>100940</v>
      </c>
      <c r="B942" s="1">
        <v>45998</v>
      </c>
      <c r="C942" s="1">
        <v>46000</v>
      </c>
      <c r="D942" s="1">
        <v>46002</v>
      </c>
      <c r="E942" t="s">
        <v>1952</v>
      </c>
      <c r="F942" t="s">
        <v>54</v>
      </c>
      <c r="G942" t="s">
        <v>129</v>
      </c>
      <c r="H942" t="s">
        <v>2532</v>
      </c>
      <c r="I942" t="s">
        <v>116</v>
      </c>
      <c r="J942" t="s">
        <v>62</v>
      </c>
      <c r="K942" t="s">
        <v>353</v>
      </c>
      <c r="L942" t="s">
        <v>31</v>
      </c>
      <c r="M942" t="s">
        <v>54</v>
      </c>
      <c r="N942" t="s">
        <v>33</v>
      </c>
      <c r="O942" t="s">
        <v>34</v>
      </c>
      <c r="P942" t="s">
        <v>68</v>
      </c>
      <c r="Q942">
        <v>340</v>
      </c>
      <c r="R942">
        <v>20.75</v>
      </c>
      <c r="S942">
        <v>7055</v>
      </c>
      <c r="T942">
        <v>37.44</v>
      </c>
      <c r="U942">
        <v>2</v>
      </c>
      <c r="V942">
        <v>3305</v>
      </c>
      <c r="W942" t="s">
        <v>36</v>
      </c>
      <c r="X942">
        <v>520.21</v>
      </c>
    </row>
    <row r="943" spans="1:24" x14ac:dyDescent="0.25">
      <c r="A943" s="2">
        <v>100941</v>
      </c>
      <c r="B943" s="1">
        <v>45622</v>
      </c>
      <c r="C943" s="1">
        <v>45624</v>
      </c>
      <c r="D943" s="1">
        <v>45628</v>
      </c>
      <c r="E943" t="s">
        <v>2533</v>
      </c>
      <c r="F943" t="s">
        <v>25</v>
      </c>
      <c r="G943" t="s">
        <v>233</v>
      </c>
      <c r="H943" t="s">
        <v>2534</v>
      </c>
      <c r="I943" t="s">
        <v>149</v>
      </c>
      <c r="J943" t="s">
        <v>42</v>
      </c>
      <c r="K943" t="s">
        <v>1909</v>
      </c>
      <c r="L943" t="s">
        <v>122</v>
      </c>
      <c r="M943" t="s">
        <v>54</v>
      </c>
      <c r="N943" t="s">
        <v>74</v>
      </c>
      <c r="O943" t="s">
        <v>75</v>
      </c>
      <c r="P943" t="s">
        <v>68</v>
      </c>
      <c r="Q943">
        <v>203</v>
      </c>
      <c r="R943">
        <v>182.87</v>
      </c>
      <c r="S943">
        <v>37122.61</v>
      </c>
      <c r="T943">
        <v>41.67</v>
      </c>
      <c r="U943">
        <v>4</v>
      </c>
      <c r="V943">
        <v>1316</v>
      </c>
      <c r="W943" t="s">
        <v>36</v>
      </c>
      <c r="X943">
        <v>7741.54</v>
      </c>
    </row>
    <row r="944" spans="1:24" x14ac:dyDescent="0.25">
      <c r="A944" s="2">
        <v>100942</v>
      </c>
      <c r="B944" s="1">
        <v>45579</v>
      </c>
      <c r="C944" s="1">
        <v>45580</v>
      </c>
      <c r="D944" s="1">
        <v>45582</v>
      </c>
      <c r="E944" t="s">
        <v>2535</v>
      </c>
      <c r="F944" t="s">
        <v>38</v>
      </c>
      <c r="G944" t="s">
        <v>217</v>
      </c>
      <c r="H944" t="s">
        <v>2536</v>
      </c>
      <c r="I944" t="s">
        <v>139</v>
      </c>
      <c r="J944" t="s">
        <v>42</v>
      </c>
      <c r="K944" t="s">
        <v>2537</v>
      </c>
      <c r="L944" t="s">
        <v>113</v>
      </c>
      <c r="M944" t="s">
        <v>25</v>
      </c>
      <c r="N944" t="s">
        <v>203</v>
      </c>
      <c r="O944" t="s">
        <v>204</v>
      </c>
      <c r="P944" t="s">
        <v>68</v>
      </c>
      <c r="Q944">
        <v>479</v>
      </c>
      <c r="R944">
        <v>212.38</v>
      </c>
      <c r="S944">
        <v>101730.02</v>
      </c>
      <c r="T944">
        <v>59.55</v>
      </c>
      <c r="U944">
        <v>2</v>
      </c>
      <c r="V944">
        <v>583</v>
      </c>
      <c r="W944" t="s">
        <v>36</v>
      </c>
      <c r="X944">
        <v>10339.91</v>
      </c>
    </row>
    <row r="945" spans="1:24" x14ac:dyDescent="0.25">
      <c r="A945" s="2">
        <v>100943</v>
      </c>
      <c r="B945" s="1">
        <v>45413</v>
      </c>
      <c r="C945" s="1">
        <v>45414</v>
      </c>
      <c r="D945" s="1">
        <v>45417</v>
      </c>
      <c r="E945" t="s">
        <v>2538</v>
      </c>
      <c r="F945" t="s">
        <v>54</v>
      </c>
      <c r="G945" t="s">
        <v>225</v>
      </c>
      <c r="H945" t="s">
        <v>2539</v>
      </c>
      <c r="I945" t="s">
        <v>177</v>
      </c>
      <c r="J945" t="s">
        <v>29</v>
      </c>
      <c r="K945" t="s">
        <v>2540</v>
      </c>
      <c r="L945" t="s">
        <v>31</v>
      </c>
      <c r="M945" t="s">
        <v>38</v>
      </c>
      <c r="N945" t="s">
        <v>203</v>
      </c>
      <c r="O945" t="s">
        <v>204</v>
      </c>
      <c r="P945" t="s">
        <v>68</v>
      </c>
      <c r="Q945">
        <v>146</v>
      </c>
      <c r="R945">
        <v>71.72</v>
      </c>
      <c r="S945">
        <v>10471.120000000001</v>
      </c>
      <c r="T945">
        <v>37.97</v>
      </c>
      <c r="U945">
        <v>3</v>
      </c>
      <c r="V945">
        <v>993</v>
      </c>
      <c r="W945" t="s">
        <v>36</v>
      </c>
      <c r="X945">
        <v>306.69</v>
      </c>
    </row>
    <row r="946" spans="1:24" x14ac:dyDescent="0.25">
      <c r="A946" s="2">
        <v>100944</v>
      </c>
      <c r="B946" s="1">
        <v>45700</v>
      </c>
      <c r="C946" s="1">
        <v>45704</v>
      </c>
      <c r="D946" s="1">
        <v>45711</v>
      </c>
      <c r="E946" t="s">
        <v>2541</v>
      </c>
      <c r="F946" t="s">
        <v>54</v>
      </c>
      <c r="G946" t="s">
        <v>193</v>
      </c>
      <c r="H946" t="s">
        <v>2542</v>
      </c>
      <c r="I946" t="s">
        <v>72</v>
      </c>
      <c r="J946" t="s">
        <v>42</v>
      </c>
      <c r="K946" t="s">
        <v>268</v>
      </c>
      <c r="L946" t="s">
        <v>64</v>
      </c>
      <c r="M946" t="s">
        <v>32</v>
      </c>
      <c r="N946" t="s">
        <v>151</v>
      </c>
      <c r="O946" t="s">
        <v>152</v>
      </c>
      <c r="P946" t="s">
        <v>68</v>
      </c>
      <c r="Q946">
        <v>114</v>
      </c>
      <c r="R946">
        <v>385.92</v>
      </c>
      <c r="S946">
        <v>43994.879999999997</v>
      </c>
      <c r="T946">
        <v>35.9</v>
      </c>
      <c r="U946">
        <v>7</v>
      </c>
      <c r="V946">
        <v>1056</v>
      </c>
      <c r="W946" t="s">
        <v>36</v>
      </c>
      <c r="X946">
        <v>8970.0400000000009</v>
      </c>
    </row>
    <row r="947" spans="1:24" x14ac:dyDescent="0.25">
      <c r="A947" s="2">
        <v>100945</v>
      </c>
      <c r="B947" s="1">
        <v>45604</v>
      </c>
      <c r="C947" s="1">
        <v>45607</v>
      </c>
      <c r="D947" s="1">
        <v>45611</v>
      </c>
      <c r="E947" t="s">
        <v>2543</v>
      </c>
      <c r="F947" t="s">
        <v>25</v>
      </c>
      <c r="G947" t="s">
        <v>233</v>
      </c>
      <c r="H947" t="s">
        <v>2544</v>
      </c>
      <c r="I947" t="s">
        <v>79</v>
      </c>
      <c r="J947" t="s">
        <v>80</v>
      </c>
      <c r="K947" t="s">
        <v>2545</v>
      </c>
      <c r="L947" t="s">
        <v>44</v>
      </c>
      <c r="M947" t="s">
        <v>25</v>
      </c>
      <c r="N947" t="s">
        <v>66</v>
      </c>
      <c r="O947" t="s">
        <v>67</v>
      </c>
      <c r="P947" t="s">
        <v>123</v>
      </c>
      <c r="Q947">
        <v>340</v>
      </c>
      <c r="R947">
        <v>334.08</v>
      </c>
      <c r="S947">
        <v>113587.2</v>
      </c>
      <c r="T947">
        <v>14.04</v>
      </c>
      <c r="U947">
        <v>4</v>
      </c>
      <c r="V947">
        <v>1692</v>
      </c>
      <c r="W947" t="s">
        <v>36</v>
      </c>
      <c r="X947">
        <v>31674.71</v>
      </c>
    </row>
    <row r="948" spans="1:24" x14ac:dyDescent="0.25">
      <c r="A948" s="2">
        <v>100946</v>
      </c>
      <c r="B948" s="1">
        <v>45989</v>
      </c>
      <c r="C948" s="1">
        <v>45993</v>
      </c>
      <c r="D948" s="1">
        <v>46002</v>
      </c>
      <c r="E948" t="s">
        <v>2546</v>
      </c>
      <c r="F948" t="s">
        <v>54</v>
      </c>
      <c r="G948" t="s">
        <v>225</v>
      </c>
      <c r="H948" t="s">
        <v>2547</v>
      </c>
      <c r="I948" t="s">
        <v>126</v>
      </c>
      <c r="J948" t="s">
        <v>42</v>
      </c>
      <c r="K948" t="s">
        <v>2548</v>
      </c>
      <c r="L948" t="s">
        <v>44</v>
      </c>
      <c r="M948" t="s">
        <v>65</v>
      </c>
      <c r="N948" t="s">
        <v>45</v>
      </c>
      <c r="O948" t="s">
        <v>46</v>
      </c>
      <c r="P948" t="s">
        <v>123</v>
      </c>
      <c r="Q948">
        <v>256</v>
      </c>
      <c r="R948">
        <v>263.51</v>
      </c>
      <c r="S948">
        <v>67458.559999999998</v>
      </c>
      <c r="T948">
        <v>16.91</v>
      </c>
      <c r="U948">
        <v>9</v>
      </c>
      <c r="V948">
        <v>590</v>
      </c>
      <c r="W948" t="s">
        <v>36</v>
      </c>
      <c r="X948">
        <v>14380.25</v>
      </c>
    </row>
    <row r="949" spans="1:24" x14ac:dyDescent="0.25">
      <c r="A949" s="2">
        <v>100947</v>
      </c>
      <c r="B949" s="1">
        <v>45935</v>
      </c>
      <c r="C949" s="1">
        <v>45938</v>
      </c>
      <c r="D949" s="1">
        <v>45939</v>
      </c>
      <c r="E949" t="s">
        <v>2549</v>
      </c>
      <c r="F949" t="s">
        <v>32</v>
      </c>
      <c r="G949" t="s">
        <v>110</v>
      </c>
      <c r="H949" t="s">
        <v>2550</v>
      </c>
      <c r="I949" t="s">
        <v>416</v>
      </c>
      <c r="J949" t="s">
        <v>80</v>
      </c>
      <c r="K949" t="s">
        <v>1116</v>
      </c>
      <c r="L949" t="s">
        <v>31</v>
      </c>
      <c r="M949" t="s">
        <v>54</v>
      </c>
      <c r="N949" t="s">
        <v>92</v>
      </c>
      <c r="O949" t="s">
        <v>93</v>
      </c>
      <c r="P949" t="s">
        <v>68</v>
      </c>
      <c r="Q949">
        <v>88</v>
      </c>
      <c r="R949">
        <v>185.44</v>
      </c>
      <c r="S949">
        <v>16318.72</v>
      </c>
      <c r="T949">
        <v>34.21</v>
      </c>
      <c r="U949">
        <v>1</v>
      </c>
      <c r="V949">
        <v>247</v>
      </c>
      <c r="W949" t="s">
        <v>36</v>
      </c>
      <c r="X949">
        <v>3201.57</v>
      </c>
    </row>
    <row r="950" spans="1:24" x14ac:dyDescent="0.25">
      <c r="A950" s="2">
        <v>100948</v>
      </c>
      <c r="B950" s="1">
        <v>46014</v>
      </c>
      <c r="C950" s="1">
        <v>46018</v>
      </c>
      <c r="D950" s="1">
        <v>46020</v>
      </c>
      <c r="E950" t="s">
        <v>2551</v>
      </c>
      <c r="F950" t="s">
        <v>38</v>
      </c>
      <c r="G950" t="s">
        <v>147</v>
      </c>
      <c r="H950" t="s">
        <v>2552</v>
      </c>
      <c r="I950" t="s">
        <v>177</v>
      </c>
      <c r="J950" t="s">
        <v>29</v>
      </c>
      <c r="K950" t="s">
        <v>247</v>
      </c>
      <c r="L950" t="s">
        <v>64</v>
      </c>
      <c r="M950" t="s">
        <v>54</v>
      </c>
      <c r="N950" t="s">
        <v>55</v>
      </c>
      <c r="O950" t="s">
        <v>56</v>
      </c>
      <c r="P950" t="s">
        <v>68</v>
      </c>
      <c r="Q950">
        <v>181</v>
      </c>
      <c r="R950">
        <v>111.66</v>
      </c>
      <c r="S950">
        <v>20210.46</v>
      </c>
      <c r="T950">
        <v>40.24</v>
      </c>
      <c r="U950">
        <v>2</v>
      </c>
      <c r="V950">
        <v>2160</v>
      </c>
      <c r="W950" t="s">
        <v>36</v>
      </c>
      <c r="X950">
        <v>5566.82</v>
      </c>
    </row>
    <row r="951" spans="1:24" x14ac:dyDescent="0.25">
      <c r="A951" s="2">
        <v>100949</v>
      </c>
      <c r="B951" s="1">
        <v>45480</v>
      </c>
      <c r="C951" s="1">
        <v>45480</v>
      </c>
      <c r="D951" s="1">
        <v>45485</v>
      </c>
      <c r="E951" t="s">
        <v>2553</v>
      </c>
      <c r="F951" t="s">
        <v>54</v>
      </c>
      <c r="G951" t="s">
        <v>225</v>
      </c>
      <c r="H951" t="s">
        <v>2554</v>
      </c>
      <c r="I951" t="s">
        <v>28</v>
      </c>
      <c r="J951" t="s">
        <v>29</v>
      </c>
      <c r="K951" t="s">
        <v>2555</v>
      </c>
      <c r="L951" t="s">
        <v>113</v>
      </c>
      <c r="M951" t="s">
        <v>25</v>
      </c>
      <c r="N951" t="s">
        <v>33</v>
      </c>
      <c r="O951" t="s">
        <v>34</v>
      </c>
      <c r="P951" t="s">
        <v>123</v>
      </c>
      <c r="Q951">
        <v>344</v>
      </c>
      <c r="R951">
        <v>28.52</v>
      </c>
      <c r="S951">
        <v>9810.8799999999992</v>
      </c>
      <c r="T951">
        <v>19.05</v>
      </c>
      <c r="U951">
        <v>5</v>
      </c>
      <c r="V951">
        <v>3062</v>
      </c>
      <c r="W951" t="s">
        <v>47</v>
      </c>
      <c r="X951">
        <v>-202.55</v>
      </c>
    </row>
    <row r="952" spans="1:24" x14ac:dyDescent="0.25">
      <c r="A952" s="2">
        <v>100950</v>
      </c>
      <c r="B952" s="1">
        <v>45673</v>
      </c>
      <c r="C952" s="1">
        <v>45676</v>
      </c>
      <c r="D952" s="1">
        <v>45677</v>
      </c>
      <c r="E952" t="s">
        <v>2556</v>
      </c>
      <c r="F952" t="s">
        <v>54</v>
      </c>
      <c r="G952" t="s">
        <v>129</v>
      </c>
      <c r="H952" t="s">
        <v>1021</v>
      </c>
      <c r="I952" t="s">
        <v>191</v>
      </c>
      <c r="J952" t="s">
        <v>62</v>
      </c>
      <c r="K952" t="s">
        <v>2557</v>
      </c>
      <c r="L952" t="s">
        <v>187</v>
      </c>
      <c r="M952" t="s">
        <v>25</v>
      </c>
      <c r="N952" t="s">
        <v>151</v>
      </c>
      <c r="O952" t="s">
        <v>152</v>
      </c>
      <c r="P952" t="s">
        <v>68</v>
      </c>
      <c r="Q952">
        <v>474</v>
      </c>
      <c r="R952">
        <v>17.239999999999998</v>
      </c>
      <c r="S952">
        <v>8171.76</v>
      </c>
      <c r="T952">
        <v>59.23</v>
      </c>
      <c r="U952">
        <v>1</v>
      </c>
      <c r="V952">
        <v>4520</v>
      </c>
      <c r="W952" t="s">
        <v>36</v>
      </c>
      <c r="X952">
        <v>384.84</v>
      </c>
    </row>
    <row r="953" spans="1:24" x14ac:dyDescent="0.25">
      <c r="A953" s="2">
        <v>100951</v>
      </c>
      <c r="B953" s="1">
        <v>45444</v>
      </c>
      <c r="C953" s="1">
        <v>45448</v>
      </c>
      <c r="D953" s="1">
        <v>45454</v>
      </c>
      <c r="E953" t="s">
        <v>2558</v>
      </c>
      <c r="F953" t="s">
        <v>54</v>
      </c>
      <c r="G953" t="s">
        <v>158</v>
      </c>
      <c r="H953" t="s">
        <v>2559</v>
      </c>
      <c r="I953" t="s">
        <v>61</v>
      </c>
      <c r="J953" t="s">
        <v>62</v>
      </c>
      <c r="K953" t="s">
        <v>1265</v>
      </c>
      <c r="L953" t="s">
        <v>212</v>
      </c>
      <c r="M953" t="s">
        <v>65</v>
      </c>
      <c r="N953" t="s">
        <v>66</v>
      </c>
      <c r="O953" t="s">
        <v>67</v>
      </c>
      <c r="P953" t="s">
        <v>35</v>
      </c>
      <c r="Q953">
        <v>437</v>
      </c>
      <c r="R953">
        <v>21.57</v>
      </c>
      <c r="S953">
        <v>9426.09</v>
      </c>
      <c r="T953">
        <v>24.86</v>
      </c>
      <c r="U953">
        <v>6</v>
      </c>
      <c r="V953">
        <v>3589</v>
      </c>
      <c r="W953" t="s">
        <v>36</v>
      </c>
      <c r="X953">
        <v>462.7</v>
      </c>
    </row>
    <row r="954" spans="1:24" x14ac:dyDescent="0.25">
      <c r="A954" s="2">
        <v>100952</v>
      </c>
      <c r="B954" s="1">
        <v>46002</v>
      </c>
      <c r="C954" s="1">
        <v>46007</v>
      </c>
      <c r="D954" s="1">
        <v>46012</v>
      </c>
      <c r="E954" t="s">
        <v>2560</v>
      </c>
      <c r="F954" t="s">
        <v>38</v>
      </c>
      <c r="G954" t="s">
        <v>147</v>
      </c>
      <c r="H954" t="s">
        <v>2561</v>
      </c>
      <c r="I954" t="s">
        <v>41</v>
      </c>
      <c r="J954" t="s">
        <v>42</v>
      </c>
      <c r="K954" t="s">
        <v>1259</v>
      </c>
      <c r="L954" t="s">
        <v>118</v>
      </c>
      <c r="M954" t="s">
        <v>54</v>
      </c>
      <c r="N954" t="s">
        <v>92</v>
      </c>
      <c r="O954" t="s">
        <v>93</v>
      </c>
      <c r="P954" t="s">
        <v>68</v>
      </c>
      <c r="Q954">
        <v>183</v>
      </c>
      <c r="R954">
        <v>257.48</v>
      </c>
      <c r="S954">
        <v>47118.84</v>
      </c>
      <c r="T954">
        <v>40.369999999999997</v>
      </c>
      <c r="U954">
        <v>5</v>
      </c>
      <c r="V954">
        <v>1109</v>
      </c>
      <c r="W954" t="s">
        <v>36</v>
      </c>
      <c r="X954">
        <v>4423.38</v>
      </c>
    </row>
    <row r="955" spans="1:24" x14ac:dyDescent="0.25">
      <c r="A955" s="2">
        <v>100953</v>
      </c>
      <c r="B955" s="1">
        <v>45532</v>
      </c>
      <c r="C955" s="1">
        <v>45536</v>
      </c>
      <c r="D955" s="1">
        <v>45552</v>
      </c>
      <c r="E955" t="s">
        <v>2562</v>
      </c>
      <c r="F955" t="s">
        <v>65</v>
      </c>
      <c r="G955" t="s">
        <v>142</v>
      </c>
      <c r="H955" t="s">
        <v>2563</v>
      </c>
      <c r="I955" t="s">
        <v>182</v>
      </c>
      <c r="J955" t="s">
        <v>80</v>
      </c>
      <c r="K955" t="s">
        <v>1453</v>
      </c>
      <c r="L955" t="s">
        <v>118</v>
      </c>
      <c r="M955" t="s">
        <v>65</v>
      </c>
      <c r="N955" t="s">
        <v>102</v>
      </c>
      <c r="O955" t="s">
        <v>103</v>
      </c>
      <c r="P955" t="s">
        <v>76</v>
      </c>
      <c r="Q955">
        <v>152</v>
      </c>
      <c r="R955">
        <v>185.87</v>
      </c>
      <c r="S955">
        <v>28252.240000000002</v>
      </c>
      <c r="T955">
        <v>7.99</v>
      </c>
      <c r="U955">
        <v>16</v>
      </c>
      <c r="V955">
        <v>57</v>
      </c>
      <c r="W955" t="s">
        <v>47</v>
      </c>
      <c r="X955">
        <v>-27.27</v>
      </c>
    </row>
    <row r="956" spans="1:24" x14ac:dyDescent="0.25">
      <c r="A956" s="2">
        <v>100954</v>
      </c>
      <c r="B956" s="1">
        <v>45699</v>
      </c>
      <c r="C956" s="1">
        <v>45704</v>
      </c>
      <c r="D956" s="1">
        <v>45705</v>
      </c>
      <c r="E956" t="s">
        <v>2564</v>
      </c>
      <c r="F956" t="s">
        <v>38</v>
      </c>
      <c r="G956" t="s">
        <v>147</v>
      </c>
      <c r="H956" t="s">
        <v>2565</v>
      </c>
      <c r="I956" t="s">
        <v>41</v>
      </c>
      <c r="J956" t="s">
        <v>42</v>
      </c>
      <c r="K956" t="s">
        <v>1659</v>
      </c>
      <c r="L956" t="s">
        <v>91</v>
      </c>
      <c r="M956" t="s">
        <v>25</v>
      </c>
      <c r="N956" t="s">
        <v>203</v>
      </c>
      <c r="O956" t="s">
        <v>204</v>
      </c>
      <c r="P956" t="s">
        <v>68</v>
      </c>
      <c r="Q956">
        <v>421</v>
      </c>
      <c r="R956">
        <v>173.99</v>
      </c>
      <c r="S956">
        <v>73249.789999999994</v>
      </c>
      <c r="T956">
        <v>55.79</v>
      </c>
      <c r="U956">
        <v>1</v>
      </c>
      <c r="V956">
        <v>1426</v>
      </c>
      <c r="W956" t="s">
        <v>36</v>
      </c>
      <c r="X956">
        <v>10591.33</v>
      </c>
    </row>
    <row r="957" spans="1:24" x14ac:dyDescent="0.25">
      <c r="A957" s="2">
        <v>100955</v>
      </c>
      <c r="B957" s="1">
        <v>45431</v>
      </c>
      <c r="C957" s="1">
        <v>45431</v>
      </c>
      <c r="D957" s="1">
        <v>45442</v>
      </c>
      <c r="E957" t="s">
        <v>417</v>
      </c>
      <c r="F957" t="s">
        <v>65</v>
      </c>
      <c r="G957" t="s">
        <v>154</v>
      </c>
      <c r="H957" t="s">
        <v>2566</v>
      </c>
      <c r="I957" t="s">
        <v>182</v>
      </c>
      <c r="J957" t="s">
        <v>80</v>
      </c>
      <c r="K957" t="s">
        <v>2567</v>
      </c>
      <c r="L957" t="s">
        <v>187</v>
      </c>
      <c r="M957" t="s">
        <v>25</v>
      </c>
      <c r="N957" t="s">
        <v>66</v>
      </c>
      <c r="O957" t="s">
        <v>67</v>
      </c>
      <c r="P957" t="s">
        <v>123</v>
      </c>
      <c r="Q957">
        <v>494</v>
      </c>
      <c r="R957">
        <v>75.599999999999994</v>
      </c>
      <c r="S957">
        <v>37346.400000000001</v>
      </c>
      <c r="T957">
        <v>22.7</v>
      </c>
      <c r="U957">
        <v>11</v>
      </c>
      <c r="V957">
        <v>1789</v>
      </c>
      <c r="W957" t="s">
        <v>36</v>
      </c>
      <c r="X957">
        <v>4567.37</v>
      </c>
    </row>
    <row r="958" spans="1:24" x14ac:dyDescent="0.25">
      <c r="A958" s="2">
        <v>100956</v>
      </c>
      <c r="B958" s="1">
        <v>45364</v>
      </c>
      <c r="C958" s="1">
        <v>45364</v>
      </c>
      <c r="D958" s="1">
        <v>45368</v>
      </c>
      <c r="E958" t="s">
        <v>2568</v>
      </c>
      <c r="F958" t="s">
        <v>32</v>
      </c>
      <c r="G958" t="s">
        <v>137</v>
      </c>
      <c r="H958" t="s">
        <v>2569</v>
      </c>
      <c r="I958" t="s">
        <v>230</v>
      </c>
      <c r="J958" t="s">
        <v>80</v>
      </c>
      <c r="K958" t="s">
        <v>822</v>
      </c>
      <c r="L958" t="s">
        <v>98</v>
      </c>
      <c r="M958" t="s">
        <v>54</v>
      </c>
      <c r="N958" t="s">
        <v>92</v>
      </c>
      <c r="O958" t="s">
        <v>93</v>
      </c>
      <c r="P958" t="s">
        <v>68</v>
      </c>
      <c r="Q958">
        <v>65</v>
      </c>
      <c r="R958">
        <v>270.14999999999998</v>
      </c>
      <c r="S958">
        <v>17559.75</v>
      </c>
      <c r="T958">
        <v>32.72</v>
      </c>
      <c r="U958">
        <v>4</v>
      </c>
      <c r="V958">
        <v>475</v>
      </c>
      <c r="W958" t="s">
        <v>36</v>
      </c>
      <c r="X958">
        <v>2530.2399999999998</v>
      </c>
    </row>
    <row r="959" spans="1:24" x14ac:dyDescent="0.25">
      <c r="A959" s="2">
        <v>100957</v>
      </c>
      <c r="B959" s="1">
        <v>45770</v>
      </c>
      <c r="C959" s="1">
        <v>45771</v>
      </c>
      <c r="D959" s="1">
        <v>45780</v>
      </c>
      <c r="E959" t="s">
        <v>2570</v>
      </c>
      <c r="F959" t="s">
        <v>38</v>
      </c>
      <c r="G959" t="s">
        <v>39</v>
      </c>
      <c r="H959" t="s">
        <v>2571</v>
      </c>
      <c r="I959" t="s">
        <v>144</v>
      </c>
      <c r="J959" t="s">
        <v>52</v>
      </c>
      <c r="K959" t="s">
        <v>2572</v>
      </c>
      <c r="L959" t="s">
        <v>212</v>
      </c>
      <c r="M959" t="s">
        <v>54</v>
      </c>
      <c r="N959" t="s">
        <v>92</v>
      </c>
      <c r="O959" t="s">
        <v>93</v>
      </c>
      <c r="P959" t="s">
        <v>35</v>
      </c>
      <c r="Q959">
        <v>137</v>
      </c>
      <c r="R959">
        <v>14.91</v>
      </c>
      <c r="S959">
        <v>2042.67</v>
      </c>
      <c r="T959">
        <v>16.36</v>
      </c>
      <c r="U959">
        <v>9</v>
      </c>
      <c r="V959">
        <v>1278</v>
      </c>
      <c r="W959" t="s">
        <v>36</v>
      </c>
      <c r="X959">
        <v>218.71</v>
      </c>
    </row>
    <row r="960" spans="1:24" x14ac:dyDescent="0.25">
      <c r="A960" s="2">
        <v>100958</v>
      </c>
      <c r="B960" s="1">
        <v>45682</v>
      </c>
      <c r="C960" s="1">
        <v>45682</v>
      </c>
      <c r="D960" s="1">
        <v>45696</v>
      </c>
      <c r="E960" t="s">
        <v>2573</v>
      </c>
      <c r="F960" t="s">
        <v>38</v>
      </c>
      <c r="G960" t="s">
        <v>217</v>
      </c>
      <c r="H960" t="s">
        <v>2574</v>
      </c>
      <c r="I960" t="s">
        <v>207</v>
      </c>
      <c r="J960" t="s">
        <v>80</v>
      </c>
      <c r="K960" t="s">
        <v>2575</v>
      </c>
      <c r="L960" t="s">
        <v>113</v>
      </c>
      <c r="M960" t="s">
        <v>38</v>
      </c>
      <c r="N960" t="s">
        <v>203</v>
      </c>
      <c r="O960" t="s">
        <v>204</v>
      </c>
      <c r="P960" t="s">
        <v>76</v>
      </c>
      <c r="Q960">
        <v>284</v>
      </c>
      <c r="R960">
        <v>297.93</v>
      </c>
      <c r="S960">
        <v>84612.12</v>
      </c>
      <c r="T960">
        <v>9.77</v>
      </c>
      <c r="U960">
        <v>14</v>
      </c>
      <c r="V960">
        <v>502</v>
      </c>
      <c r="W960" t="s">
        <v>36</v>
      </c>
      <c r="X960">
        <v>19115.580000000002</v>
      </c>
    </row>
    <row r="961" spans="1:24" x14ac:dyDescent="0.25">
      <c r="A961" s="2">
        <v>100959</v>
      </c>
      <c r="B961" s="1">
        <v>45467</v>
      </c>
      <c r="C961" s="1">
        <v>45472</v>
      </c>
      <c r="D961" s="1">
        <v>45479</v>
      </c>
      <c r="E961" t="s">
        <v>2576</v>
      </c>
      <c r="F961" t="s">
        <v>65</v>
      </c>
      <c r="G961" t="s">
        <v>154</v>
      </c>
      <c r="H961" t="s">
        <v>2577</v>
      </c>
      <c r="I961" t="s">
        <v>41</v>
      </c>
      <c r="J961" t="s">
        <v>42</v>
      </c>
      <c r="K961" t="s">
        <v>186</v>
      </c>
      <c r="L961" t="s">
        <v>212</v>
      </c>
      <c r="M961" t="s">
        <v>25</v>
      </c>
      <c r="N961" t="s">
        <v>66</v>
      </c>
      <c r="O961" t="s">
        <v>67</v>
      </c>
      <c r="P961" t="s">
        <v>68</v>
      </c>
      <c r="Q961">
        <v>151</v>
      </c>
      <c r="R961">
        <v>84.06</v>
      </c>
      <c r="S961">
        <v>12693.06</v>
      </c>
      <c r="T961">
        <v>38.299999999999997</v>
      </c>
      <c r="U961">
        <v>7</v>
      </c>
      <c r="V961">
        <v>1798</v>
      </c>
      <c r="W961" t="s">
        <v>36</v>
      </c>
      <c r="X961">
        <v>1717.9</v>
      </c>
    </row>
    <row r="962" spans="1:24" x14ac:dyDescent="0.25">
      <c r="A962" s="2">
        <v>100960</v>
      </c>
      <c r="B962" s="1">
        <v>45474</v>
      </c>
      <c r="C962" s="1">
        <v>45477</v>
      </c>
      <c r="D962" s="1">
        <v>45479</v>
      </c>
      <c r="E962" t="s">
        <v>2578</v>
      </c>
      <c r="F962" t="s">
        <v>65</v>
      </c>
      <c r="G962" t="s">
        <v>142</v>
      </c>
      <c r="H962" t="s">
        <v>2579</v>
      </c>
      <c r="I962" t="s">
        <v>198</v>
      </c>
      <c r="J962" t="s">
        <v>52</v>
      </c>
      <c r="K962" t="s">
        <v>2580</v>
      </c>
      <c r="L962" t="s">
        <v>64</v>
      </c>
      <c r="M962" t="s">
        <v>54</v>
      </c>
      <c r="N962" t="s">
        <v>33</v>
      </c>
      <c r="O962" t="s">
        <v>34</v>
      </c>
      <c r="P962" t="s">
        <v>68</v>
      </c>
      <c r="Q962">
        <v>276</v>
      </c>
      <c r="R962">
        <v>88.11</v>
      </c>
      <c r="S962">
        <v>24318.36</v>
      </c>
      <c r="T962">
        <v>46.4</v>
      </c>
      <c r="U962">
        <v>2</v>
      </c>
      <c r="V962">
        <v>438</v>
      </c>
      <c r="W962" t="s">
        <v>36</v>
      </c>
      <c r="X962">
        <v>2286.39</v>
      </c>
    </row>
    <row r="963" spans="1:24" x14ac:dyDescent="0.25">
      <c r="A963" s="2">
        <v>100961</v>
      </c>
      <c r="B963" s="1">
        <v>45537</v>
      </c>
      <c r="C963" s="1">
        <v>45538</v>
      </c>
      <c r="D963" s="1">
        <v>45549</v>
      </c>
      <c r="E963" t="s">
        <v>2581</v>
      </c>
      <c r="F963" t="s">
        <v>65</v>
      </c>
      <c r="G963" t="s">
        <v>154</v>
      </c>
      <c r="H963" t="s">
        <v>2582</v>
      </c>
      <c r="I963" t="s">
        <v>207</v>
      </c>
      <c r="J963" t="s">
        <v>80</v>
      </c>
      <c r="K963" t="s">
        <v>1013</v>
      </c>
      <c r="L963" t="s">
        <v>187</v>
      </c>
      <c r="M963" t="s">
        <v>32</v>
      </c>
      <c r="N963" t="s">
        <v>45</v>
      </c>
      <c r="O963" t="s">
        <v>46</v>
      </c>
      <c r="P963" t="s">
        <v>123</v>
      </c>
      <c r="Q963">
        <v>95</v>
      </c>
      <c r="R963">
        <v>252.57</v>
      </c>
      <c r="S963">
        <v>23994.15</v>
      </c>
      <c r="T963">
        <v>13</v>
      </c>
      <c r="U963">
        <v>11</v>
      </c>
      <c r="V963">
        <v>1707</v>
      </c>
      <c r="W963" t="s">
        <v>36</v>
      </c>
      <c r="X963">
        <v>3660.01</v>
      </c>
    </row>
    <row r="964" spans="1:24" x14ac:dyDescent="0.25">
      <c r="A964" s="2">
        <v>100962</v>
      </c>
      <c r="B964" s="1">
        <v>45676</v>
      </c>
      <c r="C964" s="1">
        <v>45679</v>
      </c>
      <c r="D964" s="1">
        <v>45694</v>
      </c>
      <c r="E964" t="s">
        <v>2583</v>
      </c>
      <c r="F964" t="s">
        <v>65</v>
      </c>
      <c r="G964" t="s">
        <v>142</v>
      </c>
      <c r="H964" t="s">
        <v>2584</v>
      </c>
      <c r="I964" t="s">
        <v>41</v>
      </c>
      <c r="J964" t="s">
        <v>42</v>
      </c>
      <c r="K964" t="s">
        <v>316</v>
      </c>
      <c r="L964" t="s">
        <v>98</v>
      </c>
      <c r="M964" t="s">
        <v>25</v>
      </c>
      <c r="N964" t="s">
        <v>74</v>
      </c>
      <c r="O964" t="s">
        <v>75</v>
      </c>
      <c r="P964" t="s">
        <v>76</v>
      </c>
      <c r="Q964">
        <v>187</v>
      </c>
      <c r="R964">
        <v>177.72</v>
      </c>
      <c r="S964">
        <v>33233.64</v>
      </c>
      <c r="T964">
        <v>11.43</v>
      </c>
      <c r="U964">
        <v>15</v>
      </c>
      <c r="V964">
        <v>835</v>
      </c>
      <c r="W964" t="s">
        <v>36</v>
      </c>
      <c r="X964">
        <v>5468.93</v>
      </c>
    </row>
    <row r="965" spans="1:24" x14ac:dyDescent="0.25">
      <c r="A965" s="2">
        <v>100963</v>
      </c>
      <c r="B965" s="1">
        <v>45721</v>
      </c>
      <c r="C965" s="1">
        <v>45725</v>
      </c>
      <c r="D965" s="1">
        <v>45749</v>
      </c>
      <c r="E965" t="s">
        <v>2585</v>
      </c>
      <c r="F965" t="s">
        <v>25</v>
      </c>
      <c r="G965" t="s">
        <v>221</v>
      </c>
      <c r="H965" t="s">
        <v>305</v>
      </c>
      <c r="I965" t="s">
        <v>246</v>
      </c>
      <c r="J965" t="s">
        <v>29</v>
      </c>
      <c r="K965" t="s">
        <v>2586</v>
      </c>
      <c r="L965" t="s">
        <v>113</v>
      </c>
      <c r="M965" t="s">
        <v>54</v>
      </c>
      <c r="N965" t="s">
        <v>55</v>
      </c>
      <c r="O965" t="s">
        <v>56</v>
      </c>
      <c r="P965" t="s">
        <v>76</v>
      </c>
      <c r="Q965">
        <v>421</v>
      </c>
      <c r="R965">
        <v>52.22</v>
      </c>
      <c r="S965">
        <v>21984.62</v>
      </c>
      <c r="T965">
        <v>15.69</v>
      </c>
      <c r="U965">
        <v>24</v>
      </c>
      <c r="V965">
        <v>3146</v>
      </c>
      <c r="W965" t="s">
        <v>57</v>
      </c>
      <c r="X965">
        <v>3392.17</v>
      </c>
    </row>
    <row r="966" spans="1:24" x14ac:dyDescent="0.25">
      <c r="A966" s="2">
        <v>100964</v>
      </c>
      <c r="B966" s="1">
        <v>45656</v>
      </c>
      <c r="C966" s="1">
        <v>45658</v>
      </c>
      <c r="D966" s="1">
        <v>45662</v>
      </c>
      <c r="E966" t="s">
        <v>2587</v>
      </c>
      <c r="F966" t="s">
        <v>65</v>
      </c>
      <c r="G966" t="s">
        <v>70</v>
      </c>
      <c r="H966" t="s">
        <v>2588</v>
      </c>
      <c r="I966" t="s">
        <v>79</v>
      </c>
      <c r="J966" t="s">
        <v>80</v>
      </c>
      <c r="K966" t="s">
        <v>683</v>
      </c>
      <c r="L966" t="s">
        <v>187</v>
      </c>
      <c r="M966" t="s">
        <v>65</v>
      </c>
      <c r="N966" t="s">
        <v>203</v>
      </c>
      <c r="O966" t="s">
        <v>204</v>
      </c>
      <c r="P966" t="s">
        <v>123</v>
      </c>
      <c r="Q966">
        <v>232</v>
      </c>
      <c r="R966">
        <v>128.63999999999999</v>
      </c>
      <c r="S966">
        <v>29844.48</v>
      </c>
      <c r="T966">
        <v>12.1</v>
      </c>
      <c r="U966">
        <v>4</v>
      </c>
      <c r="V966">
        <v>1262</v>
      </c>
      <c r="W966" t="s">
        <v>36</v>
      </c>
      <c r="X966">
        <v>7939.31</v>
      </c>
    </row>
    <row r="967" spans="1:24" x14ac:dyDescent="0.25">
      <c r="A967" s="2">
        <v>100965</v>
      </c>
      <c r="B967" s="1">
        <v>45733</v>
      </c>
      <c r="C967" s="1">
        <v>45737</v>
      </c>
      <c r="D967" s="1">
        <v>45748</v>
      </c>
      <c r="E967" t="s">
        <v>2589</v>
      </c>
      <c r="F967" t="s">
        <v>65</v>
      </c>
      <c r="G967" t="s">
        <v>142</v>
      </c>
      <c r="H967" t="s">
        <v>2590</v>
      </c>
      <c r="I967" t="s">
        <v>72</v>
      </c>
      <c r="J967" t="s">
        <v>42</v>
      </c>
      <c r="K967" t="s">
        <v>861</v>
      </c>
      <c r="L967" t="s">
        <v>44</v>
      </c>
      <c r="M967" t="s">
        <v>32</v>
      </c>
      <c r="N967" t="s">
        <v>74</v>
      </c>
      <c r="O967" t="s">
        <v>75</v>
      </c>
      <c r="P967" t="s">
        <v>123</v>
      </c>
      <c r="Q967">
        <v>100</v>
      </c>
      <c r="R967">
        <v>297.77999999999997</v>
      </c>
      <c r="S967">
        <v>29778</v>
      </c>
      <c r="T967">
        <v>13.12</v>
      </c>
      <c r="U967">
        <v>11</v>
      </c>
      <c r="V967">
        <v>792</v>
      </c>
      <c r="W967" t="s">
        <v>36</v>
      </c>
      <c r="X967">
        <v>2498.75</v>
      </c>
    </row>
    <row r="968" spans="1:24" x14ac:dyDescent="0.25">
      <c r="A968" s="2">
        <v>100966</v>
      </c>
      <c r="B968" s="1">
        <v>45558</v>
      </c>
      <c r="C968" s="1">
        <v>45563</v>
      </c>
      <c r="D968" s="1">
        <v>45568</v>
      </c>
      <c r="E968" t="s">
        <v>2591</v>
      </c>
      <c r="F968" t="s">
        <v>38</v>
      </c>
      <c r="G968" t="s">
        <v>83</v>
      </c>
      <c r="H968" t="s">
        <v>2592</v>
      </c>
      <c r="I968" t="s">
        <v>116</v>
      </c>
      <c r="J968" t="s">
        <v>62</v>
      </c>
      <c r="K968" t="s">
        <v>1371</v>
      </c>
      <c r="L968" t="s">
        <v>98</v>
      </c>
      <c r="M968" t="s">
        <v>65</v>
      </c>
      <c r="N968" t="s">
        <v>203</v>
      </c>
      <c r="O968" t="s">
        <v>204</v>
      </c>
      <c r="P968" t="s">
        <v>123</v>
      </c>
      <c r="Q968">
        <v>142</v>
      </c>
      <c r="R968">
        <v>31.47</v>
      </c>
      <c r="S968">
        <v>4468.74</v>
      </c>
      <c r="T968">
        <v>14.14</v>
      </c>
      <c r="U968">
        <v>5</v>
      </c>
      <c r="V968">
        <v>811</v>
      </c>
      <c r="W968" t="s">
        <v>36</v>
      </c>
      <c r="X968">
        <v>658.54</v>
      </c>
    </row>
    <row r="969" spans="1:24" x14ac:dyDescent="0.25">
      <c r="A969" s="2">
        <v>100967</v>
      </c>
      <c r="B969" s="1">
        <v>45696</v>
      </c>
      <c r="C969" s="1">
        <v>45698</v>
      </c>
      <c r="D969" s="1">
        <v>45721</v>
      </c>
      <c r="E969" t="s">
        <v>2593</v>
      </c>
      <c r="F969" t="s">
        <v>54</v>
      </c>
      <c r="G969" t="s">
        <v>158</v>
      </c>
      <c r="H969" t="s">
        <v>2594</v>
      </c>
      <c r="I969" t="s">
        <v>85</v>
      </c>
      <c r="J969" t="s">
        <v>52</v>
      </c>
      <c r="K969" t="s">
        <v>2595</v>
      </c>
      <c r="L969" t="s">
        <v>98</v>
      </c>
      <c r="M969" t="s">
        <v>65</v>
      </c>
      <c r="N969" t="s">
        <v>151</v>
      </c>
      <c r="O969" t="s">
        <v>152</v>
      </c>
      <c r="P969" t="s">
        <v>76</v>
      </c>
      <c r="Q969">
        <v>242</v>
      </c>
      <c r="R969">
        <v>81.56</v>
      </c>
      <c r="S969">
        <v>19737.52</v>
      </c>
      <c r="T969">
        <v>12.43</v>
      </c>
      <c r="U969">
        <v>23</v>
      </c>
      <c r="V969">
        <v>3007</v>
      </c>
      <c r="W969" t="s">
        <v>47</v>
      </c>
      <c r="X969">
        <v>-97.84</v>
      </c>
    </row>
    <row r="970" spans="1:24" x14ac:dyDescent="0.25">
      <c r="A970" s="2">
        <v>100968</v>
      </c>
      <c r="B970" s="1">
        <v>45798</v>
      </c>
      <c r="C970" s="1">
        <v>45798</v>
      </c>
      <c r="D970" s="1">
        <v>45805</v>
      </c>
      <c r="E970" t="s">
        <v>2596</v>
      </c>
      <c r="F970" t="s">
        <v>38</v>
      </c>
      <c r="G970" t="s">
        <v>39</v>
      </c>
      <c r="H970" t="s">
        <v>2597</v>
      </c>
      <c r="I970" t="s">
        <v>116</v>
      </c>
      <c r="J970" t="s">
        <v>62</v>
      </c>
      <c r="K970" t="s">
        <v>2598</v>
      </c>
      <c r="L970" t="s">
        <v>44</v>
      </c>
      <c r="M970" t="s">
        <v>38</v>
      </c>
      <c r="N970" t="s">
        <v>33</v>
      </c>
      <c r="O970" t="s">
        <v>34</v>
      </c>
      <c r="P970" t="s">
        <v>68</v>
      </c>
      <c r="Q970">
        <v>45</v>
      </c>
      <c r="R970">
        <v>45.27</v>
      </c>
      <c r="S970">
        <v>2037.15</v>
      </c>
      <c r="T970">
        <v>23.28</v>
      </c>
      <c r="U970">
        <v>7</v>
      </c>
      <c r="V970">
        <v>1400</v>
      </c>
      <c r="W970" t="s">
        <v>36</v>
      </c>
      <c r="X970">
        <v>148.62</v>
      </c>
    </row>
    <row r="971" spans="1:24" x14ac:dyDescent="0.25">
      <c r="A971" s="2">
        <v>100969</v>
      </c>
      <c r="B971" s="1">
        <v>45413</v>
      </c>
      <c r="C971" s="1">
        <v>45416</v>
      </c>
      <c r="D971" s="1">
        <v>45419</v>
      </c>
      <c r="E971" t="s">
        <v>2599</v>
      </c>
      <c r="F971" t="s">
        <v>65</v>
      </c>
      <c r="G971" t="s">
        <v>70</v>
      </c>
      <c r="H971" t="s">
        <v>2600</v>
      </c>
      <c r="I971" t="s">
        <v>144</v>
      </c>
      <c r="J971" t="s">
        <v>52</v>
      </c>
      <c r="K971" t="s">
        <v>1102</v>
      </c>
      <c r="L971" t="s">
        <v>113</v>
      </c>
      <c r="M971" t="s">
        <v>54</v>
      </c>
      <c r="N971" t="s">
        <v>45</v>
      </c>
      <c r="O971" t="s">
        <v>46</v>
      </c>
      <c r="P971" t="s">
        <v>68</v>
      </c>
      <c r="Q971">
        <v>123</v>
      </c>
      <c r="R971">
        <v>28.12</v>
      </c>
      <c r="S971">
        <v>3458.76</v>
      </c>
      <c r="T971">
        <v>36.479999999999997</v>
      </c>
      <c r="U971">
        <v>3</v>
      </c>
      <c r="V971">
        <v>1517</v>
      </c>
      <c r="W971" t="s">
        <v>36</v>
      </c>
      <c r="X971">
        <v>229.65</v>
      </c>
    </row>
    <row r="972" spans="1:24" x14ac:dyDescent="0.25">
      <c r="A972" s="2">
        <v>100970</v>
      </c>
      <c r="B972" s="1">
        <v>45341</v>
      </c>
      <c r="C972" s="1">
        <v>45344</v>
      </c>
      <c r="D972" s="1">
        <v>45347</v>
      </c>
      <c r="E972" t="s">
        <v>2601</v>
      </c>
      <c r="F972" t="s">
        <v>25</v>
      </c>
      <c r="G972" t="s">
        <v>26</v>
      </c>
      <c r="H972" t="s">
        <v>2602</v>
      </c>
      <c r="I972" t="s">
        <v>368</v>
      </c>
      <c r="J972" t="s">
        <v>29</v>
      </c>
      <c r="K972" t="s">
        <v>2427</v>
      </c>
      <c r="L972" t="s">
        <v>98</v>
      </c>
      <c r="M972" t="s">
        <v>54</v>
      </c>
      <c r="N972" t="s">
        <v>102</v>
      </c>
      <c r="O972" t="s">
        <v>103</v>
      </c>
      <c r="P972" t="s">
        <v>68</v>
      </c>
      <c r="Q972">
        <v>347</v>
      </c>
      <c r="R972">
        <v>14.66</v>
      </c>
      <c r="S972">
        <v>5087.0200000000004</v>
      </c>
      <c r="T972">
        <v>51</v>
      </c>
      <c r="U972">
        <v>3</v>
      </c>
      <c r="V972">
        <v>1493</v>
      </c>
      <c r="W972" t="s">
        <v>36</v>
      </c>
      <c r="X972">
        <v>771.87</v>
      </c>
    </row>
    <row r="973" spans="1:24" x14ac:dyDescent="0.25">
      <c r="A973" s="2">
        <v>100971</v>
      </c>
      <c r="B973" s="1">
        <v>45805</v>
      </c>
      <c r="C973" s="1">
        <v>45808</v>
      </c>
      <c r="D973" s="1">
        <v>45812</v>
      </c>
      <c r="E973" t="s">
        <v>2603</v>
      </c>
      <c r="F973" t="s">
        <v>32</v>
      </c>
      <c r="G973" t="s">
        <v>137</v>
      </c>
      <c r="H973" t="s">
        <v>2604</v>
      </c>
      <c r="I973" t="s">
        <v>207</v>
      </c>
      <c r="J973" t="s">
        <v>80</v>
      </c>
      <c r="K973" t="s">
        <v>965</v>
      </c>
      <c r="L973" t="s">
        <v>212</v>
      </c>
      <c r="M973" t="s">
        <v>38</v>
      </c>
      <c r="N973" t="s">
        <v>92</v>
      </c>
      <c r="O973" t="s">
        <v>93</v>
      </c>
      <c r="P973" t="s">
        <v>68</v>
      </c>
      <c r="Q973">
        <v>98</v>
      </c>
      <c r="R973">
        <v>335.82</v>
      </c>
      <c r="S973">
        <v>32910.36</v>
      </c>
      <c r="T973">
        <v>34.86</v>
      </c>
      <c r="U973">
        <v>4</v>
      </c>
      <c r="V973">
        <v>1037</v>
      </c>
      <c r="W973" t="s">
        <v>57</v>
      </c>
      <c r="X973">
        <v>4483.92</v>
      </c>
    </row>
    <row r="974" spans="1:24" x14ac:dyDescent="0.25">
      <c r="A974" s="2">
        <v>100972</v>
      </c>
      <c r="B974" s="1">
        <v>45307</v>
      </c>
      <c r="C974" s="1">
        <v>45308</v>
      </c>
      <c r="D974" s="1">
        <v>45328</v>
      </c>
      <c r="E974" t="s">
        <v>2605</v>
      </c>
      <c r="F974" t="s">
        <v>25</v>
      </c>
      <c r="G974" t="s">
        <v>26</v>
      </c>
      <c r="H974" t="s">
        <v>2606</v>
      </c>
      <c r="I974" t="s">
        <v>85</v>
      </c>
      <c r="J974" t="s">
        <v>52</v>
      </c>
      <c r="K974" t="s">
        <v>1683</v>
      </c>
      <c r="L974" t="s">
        <v>212</v>
      </c>
      <c r="M974" t="s">
        <v>54</v>
      </c>
      <c r="N974" t="s">
        <v>45</v>
      </c>
      <c r="O974" t="s">
        <v>46</v>
      </c>
      <c r="P974" t="s">
        <v>76</v>
      </c>
      <c r="Q974">
        <v>408</v>
      </c>
      <c r="R974">
        <v>18.71</v>
      </c>
      <c r="S974">
        <v>7633.68</v>
      </c>
      <c r="T974">
        <v>15.45</v>
      </c>
      <c r="U974">
        <v>20</v>
      </c>
      <c r="V974">
        <v>1839</v>
      </c>
      <c r="W974" t="s">
        <v>36</v>
      </c>
      <c r="X974">
        <v>623.63</v>
      </c>
    </row>
    <row r="975" spans="1:24" x14ac:dyDescent="0.25">
      <c r="A975" s="2">
        <v>100973</v>
      </c>
      <c r="B975" s="1">
        <v>45325</v>
      </c>
      <c r="C975" s="1">
        <v>45327</v>
      </c>
      <c r="D975" s="1">
        <v>45337</v>
      </c>
      <c r="E975" t="s">
        <v>2607</v>
      </c>
      <c r="F975" t="s">
        <v>65</v>
      </c>
      <c r="G975" t="s">
        <v>142</v>
      </c>
      <c r="H975" t="s">
        <v>2608</v>
      </c>
      <c r="I975" t="s">
        <v>144</v>
      </c>
      <c r="J975" t="s">
        <v>52</v>
      </c>
      <c r="K975" t="s">
        <v>1924</v>
      </c>
      <c r="L975" t="s">
        <v>91</v>
      </c>
      <c r="M975" t="s">
        <v>38</v>
      </c>
      <c r="N975" t="s">
        <v>151</v>
      </c>
      <c r="O975" t="s">
        <v>152</v>
      </c>
      <c r="P975" t="s">
        <v>123</v>
      </c>
      <c r="Q975">
        <v>311</v>
      </c>
      <c r="R975">
        <v>75.760000000000005</v>
      </c>
      <c r="S975">
        <v>23561.360000000001</v>
      </c>
      <c r="T975">
        <v>18.25</v>
      </c>
      <c r="U975">
        <v>10</v>
      </c>
      <c r="V975">
        <v>3144</v>
      </c>
      <c r="W975" t="s">
        <v>36</v>
      </c>
      <c r="X975">
        <v>3866.32</v>
      </c>
    </row>
    <row r="976" spans="1:24" x14ac:dyDescent="0.25">
      <c r="A976" s="2">
        <v>100974</v>
      </c>
      <c r="B976" s="1">
        <v>45981</v>
      </c>
      <c r="C976" s="1">
        <v>45982</v>
      </c>
      <c r="D976" s="1">
        <v>45999</v>
      </c>
      <c r="E976" t="s">
        <v>2609</v>
      </c>
      <c r="F976" t="s">
        <v>65</v>
      </c>
      <c r="G976" t="s">
        <v>154</v>
      </c>
      <c r="H976" t="s">
        <v>2610</v>
      </c>
      <c r="I976" t="s">
        <v>191</v>
      </c>
      <c r="J976" t="s">
        <v>62</v>
      </c>
      <c r="K976" t="s">
        <v>1880</v>
      </c>
      <c r="L976" t="s">
        <v>122</v>
      </c>
      <c r="M976" t="s">
        <v>65</v>
      </c>
      <c r="N976" t="s">
        <v>203</v>
      </c>
      <c r="O976" t="s">
        <v>204</v>
      </c>
      <c r="P976" t="s">
        <v>76</v>
      </c>
      <c r="Q976">
        <v>275</v>
      </c>
      <c r="R976">
        <v>12.64</v>
      </c>
      <c r="S976">
        <v>3476</v>
      </c>
      <c r="T976">
        <v>9.65</v>
      </c>
      <c r="U976">
        <v>17</v>
      </c>
      <c r="V976">
        <v>827</v>
      </c>
      <c r="W976" t="s">
        <v>36</v>
      </c>
      <c r="X976">
        <v>594.16</v>
      </c>
    </row>
    <row r="977" spans="1:24" x14ac:dyDescent="0.25">
      <c r="A977" s="2">
        <v>100975</v>
      </c>
      <c r="B977" s="1">
        <v>45321</v>
      </c>
      <c r="C977" s="1">
        <v>45321</v>
      </c>
      <c r="D977" s="1">
        <v>45329</v>
      </c>
      <c r="E977" t="s">
        <v>2553</v>
      </c>
      <c r="F977" t="s">
        <v>65</v>
      </c>
      <c r="G977" t="s">
        <v>70</v>
      </c>
      <c r="H977" t="s">
        <v>2611</v>
      </c>
      <c r="I977" t="s">
        <v>61</v>
      </c>
      <c r="J977" t="s">
        <v>62</v>
      </c>
      <c r="K977" t="s">
        <v>2197</v>
      </c>
      <c r="L977" t="s">
        <v>98</v>
      </c>
      <c r="M977" t="s">
        <v>65</v>
      </c>
      <c r="N977" t="s">
        <v>66</v>
      </c>
      <c r="O977" t="s">
        <v>67</v>
      </c>
      <c r="P977" t="s">
        <v>123</v>
      </c>
      <c r="Q977">
        <v>201</v>
      </c>
      <c r="R977">
        <v>23.18</v>
      </c>
      <c r="S977">
        <v>4659.18</v>
      </c>
      <c r="T977">
        <v>11.54</v>
      </c>
      <c r="U977">
        <v>8</v>
      </c>
      <c r="V977">
        <v>2438</v>
      </c>
      <c r="W977" t="s">
        <v>36</v>
      </c>
      <c r="X977">
        <v>288.37</v>
      </c>
    </row>
    <row r="978" spans="1:24" x14ac:dyDescent="0.25">
      <c r="A978" s="2">
        <v>100976</v>
      </c>
      <c r="B978" s="1">
        <v>45914</v>
      </c>
      <c r="C978" s="1">
        <v>45919</v>
      </c>
      <c r="D978" s="1">
        <v>45921</v>
      </c>
      <c r="E978" t="s">
        <v>2612</v>
      </c>
      <c r="F978" t="s">
        <v>38</v>
      </c>
      <c r="G978" t="s">
        <v>49</v>
      </c>
      <c r="H978" t="s">
        <v>2613</v>
      </c>
      <c r="I978" t="s">
        <v>230</v>
      </c>
      <c r="J978" t="s">
        <v>80</v>
      </c>
      <c r="K978" t="s">
        <v>353</v>
      </c>
      <c r="L978" t="s">
        <v>44</v>
      </c>
      <c r="M978" t="s">
        <v>32</v>
      </c>
      <c r="N978" t="s">
        <v>45</v>
      </c>
      <c r="O978" t="s">
        <v>46</v>
      </c>
      <c r="P978" t="s">
        <v>68</v>
      </c>
      <c r="Q978">
        <v>287</v>
      </c>
      <c r="R978">
        <v>273.27</v>
      </c>
      <c r="S978">
        <v>78428.490000000005</v>
      </c>
      <c r="T978">
        <v>47.11</v>
      </c>
      <c r="U978">
        <v>2</v>
      </c>
      <c r="V978">
        <v>1684</v>
      </c>
      <c r="W978" t="s">
        <v>36</v>
      </c>
      <c r="X978">
        <v>14630.59</v>
      </c>
    </row>
    <row r="979" spans="1:24" x14ac:dyDescent="0.25">
      <c r="A979" s="2">
        <v>100977</v>
      </c>
      <c r="B979" s="1">
        <v>45408</v>
      </c>
      <c r="C979" s="1">
        <v>45408</v>
      </c>
      <c r="D979" s="1">
        <v>45417</v>
      </c>
      <c r="E979" t="s">
        <v>2614</v>
      </c>
      <c r="F979" t="s">
        <v>32</v>
      </c>
      <c r="G979" t="s">
        <v>180</v>
      </c>
      <c r="H979" t="s">
        <v>2615</v>
      </c>
      <c r="I979" t="s">
        <v>177</v>
      </c>
      <c r="J979" t="s">
        <v>29</v>
      </c>
      <c r="K979" t="s">
        <v>1071</v>
      </c>
      <c r="L979" t="s">
        <v>113</v>
      </c>
      <c r="M979" t="s">
        <v>38</v>
      </c>
      <c r="N979" t="s">
        <v>203</v>
      </c>
      <c r="O979" t="s">
        <v>204</v>
      </c>
      <c r="P979" t="s">
        <v>35</v>
      </c>
      <c r="Q979">
        <v>302</v>
      </c>
      <c r="R979">
        <v>57.64</v>
      </c>
      <c r="S979">
        <v>17407.28</v>
      </c>
      <c r="T979">
        <v>21.04</v>
      </c>
      <c r="U979">
        <v>9</v>
      </c>
      <c r="V979">
        <v>1825</v>
      </c>
      <c r="W979" t="s">
        <v>36</v>
      </c>
      <c r="X979">
        <v>4793.7299999999996</v>
      </c>
    </row>
    <row r="980" spans="1:24" x14ac:dyDescent="0.25">
      <c r="A980" s="2">
        <v>100978</v>
      </c>
      <c r="B980" s="1">
        <v>45373</v>
      </c>
      <c r="C980" s="1">
        <v>45376</v>
      </c>
      <c r="D980" s="1">
        <v>45381</v>
      </c>
      <c r="E980" t="s">
        <v>1006</v>
      </c>
      <c r="F980" t="s">
        <v>25</v>
      </c>
      <c r="G980" t="s">
        <v>244</v>
      </c>
      <c r="H980" t="s">
        <v>2616</v>
      </c>
      <c r="I980" t="s">
        <v>238</v>
      </c>
      <c r="J980" t="s">
        <v>62</v>
      </c>
      <c r="K980" t="s">
        <v>1424</v>
      </c>
      <c r="L980" t="s">
        <v>122</v>
      </c>
      <c r="M980" t="s">
        <v>25</v>
      </c>
      <c r="N980" t="s">
        <v>107</v>
      </c>
      <c r="O980" t="s">
        <v>108</v>
      </c>
      <c r="P980" t="s">
        <v>123</v>
      </c>
      <c r="Q980">
        <v>287</v>
      </c>
      <c r="R980">
        <v>35.99</v>
      </c>
      <c r="S980">
        <v>10329.129999999999</v>
      </c>
      <c r="T980">
        <v>13.09</v>
      </c>
      <c r="U980">
        <v>5</v>
      </c>
      <c r="V980">
        <v>2912</v>
      </c>
      <c r="W980" t="s">
        <v>36</v>
      </c>
      <c r="X980">
        <v>1306.54</v>
      </c>
    </row>
    <row r="981" spans="1:24" x14ac:dyDescent="0.25">
      <c r="A981" s="2">
        <v>100979</v>
      </c>
      <c r="B981" s="1">
        <v>45578</v>
      </c>
      <c r="C981" s="1">
        <v>45579</v>
      </c>
      <c r="D981" s="1">
        <v>45582</v>
      </c>
      <c r="E981" t="s">
        <v>2617</v>
      </c>
      <c r="F981" t="s">
        <v>38</v>
      </c>
      <c r="G981" t="s">
        <v>49</v>
      </c>
      <c r="H981" t="s">
        <v>2618</v>
      </c>
      <c r="I981" t="s">
        <v>72</v>
      </c>
      <c r="J981" t="s">
        <v>42</v>
      </c>
      <c r="K981" t="s">
        <v>1429</v>
      </c>
      <c r="L981" t="s">
        <v>187</v>
      </c>
      <c r="M981" t="s">
        <v>25</v>
      </c>
      <c r="N981" t="s">
        <v>33</v>
      </c>
      <c r="O981" t="s">
        <v>34</v>
      </c>
      <c r="P981" t="s">
        <v>68</v>
      </c>
      <c r="Q981">
        <v>262</v>
      </c>
      <c r="R981">
        <v>233.59</v>
      </c>
      <c r="S981">
        <v>61200.58</v>
      </c>
      <c r="T981">
        <v>45.49</v>
      </c>
      <c r="U981">
        <v>3</v>
      </c>
      <c r="V981">
        <v>1096</v>
      </c>
      <c r="W981" t="s">
        <v>36</v>
      </c>
      <c r="X981">
        <v>10745.26</v>
      </c>
    </row>
    <row r="982" spans="1:24" x14ac:dyDescent="0.25">
      <c r="A982" s="2">
        <v>100980</v>
      </c>
      <c r="B982" s="1">
        <v>45400</v>
      </c>
      <c r="C982" s="1">
        <v>45400</v>
      </c>
      <c r="D982" s="1">
        <v>45402</v>
      </c>
      <c r="E982" t="s">
        <v>2619</v>
      </c>
      <c r="F982" t="s">
        <v>38</v>
      </c>
      <c r="G982" t="s">
        <v>83</v>
      </c>
      <c r="H982" t="s">
        <v>2620</v>
      </c>
      <c r="I982" t="s">
        <v>72</v>
      </c>
      <c r="J982" t="s">
        <v>42</v>
      </c>
      <c r="K982" t="s">
        <v>2621</v>
      </c>
      <c r="L982" t="s">
        <v>64</v>
      </c>
      <c r="M982" t="s">
        <v>25</v>
      </c>
      <c r="N982" t="s">
        <v>203</v>
      </c>
      <c r="O982" t="s">
        <v>204</v>
      </c>
      <c r="P982" t="s">
        <v>68</v>
      </c>
      <c r="Q982">
        <v>195</v>
      </c>
      <c r="R982">
        <v>134.83000000000001</v>
      </c>
      <c r="S982">
        <v>26291.85</v>
      </c>
      <c r="T982">
        <v>41.15</v>
      </c>
      <c r="U982">
        <v>2</v>
      </c>
      <c r="V982">
        <v>303</v>
      </c>
      <c r="W982" t="s">
        <v>36</v>
      </c>
      <c r="X982">
        <v>5173.7700000000004</v>
      </c>
    </row>
    <row r="983" spans="1:24" x14ac:dyDescent="0.25">
      <c r="A983" s="2">
        <v>100981</v>
      </c>
      <c r="B983" s="1">
        <v>45521</v>
      </c>
      <c r="C983" s="1">
        <v>45526</v>
      </c>
      <c r="D983" s="1">
        <v>45544</v>
      </c>
      <c r="E983" t="s">
        <v>2622</v>
      </c>
      <c r="F983" t="s">
        <v>32</v>
      </c>
      <c r="G983" t="s">
        <v>364</v>
      </c>
      <c r="H983" t="s">
        <v>2623</v>
      </c>
      <c r="I983" t="s">
        <v>144</v>
      </c>
      <c r="J983" t="s">
        <v>52</v>
      </c>
      <c r="K983" t="s">
        <v>1643</v>
      </c>
      <c r="L983" t="s">
        <v>44</v>
      </c>
      <c r="M983" t="s">
        <v>38</v>
      </c>
      <c r="N983" t="s">
        <v>55</v>
      </c>
      <c r="O983" t="s">
        <v>56</v>
      </c>
      <c r="P983" t="s">
        <v>76</v>
      </c>
      <c r="Q983">
        <v>372</v>
      </c>
      <c r="R983">
        <v>56.75</v>
      </c>
      <c r="S983">
        <v>21111</v>
      </c>
      <c r="T983">
        <v>14.8</v>
      </c>
      <c r="U983">
        <v>18</v>
      </c>
      <c r="V983">
        <v>4051</v>
      </c>
      <c r="W983" t="s">
        <v>36</v>
      </c>
      <c r="X983">
        <v>2176.84</v>
      </c>
    </row>
    <row r="984" spans="1:24" x14ac:dyDescent="0.25">
      <c r="A984" s="2">
        <v>100982</v>
      </c>
      <c r="B984" s="1">
        <v>45599</v>
      </c>
      <c r="C984" s="1">
        <v>45604</v>
      </c>
      <c r="D984" s="1">
        <v>45608</v>
      </c>
      <c r="E984" t="s">
        <v>2624</v>
      </c>
      <c r="F984" t="s">
        <v>54</v>
      </c>
      <c r="G984" t="s">
        <v>158</v>
      </c>
      <c r="H984" t="s">
        <v>2625</v>
      </c>
      <c r="I984" t="s">
        <v>116</v>
      </c>
      <c r="J984" t="s">
        <v>62</v>
      </c>
      <c r="K984" t="s">
        <v>2626</v>
      </c>
      <c r="L984" t="s">
        <v>44</v>
      </c>
      <c r="M984" t="s">
        <v>65</v>
      </c>
      <c r="N984" t="s">
        <v>74</v>
      </c>
      <c r="O984" t="s">
        <v>75</v>
      </c>
      <c r="P984" t="s">
        <v>68</v>
      </c>
      <c r="Q984">
        <v>333</v>
      </c>
      <c r="R984">
        <v>21.65</v>
      </c>
      <c r="S984">
        <v>7209.45</v>
      </c>
      <c r="T984">
        <v>50.09</v>
      </c>
      <c r="U984">
        <v>4</v>
      </c>
      <c r="V984">
        <v>3967</v>
      </c>
      <c r="W984" t="s">
        <v>36</v>
      </c>
      <c r="X984">
        <v>1212.8900000000001</v>
      </c>
    </row>
    <row r="985" spans="1:24" x14ac:dyDescent="0.25">
      <c r="A985" s="2">
        <v>100983</v>
      </c>
      <c r="B985" s="1">
        <v>45739</v>
      </c>
      <c r="C985" s="1">
        <v>45740</v>
      </c>
      <c r="D985" s="1">
        <v>45747</v>
      </c>
      <c r="E985" t="s">
        <v>2627</v>
      </c>
      <c r="F985" t="s">
        <v>32</v>
      </c>
      <c r="G985" t="s">
        <v>137</v>
      </c>
      <c r="H985" t="s">
        <v>2628</v>
      </c>
      <c r="I985" t="s">
        <v>191</v>
      </c>
      <c r="J985" t="s">
        <v>62</v>
      </c>
      <c r="K985" t="s">
        <v>1755</v>
      </c>
      <c r="L985" t="s">
        <v>44</v>
      </c>
      <c r="M985" t="s">
        <v>32</v>
      </c>
      <c r="N985" t="s">
        <v>45</v>
      </c>
      <c r="O985" t="s">
        <v>46</v>
      </c>
      <c r="P985" t="s">
        <v>123</v>
      </c>
      <c r="Q985">
        <v>327</v>
      </c>
      <c r="R985">
        <v>29.94</v>
      </c>
      <c r="S985">
        <v>9790.3799999999992</v>
      </c>
      <c r="T985">
        <v>13.81</v>
      </c>
      <c r="U985">
        <v>7</v>
      </c>
      <c r="V985">
        <v>2948</v>
      </c>
      <c r="W985" t="s">
        <v>36</v>
      </c>
      <c r="X985">
        <v>1527.46</v>
      </c>
    </row>
    <row r="986" spans="1:24" x14ac:dyDescent="0.25">
      <c r="A986" s="2">
        <v>100984</v>
      </c>
      <c r="B986" s="1">
        <v>45378</v>
      </c>
      <c r="C986" s="1">
        <v>45378</v>
      </c>
      <c r="D986" s="1">
        <v>45383</v>
      </c>
      <c r="E986" t="s">
        <v>2629</v>
      </c>
      <c r="F986" t="s">
        <v>54</v>
      </c>
      <c r="G986" t="s">
        <v>129</v>
      </c>
      <c r="H986" t="s">
        <v>2630</v>
      </c>
      <c r="I986" t="s">
        <v>368</v>
      </c>
      <c r="J986" t="s">
        <v>29</v>
      </c>
      <c r="K986" t="s">
        <v>2631</v>
      </c>
      <c r="L986" t="s">
        <v>187</v>
      </c>
      <c r="M986" t="s">
        <v>54</v>
      </c>
      <c r="N986" t="s">
        <v>102</v>
      </c>
      <c r="O986" t="s">
        <v>103</v>
      </c>
      <c r="P986" t="s">
        <v>68</v>
      </c>
      <c r="Q986">
        <v>279</v>
      </c>
      <c r="R986">
        <v>61.68</v>
      </c>
      <c r="S986">
        <v>17208.72</v>
      </c>
      <c r="T986">
        <v>34.51</v>
      </c>
      <c r="U986">
        <v>5</v>
      </c>
      <c r="V986">
        <v>2274</v>
      </c>
      <c r="W986" t="s">
        <v>36</v>
      </c>
      <c r="X986">
        <v>1965.79</v>
      </c>
    </row>
    <row r="987" spans="1:24" x14ac:dyDescent="0.25">
      <c r="A987" s="2">
        <v>100985</v>
      </c>
      <c r="B987" s="1">
        <v>45940</v>
      </c>
      <c r="C987" s="1">
        <v>45943</v>
      </c>
      <c r="D987" s="1">
        <v>45945</v>
      </c>
      <c r="E987" t="s">
        <v>2632</v>
      </c>
      <c r="F987" t="s">
        <v>25</v>
      </c>
      <c r="G987" t="s">
        <v>169</v>
      </c>
      <c r="H987" t="s">
        <v>2633</v>
      </c>
      <c r="I987" t="s">
        <v>51</v>
      </c>
      <c r="J987" t="s">
        <v>52</v>
      </c>
      <c r="K987" t="s">
        <v>685</v>
      </c>
      <c r="L987" t="s">
        <v>113</v>
      </c>
      <c r="M987" t="s">
        <v>32</v>
      </c>
      <c r="N987" t="s">
        <v>107</v>
      </c>
      <c r="O987" t="s">
        <v>108</v>
      </c>
      <c r="P987" t="s">
        <v>68</v>
      </c>
      <c r="Q987">
        <v>320</v>
      </c>
      <c r="R987">
        <v>60.89</v>
      </c>
      <c r="S987">
        <v>19484.8</v>
      </c>
      <c r="T987">
        <v>49.25</v>
      </c>
      <c r="U987">
        <v>2</v>
      </c>
      <c r="V987">
        <v>2893</v>
      </c>
      <c r="W987" t="s">
        <v>36</v>
      </c>
      <c r="X987">
        <v>1463.1</v>
      </c>
    </row>
    <row r="988" spans="1:24" x14ac:dyDescent="0.25">
      <c r="A988" s="2">
        <v>100986</v>
      </c>
      <c r="B988" s="1">
        <v>45544</v>
      </c>
      <c r="C988" s="1">
        <v>45544</v>
      </c>
      <c r="D988" s="1">
        <v>45568</v>
      </c>
      <c r="E988" t="s">
        <v>2524</v>
      </c>
      <c r="F988" t="s">
        <v>65</v>
      </c>
      <c r="G988" t="s">
        <v>154</v>
      </c>
      <c r="H988" t="s">
        <v>2634</v>
      </c>
      <c r="I988" t="s">
        <v>278</v>
      </c>
      <c r="J988" t="s">
        <v>29</v>
      </c>
      <c r="K988" t="s">
        <v>2635</v>
      </c>
      <c r="L988" t="s">
        <v>187</v>
      </c>
      <c r="M988" t="s">
        <v>38</v>
      </c>
      <c r="N988" t="s">
        <v>151</v>
      </c>
      <c r="O988" t="s">
        <v>152</v>
      </c>
      <c r="P988" t="s">
        <v>76</v>
      </c>
      <c r="Q988">
        <v>374</v>
      </c>
      <c r="R988">
        <v>118.68</v>
      </c>
      <c r="S988">
        <v>44386.32</v>
      </c>
      <c r="T988">
        <v>14.84</v>
      </c>
      <c r="U988">
        <v>24</v>
      </c>
      <c r="V988">
        <v>305</v>
      </c>
      <c r="W988" t="s">
        <v>36</v>
      </c>
      <c r="X988">
        <v>9780.49</v>
      </c>
    </row>
    <row r="989" spans="1:24" x14ac:dyDescent="0.25">
      <c r="A989" s="2">
        <v>100987</v>
      </c>
      <c r="B989" s="1">
        <v>45408</v>
      </c>
      <c r="C989" s="1">
        <v>45410</v>
      </c>
      <c r="D989" s="1">
        <v>45419</v>
      </c>
      <c r="E989" t="s">
        <v>2636</v>
      </c>
      <c r="F989" t="s">
        <v>32</v>
      </c>
      <c r="G989" t="s">
        <v>95</v>
      </c>
      <c r="H989" t="s">
        <v>2637</v>
      </c>
      <c r="I989" t="s">
        <v>51</v>
      </c>
      <c r="J989" t="s">
        <v>52</v>
      </c>
      <c r="K989" t="s">
        <v>2638</v>
      </c>
      <c r="L989" t="s">
        <v>98</v>
      </c>
      <c r="M989" t="s">
        <v>65</v>
      </c>
      <c r="N989" t="s">
        <v>33</v>
      </c>
      <c r="O989" t="s">
        <v>34</v>
      </c>
      <c r="P989" t="s">
        <v>35</v>
      </c>
      <c r="Q989">
        <v>403</v>
      </c>
      <c r="R989">
        <v>55.03</v>
      </c>
      <c r="S989">
        <v>22177.09</v>
      </c>
      <c r="T989">
        <v>23.9</v>
      </c>
      <c r="U989">
        <v>9</v>
      </c>
      <c r="V989">
        <v>3611</v>
      </c>
      <c r="W989" t="s">
        <v>36</v>
      </c>
      <c r="X989">
        <v>2375.17</v>
      </c>
    </row>
    <row r="990" spans="1:24" x14ac:dyDescent="0.25">
      <c r="A990" s="2">
        <v>100988</v>
      </c>
      <c r="B990" s="1">
        <v>45403</v>
      </c>
      <c r="C990" s="1">
        <v>45405</v>
      </c>
      <c r="D990" s="1">
        <v>45424</v>
      </c>
      <c r="E990" t="s">
        <v>2639</v>
      </c>
      <c r="F990" t="s">
        <v>54</v>
      </c>
      <c r="G990" t="s">
        <v>129</v>
      </c>
      <c r="H990" t="s">
        <v>2640</v>
      </c>
      <c r="I990" t="s">
        <v>72</v>
      </c>
      <c r="J990" t="s">
        <v>42</v>
      </c>
      <c r="K990" t="s">
        <v>1691</v>
      </c>
      <c r="L990" t="s">
        <v>98</v>
      </c>
      <c r="M990" t="s">
        <v>65</v>
      </c>
      <c r="N990" t="s">
        <v>33</v>
      </c>
      <c r="O990" t="s">
        <v>34</v>
      </c>
      <c r="P990" t="s">
        <v>76</v>
      </c>
      <c r="Q990">
        <v>87</v>
      </c>
      <c r="R990">
        <v>238.86</v>
      </c>
      <c r="S990">
        <v>20780.82</v>
      </c>
      <c r="T990">
        <v>9.6</v>
      </c>
      <c r="U990">
        <v>19</v>
      </c>
      <c r="V990">
        <v>1606</v>
      </c>
      <c r="W990" t="s">
        <v>36</v>
      </c>
      <c r="X990">
        <v>3620.24</v>
      </c>
    </row>
    <row r="991" spans="1:24" x14ac:dyDescent="0.25">
      <c r="A991" s="2">
        <v>100989</v>
      </c>
      <c r="B991" s="1">
        <v>45729</v>
      </c>
      <c r="C991" s="1">
        <v>45734</v>
      </c>
      <c r="D991" s="1">
        <v>45759</v>
      </c>
      <c r="E991" t="s">
        <v>2641</v>
      </c>
      <c r="F991" t="s">
        <v>65</v>
      </c>
      <c r="G991" t="s">
        <v>70</v>
      </c>
      <c r="H991" t="s">
        <v>2642</v>
      </c>
      <c r="I991" t="s">
        <v>61</v>
      </c>
      <c r="J991" t="s">
        <v>62</v>
      </c>
      <c r="K991" t="s">
        <v>260</v>
      </c>
      <c r="L991" t="s">
        <v>64</v>
      </c>
      <c r="M991" t="s">
        <v>54</v>
      </c>
      <c r="N991" t="s">
        <v>151</v>
      </c>
      <c r="O991" t="s">
        <v>152</v>
      </c>
      <c r="P991" t="s">
        <v>76</v>
      </c>
      <c r="Q991">
        <v>432</v>
      </c>
      <c r="R991">
        <v>32.950000000000003</v>
      </c>
      <c r="S991">
        <v>14234.4</v>
      </c>
      <c r="T991">
        <v>15.89</v>
      </c>
      <c r="U991">
        <v>25</v>
      </c>
      <c r="V991">
        <v>2018</v>
      </c>
      <c r="W991" t="s">
        <v>188</v>
      </c>
      <c r="X991">
        <v>2277.65</v>
      </c>
    </row>
    <row r="992" spans="1:24" x14ac:dyDescent="0.25">
      <c r="A992" s="2">
        <v>100990</v>
      </c>
      <c r="B992" s="1">
        <v>45401</v>
      </c>
      <c r="C992" s="1">
        <v>45404</v>
      </c>
      <c r="D992" s="1">
        <v>45407</v>
      </c>
      <c r="E992" t="s">
        <v>2643</v>
      </c>
      <c r="F992" t="s">
        <v>25</v>
      </c>
      <c r="G992" t="s">
        <v>59</v>
      </c>
      <c r="H992" t="s">
        <v>2644</v>
      </c>
      <c r="I992" t="s">
        <v>182</v>
      </c>
      <c r="J992" t="s">
        <v>80</v>
      </c>
      <c r="K992" t="s">
        <v>578</v>
      </c>
      <c r="L992" t="s">
        <v>91</v>
      </c>
      <c r="M992" t="s">
        <v>65</v>
      </c>
      <c r="N992" t="s">
        <v>203</v>
      </c>
      <c r="O992" t="s">
        <v>204</v>
      </c>
      <c r="P992" t="s">
        <v>68</v>
      </c>
      <c r="Q992">
        <v>122</v>
      </c>
      <c r="R992">
        <v>165</v>
      </c>
      <c r="S992">
        <v>20130</v>
      </c>
      <c r="T992">
        <v>36.42</v>
      </c>
      <c r="U992">
        <v>3</v>
      </c>
      <c r="V992">
        <v>1544</v>
      </c>
      <c r="W992" t="s">
        <v>47</v>
      </c>
      <c r="X992">
        <v>-191.55</v>
      </c>
    </row>
    <row r="993" spans="1:24" x14ac:dyDescent="0.25">
      <c r="A993" s="2">
        <v>100991</v>
      </c>
      <c r="B993" s="1">
        <v>45718</v>
      </c>
      <c r="C993" s="1">
        <v>45718</v>
      </c>
      <c r="D993" s="1">
        <v>45720</v>
      </c>
      <c r="E993" t="s">
        <v>2645</v>
      </c>
      <c r="F993" t="s">
        <v>32</v>
      </c>
      <c r="G993" t="s">
        <v>255</v>
      </c>
      <c r="H993" t="s">
        <v>2646</v>
      </c>
      <c r="I993" t="s">
        <v>368</v>
      </c>
      <c r="J993" t="s">
        <v>29</v>
      </c>
      <c r="K993" t="s">
        <v>2647</v>
      </c>
      <c r="L993" t="s">
        <v>44</v>
      </c>
      <c r="M993" t="s">
        <v>65</v>
      </c>
      <c r="N993" t="s">
        <v>203</v>
      </c>
      <c r="O993" t="s">
        <v>204</v>
      </c>
      <c r="P993" t="s">
        <v>35</v>
      </c>
      <c r="Q993">
        <v>438</v>
      </c>
      <c r="R993">
        <v>23.87</v>
      </c>
      <c r="S993">
        <v>10455.06</v>
      </c>
      <c r="T993">
        <v>24.89</v>
      </c>
      <c r="U993">
        <v>2</v>
      </c>
      <c r="V993">
        <v>885</v>
      </c>
      <c r="W993" t="s">
        <v>36</v>
      </c>
      <c r="X993">
        <v>2370.0100000000002</v>
      </c>
    </row>
    <row r="994" spans="1:24" x14ac:dyDescent="0.25">
      <c r="A994" s="2">
        <v>100992</v>
      </c>
      <c r="B994" s="1">
        <v>45315</v>
      </c>
      <c r="C994" s="1">
        <v>45316</v>
      </c>
      <c r="D994" s="1">
        <v>45317</v>
      </c>
      <c r="E994" t="s">
        <v>2648</v>
      </c>
      <c r="F994" t="s">
        <v>54</v>
      </c>
      <c r="G994" t="s">
        <v>158</v>
      </c>
      <c r="H994" t="s">
        <v>2649</v>
      </c>
      <c r="I994" t="s">
        <v>126</v>
      </c>
      <c r="J994" t="s">
        <v>42</v>
      </c>
      <c r="K994" t="s">
        <v>922</v>
      </c>
      <c r="L994" t="s">
        <v>113</v>
      </c>
      <c r="M994" t="s">
        <v>32</v>
      </c>
      <c r="N994" t="s">
        <v>151</v>
      </c>
      <c r="O994" t="s">
        <v>152</v>
      </c>
      <c r="P994" t="s">
        <v>68</v>
      </c>
      <c r="Q994">
        <v>443</v>
      </c>
      <c r="R994">
        <v>298.99</v>
      </c>
      <c r="S994">
        <v>132452.57</v>
      </c>
      <c r="T994">
        <v>57.22</v>
      </c>
      <c r="U994">
        <v>1</v>
      </c>
      <c r="V994">
        <v>182</v>
      </c>
      <c r="W994" t="s">
        <v>36</v>
      </c>
      <c r="X994">
        <v>20704.53</v>
      </c>
    </row>
    <row r="995" spans="1:24" x14ac:dyDescent="0.25">
      <c r="A995" s="2">
        <v>100993</v>
      </c>
      <c r="B995" s="1">
        <v>45923</v>
      </c>
      <c r="C995" s="1">
        <v>45923</v>
      </c>
      <c r="D995" s="1">
        <v>45930</v>
      </c>
      <c r="E995" t="s">
        <v>2650</v>
      </c>
      <c r="F995" t="s">
        <v>32</v>
      </c>
      <c r="G995" t="s">
        <v>255</v>
      </c>
      <c r="H995" t="s">
        <v>2651</v>
      </c>
      <c r="I995" t="s">
        <v>278</v>
      </c>
      <c r="J995" t="s">
        <v>29</v>
      </c>
      <c r="K995" t="s">
        <v>2652</v>
      </c>
      <c r="L995" t="s">
        <v>212</v>
      </c>
      <c r="M995" t="s">
        <v>25</v>
      </c>
      <c r="N995" t="s">
        <v>33</v>
      </c>
      <c r="O995" t="s">
        <v>34</v>
      </c>
      <c r="P995" t="s">
        <v>123</v>
      </c>
      <c r="Q995">
        <v>46</v>
      </c>
      <c r="R995">
        <v>104.7</v>
      </c>
      <c r="S995">
        <v>4816.2</v>
      </c>
      <c r="T995">
        <v>11.81</v>
      </c>
      <c r="U995">
        <v>7</v>
      </c>
      <c r="V995">
        <v>3049</v>
      </c>
      <c r="W995" t="s">
        <v>36</v>
      </c>
      <c r="X995">
        <v>868.66</v>
      </c>
    </row>
    <row r="996" spans="1:24" x14ac:dyDescent="0.25">
      <c r="A996" s="2">
        <v>100994</v>
      </c>
      <c r="B996" s="1">
        <v>45665</v>
      </c>
      <c r="C996" s="1">
        <v>45670</v>
      </c>
      <c r="D996" s="1">
        <v>45686</v>
      </c>
      <c r="E996" t="s">
        <v>1977</v>
      </c>
      <c r="F996" t="s">
        <v>32</v>
      </c>
      <c r="G996" t="s">
        <v>110</v>
      </c>
      <c r="H996" t="s">
        <v>2653</v>
      </c>
      <c r="I996" t="s">
        <v>116</v>
      </c>
      <c r="J996" t="s">
        <v>62</v>
      </c>
      <c r="K996" t="s">
        <v>985</v>
      </c>
      <c r="L996" t="s">
        <v>91</v>
      </c>
      <c r="M996" t="s">
        <v>65</v>
      </c>
      <c r="N996" t="s">
        <v>92</v>
      </c>
      <c r="O996" t="s">
        <v>93</v>
      </c>
      <c r="P996" t="s">
        <v>76</v>
      </c>
      <c r="Q996">
        <v>280</v>
      </c>
      <c r="R996">
        <v>44.96</v>
      </c>
      <c r="S996">
        <v>12588.8</v>
      </c>
      <c r="T996">
        <v>13.12</v>
      </c>
      <c r="U996">
        <v>16</v>
      </c>
      <c r="V996">
        <v>2009</v>
      </c>
      <c r="W996" t="s">
        <v>188</v>
      </c>
      <c r="X996">
        <v>1342.37</v>
      </c>
    </row>
    <row r="997" spans="1:24" x14ac:dyDescent="0.25">
      <c r="A997" s="2">
        <v>100995</v>
      </c>
      <c r="B997" s="1">
        <v>45330</v>
      </c>
      <c r="C997" s="1">
        <v>45333</v>
      </c>
      <c r="D997" s="1">
        <v>45339</v>
      </c>
      <c r="E997" t="s">
        <v>2654</v>
      </c>
      <c r="F997" t="s">
        <v>32</v>
      </c>
      <c r="G997" t="s">
        <v>95</v>
      </c>
      <c r="H997" t="s">
        <v>2655</v>
      </c>
      <c r="I997" t="s">
        <v>116</v>
      </c>
      <c r="J997" t="s">
        <v>62</v>
      </c>
      <c r="K997" t="s">
        <v>1890</v>
      </c>
      <c r="L997" t="s">
        <v>64</v>
      </c>
      <c r="M997" t="s">
        <v>65</v>
      </c>
      <c r="N997" t="s">
        <v>45</v>
      </c>
      <c r="O997" t="s">
        <v>46</v>
      </c>
      <c r="P997" t="s">
        <v>123</v>
      </c>
      <c r="Q997">
        <v>443</v>
      </c>
      <c r="R997">
        <v>30.73</v>
      </c>
      <c r="S997">
        <v>13613.39</v>
      </c>
      <c r="T997">
        <v>21.46</v>
      </c>
      <c r="U997">
        <v>6</v>
      </c>
      <c r="V997">
        <v>673</v>
      </c>
      <c r="W997" t="s">
        <v>36</v>
      </c>
      <c r="X997">
        <v>1102.94</v>
      </c>
    </row>
    <row r="998" spans="1:24" x14ac:dyDescent="0.25">
      <c r="A998" s="2">
        <v>100996</v>
      </c>
      <c r="B998" s="1">
        <v>45642</v>
      </c>
      <c r="C998" s="1">
        <v>45646</v>
      </c>
      <c r="D998" s="1">
        <v>45650</v>
      </c>
      <c r="E998" t="s">
        <v>2656</v>
      </c>
      <c r="F998" t="s">
        <v>54</v>
      </c>
      <c r="G998" t="s">
        <v>165</v>
      </c>
      <c r="H998" t="s">
        <v>2657</v>
      </c>
      <c r="I998" t="s">
        <v>61</v>
      </c>
      <c r="J998" t="s">
        <v>62</v>
      </c>
      <c r="K998" t="s">
        <v>2658</v>
      </c>
      <c r="L998" t="s">
        <v>91</v>
      </c>
      <c r="M998" t="s">
        <v>38</v>
      </c>
      <c r="N998" t="s">
        <v>45</v>
      </c>
      <c r="O998" t="s">
        <v>46</v>
      </c>
      <c r="P998" t="s">
        <v>35</v>
      </c>
      <c r="Q998">
        <v>72</v>
      </c>
      <c r="R998">
        <v>43.84</v>
      </c>
      <c r="S998">
        <v>3156.48</v>
      </c>
      <c r="T998">
        <v>14.52</v>
      </c>
      <c r="U998">
        <v>4</v>
      </c>
      <c r="V998">
        <v>3462</v>
      </c>
      <c r="W998" t="s">
        <v>36</v>
      </c>
      <c r="X998">
        <v>512.51</v>
      </c>
    </row>
    <row r="999" spans="1:24" x14ac:dyDescent="0.25">
      <c r="A999" s="2">
        <v>100997</v>
      </c>
      <c r="B999" s="1">
        <v>45872</v>
      </c>
      <c r="C999" s="1">
        <v>45875</v>
      </c>
      <c r="D999" s="1">
        <v>45880</v>
      </c>
      <c r="E999" t="s">
        <v>2659</v>
      </c>
      <c r="F999" t="s">
        <v>25</v>
      </c>
      <c r="G999" t="s">
        <v>221</v>
      </c>
      <c r="H999" t="s">
        <v>2660</v>
      </c>
      <c r="I999" t="s">
        <v>85</v>
      </c>
      <c r="J999" t="s">
        <v>52</v>
      </c>
      <c r="K999" t="s">
        <v>2540</v>
      </c>
      <c r="L999" t="s">
        <v>44</v>
      </c>
      <c r="M999" t="s">
        <v>54</v>
      </c>
      <c r="N999" t="s">
        <v>45</v>
      </c>
      <c r="O999" t="s">
        <v>46</v>
      </c>
      <c r="P999" t="s">
        <v>35</v>
      </c>
      <c r="Q999">
        <v>192</v>
      </c>
      <c r="R999">
        <v>83.66</v>
      </c>
      <c r="S999">
        <v>16062.72</v>
      </c>
      <c r="T999">
        <v>17.920000000000002</v>
      </c>
      <c r="U999">
        <v>5</v>
      </c>
      <c r="V999">
        <v>310</v>
      </c>
      <c r="W999" t="s">
        <v>36</v>
      </c>
      <c r="X999">
        <v>2788.76</v>
      </c>
    </row>
    <row r="1000" spans="1:24" x14ac:dyDescent="0.25">
      <c r="A1000" s="2">
        <v>100998</v>
      </c>
      <c r="B1000" s="1">
        <v>45958</v>
      </c>
      <c r="C1000" s="1">
        <v>45958</v>
      </c>
      <c r="D1000" s="1">
        <v>45963</v>
      </c>
      <c r="E1000" t="s">
        <v>2661</v>
      </c>
      <c r="F1000" t="s">
        <v>32</v>
      </c>
      <c r="G1000" t="s">
        <v>364</v>
      </c>
      <c r="H1000" t="s">
        <v>2662</v>
      </c>
      <c r="I1000" t="s">
        <v>79</v>
      </c>
      <c r="J1000" t="s">
        <v>80</v>
      </c>
      <c r="K1000" t="s">
        <v>247</v>
      </c>
      <c r="L1000" t="s">
        <v>91</v>
      </c>
      <c r="M1000" t="s">
        <v>38</v>
      </c>
      <c r="N1000" t="s">
        <v>107</v>
      </c>
      <c r="O1000" t="s">
        <v>108</v>
      </c>
      <c r="P1000" t="s">
        <v>68</v>
      </c>
      <c r="Q1000">
        <v>158</v>
      </c>
      <c r="R1000">
        <v>299.91000000000003</v>
      </c>
      <c r="S1000">
        <v>47385.78</v>
      </c>
      <c r="T1000">
        <v>38.75</v>
      </c>
      <c r="U1000">
        <v>5</v>
      </c>
      <c r="V1000">
        <v>2061</v>
      </c>
      <c r="W1000" t="s">
        <v>36</v>
      </c>
      <c r="X1000">
        <v>11231.24</v>
      </c>
    </row>
    <row r="1001" spans="1:24" x14ac:dyDescent="0.25">
      <c r="A1001" s="2">
        <v>100999</v>
      </c>
      <c r="B1001" s="1">
        <v>45611</v>
      </c>
      <c r="C1001" s="1">
        <v>45616</v>
      </c>
      <c r="D1001" s="1">
        <v>45639</v>
      </c>
      <c r="E1001" t="s">
        <v>2663</v>
      </c>
      <c r="F1001" t="s">
        <v>25</v>
      </c>
      <c r="G1001" t="s">
        <v>169</v>
      </c>
      <c r="H1001" t="s">
        <v>2664</v>
      </c>
      <c r="I1001" t="s">
        <v>116</v>
      </c>
      <c r="J1001" t="s">
        <v>62</v>
      </c>
      <c r="K1001" t="s">
        <v>1438</v>
      </c>
      <c r="L1001" t="s">
        <v>44</v>
      </c>
      <c r="M1001" t="s">
        <v>25</v>
      </c>
      <c r="N1001" t="s">
        <v>102</v>
      </c>
      <c r="O1001" t="s">
        <v>103</v>
      </c>
      <c r="P1001" t="s">
        <v>76</v>
      </c>
      <c r="Q1001">
        <v>34</v>
      </c>
      <c r="R1001">
        <v>7.93</v>
      </c>
      <c r="S1001">
        <v>269.62</v>
      </c>
      <c r="T1001">
        <v>6.4</v>
      </c>
      <c r="U1001">
        <v>23</v>
      </c>
      <c r="V1001">
        <v>3813</v>
      </c>
      <c r="W1001" t="s">
        <v>57</v>
      </c>
      <c r="X1001">
        <v>33.74</v>
      </c>
    </row>
    <row r="1002" spans="1:24" x14ac:dyDescent="0.25">
      <c r="A1002" s="2">
        <v>101000</v>
      </c>
      <c r="B1002" s="1">
        <v>45967</v>
      </c>
      <c r="C1002" s="1">
        <v>45970</v>
      </c>
      <c r="D1002" s="1">
        <v>45975</v>
      </c>
      <c r="E1002" t="s">
        <v>2665</v>
      </c>
      <c r="F1002" t="s">
        <v>54</v>
      </c>
      <c r="G1002" t="s">
        <v>129</v>
      </c>
      <c r="H1002" t="s">
        <v>2666</v>
      </c>
      <c r="I1002" t="s">
        <v>126</v>
      </c>
      <c r="J1002" t="s">
        <v>42</v>
      </c>
      <c r="K1002" t="s">
        <v>875</v>
      </c>
      <c r="L1002" t="s">
        <v>31</v>
      </c>
      <c r="M1002" t="s">
        <v>32</v>
      </c>
      <c r="N1002" t="s">
        <v>107</v>
      </c>
      <c r="O1002" t="s">
        <v>108</v>
      </c>
      <c r="P1002" t="s">
        <v>123</v>
      </c>
      <c r="Q1002">
        <v>340</v>
      </c>
      <c r="R1002">
        <v>332.68</v>
      </c>
      <c r="S1002">
        <v>113111.2</v>
      </c>
      <c r="T1002">
        <v>18.95</v>
      </c>
      <c r="U1002">
        <v>5</v>
      </c>
      <c r="V1002">
        <v>1775</v>
      </c>
      <c r="W1002" t="s">
        <v>36</v>
      </c>
      <c r="X1002">
        <v>18905.419999999998</v>
      </c>
    </row>
    <row r="1003" spans="1:24" x14ac:dyDescent="0.25">
      <c r="A1003" s="2">
        <v>101001</v>
      </c>
      <c r="B1003" s="1">
        <v>45323</v>
      </c>
      <c r="C1003" s="1">
        <v>45328</v>
      </c>
      <c r="D1003" s="1">
        <v>45331</v>
      </c>
      <c r="E1003" t="s">
        <v>2667</v>
      </c>
      <c r="F1003" t="s">
        <v>54</v>
      </c>
      <c r="G1003" t="s">
        <v>129</v>
      </c>
      <c r="H1003" t="s">
        <v>2668</v>
      </c>
      <c r="I1003" t="s">
        <v>61</v>
      </c>
      <c r="J1003" t="s">
        <v>62</v>
      </c>
      <c r="K1003" t="s">
        <v>1624</v>
      </c>
      <c r="L1003" t="s">
        <v>31</v>
      </c>
      <c r="M1003" t="s">
        <v>38</v>
      </c>
      <c r="N1003" t="s">
        <v>45</v>
      </c>
      <c r="O1003" t="s">
        <v>46</v>
      </c>
      <c r="P1003" t="s">
        <v>68</v>
      </c>
      <c r="Q1003">
        <v>368</v>
      </c>
      <c r="R1003">
        <v>28.69</v>
      </c>
      <c r="S1003">
        <v>10557.92</v>
      </c>
      <c r="T1003">
        <v>52.36</v>
      </c>
      <c r="U1003">
        <v>3</v>
      </c>
      <c r="V1003">
        <v>772</v>
      </c>
      <c r="W1003" t="s">
        <v>47</v>
      </c>
      <c r="X1003">
        <v>-149.30000000000001</v>
      </c>
    </row>
    <row r="1004" spans="1:24" x14ac:dyDescent="0.25">
      <c r="A1004" s="2">
        <v>101002</v>
      </c>
      <c r="B1004" s="1">
        <v>45370</v>
      </c>
      <c r="C1004" s="1">
        <v>45371</v>
      </c>
      <c r="D1004" s="1">
        <v>45376</v>
      </c>
      <c r="E1004" t="s">
        <v>2669</v>
      </c>
      <c r="F1004" t="s">
        <v>32</v>
      </c>
      <c r="G1004" t="s">
        <v>137</v>
      </c>
      <c r="H1004" t="s">
        <v>2670</v>
      </c>
      <c r="I1004" t="s">
        <v>61</v>
      </c>
      <c r="J1004" t="s">
        <v>62</v>
      </c>
      <c r="K1004" t="s">
        <v>1374</v>
      </c>
      <c r="L1004" t="s">
        <v>122</v>
      </c>
      <c r="M1004" t="s">
        <v>25</v>
      </c>
      <c r="N1004" t="s">
        <v>107</v>
      </c>
      <c r="O1004" t="s">
        <v>108</v>
      </c>
      <c r="P1004" t="s">
        <v>68</v>
      </c>
      <c r="Q1004">
        <v>164</v>
      </c>
      <c r="R1004">
        <v>21.73</v>
      </c>
      <c r="S1004">
        <v>3563.72</v>
      </c>
      <c r="T1004">
        <v>39.14</v>
      </c>
      <c r="U1004">
        <v>5</v>
      </c>
      <c r="V1004">
        <v>1127</v>
      </c>
      <c r="W1004" t="s">
        <v>36</v>
      </c>
      <c r="X1004">
        <v>430.75</v>
      </c>
    </row>
    <row r="1005" spans="1:24" x14ac:dyDescent="0.25">
      <c r="A1005" s="2">
        <v>101003</v>
      </c>
      <c r="B1005" s="1">
        <v>45671</v>
      </c>
      <c r="C1005" s="1">
        <v>45672</v>
      </c>
      <c r="D1005" s="1">
        <v>45675</v>
      </c>
      <c r="E1005" t="s">
        <v>2671</v>
      </c>
      <c r="F1005" t="s">
        <v>32</v>
      </c>
      <c r="G1005" t="s">
        <v>110</v>
      </c>
      <c r="H1005" t="s">
        <v>2672</v>
      </c>
      <c r="I1005" t="s">
        <v>230</v>
      </c>
      <c r="J1005" t="s">
        <v>80</v>
      </c>
      <c r="K1005" t="s">
        <v>2673</v>
      </c>
      <c r="L1005" t="s">
        <v>64</v>
      </c>
      <c r="M1005" t="s">
        <v>38</v>
      </c>
      <c r="N1005" t="s">
        <v>92</v>
      </c>
      <c r="O1005" t="s">
        <v>93</v>
      </c>
      <c r="P1005" t="s">
        <v>68</v>
      </c>
      <c r="Q1005">
        <v>279</v>
      </c>
      <c r="R1005">
        <v>144.38</v>
      </c>
      <c r="S1005">
        <v>40282.019999999997</v>
      </c>
      <c r="T1005">
        <v>46.59</v>
      </c>
      <c r="U1005">
        <v>3</v>
      </c>
      <c r="V1005">
        <v>780</v>
      </c>
      <c r="W1005" t="s">
        <v>36</v>
      </c>
      <c r="X1005">
        <v>5025.03</v>
      </c>
    </row>
    <row r="1006" spans="1:24" x14ac:dyDescent="0.25">
      <c r="A1006" s="2">
        <v>101004</v>
      </c>
      <c r="B1006" s="1">
        <v>45478</v>
      </c>
      <c r="C1006" s="1">
        <v>45478</v>
      </c>
      <c r="D1006" s="1">
        <v>45482</v>
      </c>
      <c r="E1006" t="s">
        <v>2674</v>
      </c>
      <c r="F1006" t="s">
        <v>25</v>
      </c>
      <c r="G1006" t="s">
        <v>233</v>
      </c>
      <c r="H1006" t="s">
        <v>2675</v>
      </c>
      <c r="I1006" t="s">
        <v>238</v>
      </c>
      <c r="J1006" t="s">
        <v>62</v>
      </c>
      <c r="K1006" t="s">
        <v>2580</v>
      </c>
      <c r="L1006" t="s">
        <v>91</v>
      </c>
      <c r="M1006" t="s">
        <v>32</v>
      </c>
      <c r="N1006" t="s">
        <v>203</v>
      </c>
      <c r="O1006" t="s">
        <v>204</v>
      </c>
      <c r="P1006" t="s">
        <v>35</v>
      </c>
      <c r="Q1006">
        <v>18</v>
      </c>
      <c r="R1006">
        <v>38.69</v>
      </c>
      <c r="S1006">
        <v>696.42</v>
      </c>
      <c r="T1006">
        <v>12.98</v>
      </c>
      <c r="U1006">
        <v>4</v>
      </c>
      <c r="V1006">
        <v>832</v>
      </c>
      <c r="W1006" t="s">
        <v>36</v>
      </c>
      <c r="X1006">
        <v>27.16</v>
      </c>
    </row>
    <row r="1007" spans="1:24" x14ac:dyDescent="0.25">
      <c r="A1007" s="2">
        <v>101005</v>
      </c>
      <c r="B1007" s="1">
        <v>45394</v>
      </c>
      <c r="C1007" s="1">
        <v>45399</v>
      </c>
      <c r="D1007" s="1">
        <v>45412</v>
      </c>
      <c r="E1007" t="s">
        <v>2676</v>
      </c>
      <c r="F1007" t="s">
        <v>38</v>
      </c>
      <c r="G1007" t="s">
        <v>83</v>
      </c>
      <c r="H1007" t="s">
        <v>2677</v>
      </c>
      <c r="I1007" t="s">
        <v>41</v>
      </c>
      <c r="J1007" t="s">
        <v>42</v>
      </c>
      <c r="K1007" t="s">
        <v>2678</v>
      </c>
      <c r="L1007" t="s">
        <v>118</v>
      </c>
      <c r="M1007" t="s">
        <v>25</v>
      </c>
      <c r="N1007" t="s">
        <v>151</v>
      </c>
      <c r="O1007" t="s">
        <v>152</v>
      </c>
      <c r="P1007" t="s">
        <v>123</v>
      </c>
      <c r="Q1007">
        <v>161</v>
      </c>
      <c r="R1007">
        <v>421.92</v>
      </c>
      <c r="S1007">
        <v>67929.119999999995</v>
      </c>
      <c r="T1007">
        <v>14.6</v>
      </c>
      <c r="U1007">
        <v>13</v>
      </c>
      <c r="V1007">
        <v>698</v>
      </c>
      <c r="W1007" t="s">
        <v>36</v>
      </c>
      <c r="X1007">
        <v>6536.9</v>
      </c>
    </row>
    <row r="1008" spans="1:24" x14ac:dyDescent="0.25">
      <c r="A1008" s="2">
        <v>101006</v>
      </c>
      <c r="B1008" s="1">
        <v>45574</v>
      </c>
      <c r="C1008" s="1">
        <v>45579</v>
      </c>
      <c r="D1008" s="1">
        <v>45584</v>
      </c>
      <c r="E1008" t="s">
        <v>2679</v>
      </c>
      <c r="F1008" t="s">
        <v>32</v>
      </c>
      <c r="G1008" t="s">
        <v>137</v>
      </c>
      <c r="H1008" t="s">
        <v>2680</v>
      </c>
      <c r="I1008" t="s">
        <v>368</v>
      </c>
      <c r="J1008" t="s">
        <v>29</v>
      </c>
      <c r="K1008" t="s">
        <v>2681</v>
      </c>
      <c r="L1008" t="s">
        <v>212</v>
      </c>
      <c r="M1008" t="s">
        <v>25</v>
      </c>
      <c r="N1008" t="s">
        <v>151</v>
      </c>
      <c r="O1008" t="s">
        <v>152</v>
      </c>
      <c r="P1008" t="s">
        <v>68</v>
      </c>
      <c r="Q1008">
        <v>96</v>
      </c>
      <c r="R1008">
        <v>26.32</v>
      </c>
      <c r="S1008">
        <v>2526.7199999999998</v>
      </c>
      <c r="T1008">
        <v>34.729999999999997</v>
      </c>
      <c r="U1008">
        <v>5</v>
      </c>
      <c r="V1008">
        <v>2807</v>
      </c>
      <c r="W1008" t="s">
        <v>36</v>
      </c>
      <c r="X1008">
        <v>253.21</v>
      </c>
    </row>
    <row r="1009" spans="1:24" x14ac:dyDescent="0.25">
      <c r="A1009" s="2">
        <v>101007</v>
      </c>
      <c r="B1009" s="1">
        <v>45581</v>
      </c>
      <c r="C1009" s="1">
        <v>45584</v>
      </c>
      <c r="D1009" s="1">
        <v>45594</v>
      </c>
      <c r="E1009" t="s">
        <v>2682</v>
      </c>
      <c r="F1009" t="s">
        <v>38</v>
      </c>
      <c r="G1009" t="s">
        <v>147</v>
      </c>
      <c r="H1009" t="s">
        <v>2683</v>
      </c>
      <c r="I1009" t="s">
        <v>207</v>
      </c>
      <c r="J1009" t="s">
        <v>80</v>
      </c>
      <c r="K1009" t="s">
        <v>2684</v>
      </c>
      <c r="L1009" t="s">
        <v>91</v>
      </c>
      <c r="M1009" t="s">
        <v>65</v>
      </c>
      <c r="N1009" t="s">
        <v>66</v>
      </c>
      <c r="O1009" t="s">
        <v>67</v>
      </c>
      <c r="P1009" t="s">
        <v>68</v>
      </c>
      <c r="Q1009">
        <v>386</v>
      </c>
      <c r="R1009">
        <v>63.55</v>
      </c>
      <c r="S1009">
        <v>24530.3</v>
      </c>
      <c r="T1009">
        <v>53.52</v>
      </c>
      <c r="U1009">
        <v>10</v>
      </c>
      <c r="V1009">
        <v>1043</v>
      </c>
      <c r="W1009" t="s">
        <v>36</v>
      </c>
      <c r="X1009">
        <v>3534.96</v>
      </c>
    </row>
    <row r="1010" spans="1:24" x14ac:dyDescent="0.25">
      <c r="A1010" s="2">
        <v>101008</v>
      </c>
      <c r="B1010" s="1">
        <v>45767</v>
      </c>
      <c r="C1010" s="1">
        <v>45769</v>
      </c>
      <c r="D1010" s="1">
        <v>45774</v>
      </c>
      <c r="E1010" t="s">
        <v>2685</v>
      </c>
      <c r="F1010" t="s">
        <v>38</v>
      </c>
      <c r="G1010" t="s">
        <v>49</v>
      </c>
      <c r="H1010" t="s">
        <v>2686</v>
      </c>
      <c r="I1010" t="s">
        <v>28</v>
      </c>
      <c r="J1010" t="s">
        <v>29</v>
      </c>
      <c r="K1010" t="s">
        <v>434</v>
      </c>
      <c r="L1010" t="s">
        <v>118</v>
      </c>
      <c r="M1010" t="s">
        <v>54</v>
      </c>
      <c r="N1010" t="s">
        <v>74</v>
      </c>
      <c r="O1010" t="s">
        <v>75</v>
      </c>
      <c r="P1010" t="s">
        <v>35</v>
      </c>
      <c r="Q1010">
        <v>292</v>
      </c>
      <c r="R1010">
        <v>91.96</v>
      </c>
      <c r="S1010">
        <v>26852.32</v>
      </c>
      <c r="T1010">
        <v>20.75</v>
      </c>
      <c r="U1010">
        <v>5</v>
      </c>
      <c r="V1010">
        <v>767</v>
      </c>
      <c r="W1010" t="s">
        <v>36</v>
      </c>
      <c r="X1010">
        <v>5331.87</v>
      </c>
    </row>
    <row r="1011" spans="1:24" x14ac:dyDescent="0.25">
      <c r="A1011" s="2">
        <v>101009</v>
      </c>
      <c r="B1011" s="1">
        <v>46016</v>
      </c>
      <c r="C1011" s="1">
        <v>46020</v>
      </c>
      <c r="D1011" s="1">
        <v>46025</v>
      </c>
      <c r="E1011" t="s">
        <v>2687</v>
      </c>
      <c r="F1011" t="s">
        <v>32</v>
      </c>
      <c r="G1011" t="s">
        <v>364</v>
      </c>
      <c r="H1011" t="s">
        <v>2688</v>
      </c>
      <c r="I1011" t="s">
        <v>368</v>
      </c>
      <c r="J1011" t="s">
        <v>29</v>
      </c>
      <c r="K1011" t="s">
        <v>2689</v>
      </c>
      <c r="L1011" t="s">
        <v>91</v>
      </c>
      <c r="M1011" t="s">
        <v>32</v>
      </c>
      <c r="N1011" t="s">
        <v>107</v>
      </c>
      <c r="O1011" t="s">
        <v>108</v>
      </c>
      <c r="P1011" t="s">
        <v>123</v>
      </c>
      <c r="Q1011">
        <v>449</v>
      </c>
      <c r="R1011">
        <v>112.2</v>
      </c>
      <c r="S1011">
        <v>50377.8</v>
      </c>
      <c r="T1011">
        <v>16</v>
      </c>
      <c r="U1011">
        <v>5</v>
      </c>
      <c r="V1011">
        <v>3156</v>
      </c>
      <c r="W1011" t="s">
        <v>36</v>
      </c>
      <c r="X1011">
        <v>8119.63</v>
      </c>
    </row>
    <row r="1012" spans="1:24" x14ac:dyDescent="0.25">
      <c r="A1012" s="2">
        <v>101010</v>
      </c>
      <c r="B1012" s="1">
        <v>45548</v>
      </c>
      <c r="C1012" s="1">
        <v>45548</v>
      </c>
      <c r="D1012" s="1">
        <v>45557</v>
      </c>
      <c r="E1012" t="s">
        <v>2690</v>
      </c>
      <c r="F1012" t="s">
        <v>65</v>
      </c>
      <c r="G1012" t="s">
        <v>70</v>
      </c>
      <c r="H1012" t="s">
        <v>2691</v>
      </c>
      <c r="I1012" t="s">
        <v>61</v>
      </c>
      <c r="J1012" t="s">
        <v>62</v>
      </c>
      <c r="K1012" t="s">
        <v>2692</v>
      </c>
      <c r="L1012" t="s">
        <v>98</v>
      </c>
      <c r="M1012" t="s">
        <v>65</v>
      </c>
      <c r="N1012" t="s">
        <v>203</v>
      </c>
      <c r="O1012" t="s">
        <v>204</v>
      </c>
      <c r="P1012" t="s">
        <v>35</v>
      </c>
      <c r="Q1012">
        <v>425</v>
      </c>
      <c r="R1012">
        <v>37.18</v>
      </c>
      <c r="S1012">
        <v>15801.5</v>
      </c>
      <c r="T1012">
        <v>18.16</v>
      </c>
      <c r="U1012">
        <v>9</v>
      </c>
      <c r="V1012">
        <v>3147</v>
      </c>
      <c r="W1012" t="s">
        <v>36</v>
      </c>
      <c r="X1012">
        <v>1592.15</v>
      </c>
    </row>
    <row r="1013" spans="1:24" x14ac:dyDescent="0.25">
      <c r="A1013" s="2">
        <v>101011</v>
      </c>
      <c r="B1013" s="1">
        <v>45949</v>
      </c>
      <c r="C1013" s="1">
        <v>45954</v>
      </c>
      <c r="D1013" s="1">
        <v>45956</v>
      </c>
      <c r="E1013" t="s">
        <v>2693</v>
      </c>
      <c r="F1013" t="s">
        <v>65</v>
      </c>
      <c r="G1013" t="s">
        <v>142</v>
      </c>
      <c r="H1013" t="s">
        <v>2694</v>
      </c>
      <c r="I1013" t="s">
        <v>368</v>
      </c>
      <c r="J1013" t="s">
        <v>29</v>
      </c>
      <c r="K1013" t="s">
        <v>2695</v>
      </c>
      <c r="L1013" t="s">
        <v>64</v>
      </c>
      <c r="M1013" t="s">
        <v>54</v>
      </c>
      <c r="N1013" t="s">
        <v>66</v>
      </c>
      <c r="O1013" t="s">
        <v>67</v>
      </c>
      <c r="P1013" t="s">
        <v>68</v>
      </c>
      <c r="Q1013">
        <v>60</v>
      </c>
      <c r="R1013">
        <v>80.34</v>
      </c>
      <c r="S1013">
        <v>4820.3999999999996</v>
      </c>
      <c r="T1013">
        <v>32.4</v>
      </c>
      <c r="U1013">
        <v>2</v>
      </c>
      <c r="V1013">
        <v>814</v>
      </c>
      <c r="W1013" t="s">
        <v>36</v>
      </c>
      <c r="X1013">
        <v>147.49</v>
      </c>
    </row>
    <row r="1014" spans="1:24" x14ac:dyDescent="0.25">
      <c r="A1014" s="2">
        <v>101012</v>
      </c>
      <c r="B1014" s="1">
        <v>45654</v>
      </c>
      <c r="C1014" s="1">
        <v>45658</v>
      </c>
      <c r="D1014" s="1">
        <v>45660</v>
      </c>
      <c r="E1014" t="s">
        <v>2696</v>
      </c>
      <c r="F1014" t="s">
        <v>54</v>
      </c>
      <c r="G1014" t="s">
        <v>193</v>
      </c>
      <c r="H1014" t="s">
        <v>2697</v>
      </c>
      <c r="I1014" t="s">
        <v>51</v>
      </c>
      <c r="J1014" t="s">
        <v>52</v>
      </c>
      <c r="K1014" t="s">
        <v>756</v>
      </c>
      <c r="L1014" t="s">
        <v>187</v>
      </c>
      <c r="M1014" t="s">
        <v>32</v>
      </c>
      <c r="N1014" t="s">
        <v>66</v>
      </c>
      <c r="O1014" t="s">
        <v>67</v>
      </c>
      <c r="P1014" t="s">
        <v>68</v>
      </c>
      <c r="Q1014">
        <v>373</v>
      </c>
      <c r="R1014">
        <v>25.98</v>
      </c>
      <c r="S1014">
        <v>9690.5400000000009</v>
      </c>
      <c r="T1014">
        <v>52.68</v>
      </c>
      <c r="U1014">
        <v>2</v>
      </c>
      <c r="V1014">
        <v>3547</v>
      </c>
      <c r="W1014" t="s">
        <v>36</v>
      </c>
      <c r="X1014">
        <v>1522.86</v>
      </c>
    </row>
    <row r="1015" spans="1:24" x14ac:dyDescent="0.25">
      <c r="A1015" s="2">
        <v>101013</v>
      </c>
      <c r="B1015" s="1">
        <v>45399</v>
      </c>
      <c r="C1015" s="1">
        <v>45399</v>
      </c>
      <c r="D1015" s="1">
        <v>45404</v>
      </c>
      <c r="E1015" t="s">
        <v>2698</v>
      </c>
      <c r="F1015" t="s">
        <v>32</v>
      </c>
      <c r="G1015" t="s">
        <v>273</v>
      </c>
      <c r="H1015" t="s">
        <v>2699</v>
      </c>
      <c r="I1015" t="s">
        <v>72</v>
      </c>
      <c r="J1015" t="s">
        <v>42</v>
      </c>
      <c r="K1015" t="s">
        <v>227</v>
      </c>
      <c r="L1015" t="s">
        <v>98</v>
      </c>
      <c r="M1015" t="s">
        <v>32</v>
      </c>
      <c r="N1015" t="s">
        <v>92</v>
      </c>
      <c r="O1015" t="s">
        <v>93</v>
      </c>
      <c r="P1015" t="s">
        <v>35</v>
      </c>
      <c r="Q1015">
        <v>338</v>
      </c>
      <c r="R1015">
        <v>379.1</v>
      </c>
      <c r="S1015">
        <v>128135.8</v>
      </c>
      <c r="T1015">
        <v>16.34</v>
      </c>
      <c r="U1015">
        <v>5</v>
      </c>
      <c r="V1015">
        <v>706</v>
      </c>
      <c r="W1015" t="s">
        <v>36</v>
      </c>
      <c r="X1015">
        <v>20771.439999999999</v>
      </c>
    </row>
    <row r="1016" spans="1:24" x14ac:dyDescent="0.25">
      <c r="A1016" s="2">
        <v>101014</v>
      </c>
      <c r="B1016" s="1">
        <v>45814</v>
      </c>
      <c r="C1016" s="1">
        <v>45815</v>
      </c>
      <c r="D1016" s="1">
        <v>45820</v>
      </c>
      <c r="E1016" t="s">
        <v>2700</v>
      </c>
      <c r="F1016" t="s">
        <v>25</v>
      </c>
      <c r="G1016" t="s">
        <v>233</v>
      </c>
      <c r="H1016" t="s">
        <v>2701</v>
      </c>
      <c r="I1016" t="s">
        <v>72</v>
      </c>
      <c r="J1016" t="s">
        <v>42</v>
      </c>
      <c r="K1016" t="s">
        <v>2702</v>
      </c>
      <c r="L1016" t="s">
        <v>64</v>
      </c>
      <c r="M1016" t="s">
        <v>38</v>
      </c>
      <c r="N1016" t="s">
        <v>92</v>
      </c>
      <c r="O1016" t="s">
        <v>93</v>
      </c>
      <c r="P1016" t="s">
        <v>123</v>
      </c>
      <c r="Q1016">
        <v>480</v>
      </c>
      <c r="R1016">
        <v>320.22000000000003</v>
      </c>
      <c r="S1016">
        <v>153705.60000000001</v>
      </c>
      <c r="T1016">
        <v>22.36</v>
      </c>
      <c r="U1016">
        <v>5</v>
      </c>
      <c r="V1016">
        <v>1166</v>
      </c>
      <c r="W1016" t="s">
        <v>36</v>
      </c>
      <c r="X1016">
        <v>10227.18</v>
      </c>
    </row>
    <row r="1017" spans="1:24" x14ac:dyDescent="0.25">
      <c r="A1017" s="2">
        <v>101015</v>
      </c>
      <c r="B1017" s="1">
        <v>45663</v>
      </c>
      <c r="C1017" s="1">
        <v>45668</v>
      </c>
      <c r="D1017" s="1">
        <v>45682</v>
      </c>
      <c r="E1017" t="s">
        <v>2703</v>
      </c>
      <c r="F1017" t="s">
        <v>54</v>
      </c>
      <c r="G1017" t="s">
        <v>158</v>
      </c>
      <c r="H1017" t="s">
        <v>2704</v>
      </c>
      <c r="I1017" t="s">
        <v>89</v>
      </c>
      <c r="J1017" t="s">
        <v>62</v>
      </c>
      <c r="K1017" t="s">
        <v>2705</v>
      </c>
      <c r="L1017" t="s">
        <v>64</v>
      </c>
      <c r="M1017" t="s">
        <v>25</v>
      </c>
      <c r="N1017" t="s">
        <v>45</v>
      </c>
      <c r="O1017" t="s">
        <v>46</v>
      </c>
      <c r="P1017" t="s">
        <v>123</v>
      </c>
      <c r="Q1017">
        <v>273</v>
      </c>
      <c r="R1017">
        <v>41.74</v>
      </c>
      <c r="S1017">
        <v>11395.02</v>
      </c>
      <c r="T1017">
        <v>17.329999999999998</v>
      </c>
      <c r="U1017">
        <v>14</v>
      </c>
      <c r="V1017">
        <v>3064</v>
      </c>
      <c r="W1017" t="s">
        <v>36</v>
      </c>
      <c r="X1017">
        <v>1673.25</v>
      </c>
    </row>
    <row r="1018" spans="1:24" x14ac:dyDescent="0.25">
      <c r="A1018" s="2">
        <v>101016</v>
      </c>
      <c r="B1018" s="1">
        <v>45403</v>
      </c>
      <c r="C1018" s="1">
        <v>45406</v>
      </c>
      <c r="D1018" s="1">
        <v>45409</v>
      </c>
      <c r="E1018" t="s">
        <v>749</v>
      </c>
      <c r="F1018" t="s">
        <v>32</v>
      </c>
      <c r="G1018" t="s">
        <v>180</v>
      </c>
      <c r="H1018" t="s">
        <v>2706</v>
      </c>
      <c r="I1018" t="s">
        <v>116</v>
      </c>
      <c r="J1018" t="s">
        <v>62</v>
      </c>
      <c r="K1018" t="s">
        <v>1234</v>
      </c>
      <c r="L1018" t="s">
        <v>98</v>
      </c>
      <c r="M1018" t="s">
        <v>38</v>
      </c>
      <c r="N1018" t="s">
        <v>55</v>
      </c>
      <c r="O1018" t="s">
        <v>56</v>
      </c>
      <c r="P1018" t="s">
        <v>68</v>
      </c>
      <c r="Q1018">
        <v>174</v>
      </c>
      <c r="R1018">
        <v>10.88</v>
      </c>
      <c r="S1018">
        <v>1893.12</v>
      </c>
      <c r="T1018">
        <v>39.79</v>
      </c>
      <c r="U1018">
        <v>3</v>
      </c>
      <c r="V1018">
        <v>2323</v>
      </c>
      <c r="W1018" t="s">
        <v>36</v>
      </c>
      <c r="X1018">
        <v>65.239999999999995</v>
      </c>
    </row>
    <row r="1019" spans="1:24" x14ac:dyDescent="0.25">
      <c r="A1019" s="2">
        <v>101017</v>
      </c>
      <c r="B1019" s="1">
        <v>45909</v>
      </c>
      <c r="C1019" s="1">
        <v>45910</v>
      </c>
      <c r="D1019" s="1">
        <v>45933</v>
      </c>
      <c r="E1019" t="s">
        <v>2707</v>
      </c>
      <c r="F1019" t="s">
        <v>38</v>
      </c>
      <c r="G1019" t="s">
        <v>217</v>
      </c>
      <c r="H1019" t="s">
        <v>2708</v>
      </c>
      <c r="I1019" t="s">
        <v>144</v>
      </c>
      <c r="J1019" t="s">
        <v>52</v>
      </c>
      <c r="K1019" t="s">
        <v>1158</v>
      </c>
      <c r="L1019" t="s">
        <v>122</v>
      </c>
      <c r="M1019" t="s">
        <v>54</v>
      </c>
      <c r="N1019" t="s">
        <v>33</v>
      </c>
      <c r="O1019" t="s">
        <v>34</v>
      </c>
      <c r="P1019" t="s">
        <v>76</v>
      </c>
      <c r="Q1019">
        <v>330</v>
      </c>
      <c r="R1019">
        <v>77.180000000000007</v>
      </c>
      <c r="S1019">
        <v>25469.4</v>
      </c>
      <c r="T1019">
        <v>14.03</v>
      </c>
      <c r="U1019">
        <v>23</v>
      </c>
      <c r="V1019">
        <v>1888</v>
      </c>
      <c r="W1019" t="s">
        <v>36</v>
      </c>
      <c r="X1019">
        <v>3208.1</v>
      </c>
    </row>
    <row r="1020" spans="1:24" x14ac:dyDescent="0.25">
      <c r="A1020" s="2">
        <v>101018</v>
      </c>
      <c r="B1020" s="1">
        <v>45924</v>
      </c>
      <c r="C1020" s="1">
        <v>45926</v>
      </c>
      <c r="D1020" s="1">
        <v>45946</v>
      </c>
      <c r="E1020" t="s">
        <v>2709</v>
      </c>
      <c r="F1020" t="s">
        <v>54</v>
      </c>
      <c r="G1020" t="s">
        <v>158</v>
      </c>
      <c r="H1020" t="s">
        <v>2710</v>
      </c>
      <c r="I1020" t="s">
        <v>246</v>
      </c>
      <c r="J1020" t="s">
        <v>29</v>
      </c>
      <c r="K1020" t="s">
        <v>2711</v>
      </c>
      <c r="L1020" t="s">
        <v>98</v>
      </c>
      <c r="M1020" t="s">
        <v>25</v>
      </c>
      <c r="N1020" t="s">
        <v>203</v>
      </c>
      <c r="O1020" t="s">
        <v>204</v>
      </c>
      <c r="P1020" t="s">
        <v>76</v>
      </c>
      <c r="Q1020">
        <v>488</v>
      </c>
      <c r="R1020">
        <v>50.15</v>
      </c>
      <c r="S1020">
        <v>24473.200000000001</v>
      </c>
      <c r="T1020">
        <v>16.91</v>
      </c>
      <c r="U1020">
        <v>20</v>
      </c>
      <c r="V1020">
        <v>516</v>
      </c>
      <c r="W1020" t="s">
        <v>188</v>
      </c>
      <c r="X1020">
        <v>6138.87</v>
      </c>
    </row>
    <row r="1021" spans="1:24" x14ac:dyDescent="0.25">
      <c r="A1021" s="2">
        <v>101019</v>
      </c>
      <c r="B1021" s="1">
        <v>45304</v>
      </c>
      <c r="C1021" s="1">
        <v>45309</v>
      </c>
      <c r="D1021" s="1">
        <v>45313</v>
      </c>
      <c r="E1021" t="s">
        <v>2712</v>
      </c>
      <c r="F1021" t="s">
        <v>38</v>
      </c>
      <c r="G1021" t="s">
        <v>217</v>
      </c>
      <c r="H1021" t="s">
        <v>2713</v>
      </c>
      <c r="I1021" t="s">
        <v>28</v>
      </c>
      <c r="J1021" t="s">
        <v>29</v>
      </c>
      <c r="K1021" t="s">
        <v>2714</v>
      </c>
      <c r="L1021" t="s">
        <v>187</v>
      </c>
      <c r="M1021" t="s">
        <v>25</v>
      </c>
      <c r="N1021" t="s">
        <v>92</v>
      </c>
      <c r="O1021" t="s">
        <v>93</v>
      </c>
      <c r="P1021" t="s">
        <v>68</v>
      </c>
      <c r="Q1021">
        <v>198</v>
      </c>
      <c r="R1021">
        <v>101.07</v>
      </c>
      <c r="S1021">
        <v>20011.86</v>
      </c>
      <c r="T1021">
        <v>41.34</v>
      </c>
      <c r="U1021">
        <v>4</v>
      </c>
      <c r="V1021">
        <v>599</v>
      </c>
      <c r="W1021" t="s">
        <v>36</v>
      </c>
      <c r="X1021">
        <v>5118.92</v>
      </c>
    </row>
    <row r="1022" spans="1:24" x14ac:dyDescent="0.25">
      <c r="A1022" s="2">
        <v>101020</v>
      </c>
      <c r="B1022" s="1">
        <v>45551</v>
      </c>
      <c r="C1022" s="1">
        <v>45555</v>
      </c>
      <c r="D1022" s="1">
        <v>45560</v>
      </c>
      <c r="E1022" t="s">
        <v>2715</v>
      </c>
      <c r="F1022" t="s">
        <v>54</v>
      </c>
      <c r="G1022" t="s">
        <v>165</v>
      </c>
      <c r="H1022" t="s">
        <v>2716</v>
      </c>
      <c r="I1022" t="s">
        <v>198</v>
      </c>
      <c r="J1022" t="s">
        <v>52</v>
      </c>
      <c r="K1022" t="s">
        <v>2717</v>
      </c>
      <c r="L1022" t="s">
        <v>64</v>
      </c>
      <c r="M1022" t="s">
        <v>25</v>
      </c>
      <c r="N1022" t="s">
        <v>55</v>
      </c>
      <c r="O1022" t="s">
        <v>56</v>
      </c>
      <c r="P1022" t="s">
        <v>123</v>
      </c>
      <c r="Q1022">
        <v>442</v>
      </c>
      <c r="R1022">
        <v>35.22</v>
      </c>
      <c r="S1022">
        <v>15567.24</v>
      </c>
      <c r="T1022">
        <v>21.43</v>
      </c>
      <c r="U1022">
        <v>5</v>
      </c>
      <c r="V1022">
        <v>4271</v>
      </c>
      <c r="W1022" t="s">
        <v>36</v>
      </c>
      <c r="X1022">
        <v>1381.07</v>
      </c>
    </row>
    <row r="1023" spans="1:24" x14ac:dyDescent="0.25">
      <c r="A1023" s="2">
        <v>101021</v>
      </c>
      <c r="B1023" s="1">
        <v>45419</v>
      </c>
      <c r="C1023" s="1">
        <v>45419</v>
      </c>
      <c r="D1023" s="1">
        <v>45424</v>
      </c>
      <c r="E1023" t="s">
        <v>2718</v>
      </c>
      <c r="F1023" t="s">
        <v>65</v>
      </c>
      <c r="G1023" t="s">
        <v>142</v>
      </c>
      <c r="H1023" t="s">
        <v>2719</v>
      </c>
      <c r="I1023" t="s">
        <v>85</v>
      </c>
      <c r="J1023" t="s">
        <v>52</v>
      </c>
      <c r="K1023" t="s">
        <v>1730</v>
      </c>
      <c r="L1023" t="s">
        <v>31</v>
      </c>
      <c r="M1023" t="s">
        <v>25</v>
      </c>
      <c r="N1023" t="s">
        <v>107</v>
      </c>
      <c r="O1023" t="s">
        <v>108</v>
      </c>
      <c r="P1023" t="s">
        <v>123</v>
      </c>
      <c r="Q1023">
        <v>269</v>
      </c>
      <c r="R1023">
        <v>21.92</v>
      </c>
      <c r="S1023">
        <v>5896.48</v>
      </c>
      <c r="T1023">
        <v>17.23</v>
      </c>
      <c r="U1023">
        <v>5</v>
      </c>
      <c r="V1023">
        <v>2768</v>
      </c>
      <c r="W1023" t="s">
        <v>36</v>
      </c>
      <c r="X1023">
        <v>623.86</v>
      </c>
    </row>
    <row r="1024" spans="1:24" x14ac:dyDescent="0.25">
      <c r="A1024" s="2">
        <v>101022</v>
      </c>
      <c r="B1024" s="1">
        <v>45766</v>
      </c>
      <c r="C1024" s="1">
        <v>45770</v>
      </c>
      <c r="D1024" s="1">
        <v>45773</v>
      </c>
      <c r="E1024" t="s">
        <v>2720</v>
      </c>
      <c r="F1024" t="s">
        <v>25</v>
      </c>
      <c r="G1024" t="s">
        <v>26</v>
      </c>
      <c r="H1024" t="s">
        <v>2721</v>
      </c>
      <c r="I1024" t="s">
        <v>149</v>
      </c>
      <c r="J1024" t="s">
        <v>42</v>
      </c>
      <c r="K1024" t="s">
        <v>971</v>
      </c>
      <c r="L1024" t="s">
        <v>212</v>
      </c>
      <c r="M1024" t="s">
        <v>54</v>
      </c>
      <c r="N1024" t="s">
        <v>33</v>
      </c>
      <c r="O1024" t="s">
        <v>34</v>
      </c>
      <c r="P1024" t="s">
        <v>68</v>
      </c>
      <c r="Q1024">
        <v>158</v>
      </c>
      <c r="R1024">
        <v>175.37</v>
      </c>
      <c r="S1024">
        <v>27708.46</v>
      </c>
      <c r="T1024">
        <v>38.75</v>
      </c>
      <c r="U1024">
        <v>3</v>
      </c>
      <c r="V1024">
        <v>180</v>
      </c>
      <c r="W1024" t="s">
        <v>36</v>
      </c>
      <c r="X1024">
        <v>5350.62</v>
      </c>
    </row>
    <row r="1025" spans="1:24" x14ac:dyDescent="0.25">
      <c r="A1025" s="2">
        <v>101023</v>
      </c>
      <c r="B1025" s="1">
        <v>45928</v>
      </c>
      <c r="C1025" s="1">
        <v>45931</v>
      </c>
      <c r="D1025" s="1">
        <v>45944</v>
      </c>
      <c r="E1025" t="s">
        <v>2722</v>
      </c>
      <c r="F1025" t="s">
        <v>65</v>
      </c>
      <c r="G1025" t="s">
        <v>70</v>
      </c>
      <c r="H1025" t="s">
        <v>2723</v>
      </c>
      <c r="I1025" t="s">
        <v>61</v>
      </c>
      <c r="J1025" t="s">
        <v>62</v>
      </c>
      <c r="K1025" t="s">
        <v>1405</v>
      </c>
      <c r="L1025" t="s">
        <v>44</v>
      </c>
      <c r="M1025" t="s">
        <v>25</v>
      </c>
      <c r="N1025" t="s">
        <v>45</v>
      </c>
      <c r="O1025" t="s">
        <v>46</v>
      </c>
      <c r="P1025" t="s">
        <v>123</v>
      </c>
      <c r="Q1025">
        <v>167</v>
      </c>
      <c r="R1025">
        <v>23.66</v>
      </c>
      <c r="S1025">
        <v>3951.22</v>
      </c>
      <c r="T1025">
        <v>14.75</v>
      </c>
      <c r="U1025">
        <v>13</v>
      </c>
      <c r="V1025">
        <v>3336</v>
      </c>
      <c r="W1025" t="s">
        <v>36</v>
      </c>
      <c r="X1025">
        <v>655.16999999999996</v>
      </c>
    </row>
    <row r="1026" spans="1:24" x14ac:dyDescent="0.25">
      <c r="A1026" s="2">
        <v>101024</v>
      </c>
      <c r="B1026" s="1">
        <v>45399</v>
      </c>
      <c r="C1026" s="1">
        <v>45401</v>
      </c>
      <c r="D1026" s="1">
        <v>45426</v>
      </c>
      <c r="E1026" t="s">
        <v>2724</v>
      </c>
      <c r="F1026" t="s">
        <v>54</v>
      </c>
      <c r="G1026" t="s">
        <v>129</v>
      </c>
      <c r="H1026" t="s">
        <v>2725</v>
      </c>
      <c r="I1026" t="s">
        <v>28</v>
      </c>
      <c r="J1026" t="s">
        <v>29</v>
      </c>
      <c r="K1026" t="s">
        <v>1935</v>
      </c>
      <c r="L1026" t="s">
        <v>44</v>
      </c>
      <c r="M1026" t="s">
        <v>65</v>
      </c>
      <c r="N1026" t="s">
        <v>92</v>
      </c>
      <c r="O1026" t="s">
        <v>93</v>
      </c>
      <c r="P1026" t="s">
        <v>76</v>
      </c>
      <c r="Q1026">
        <v>96</v>
      </c>
      <c r="R1026">
        <v>44.99</v>
      </c>
      <c r="S1026">
        <v>4319.04</v>
      </c>
      <c r="T1026">
        <v>9.77</v>
      </c>
      <c r="U1026">
        <v>25</v>
      </c>
      <c r="V1026">
        <v>2419</v>
      </c>
      <c r="W1026" t="s">
        <v>188</v>
      </c>
      <c r="X1026">
        <v>634.51</v>
      </c>
    </row>
    <row r="1027" spans="1:24" x14ac:dyDescent="0.25">
      <c r="A1027" s="2">
        <v>101025</v>
      </c>
      <c r="B1027" s="1">
        <v>45602</v>
      </c>
      <c r="C1027" s="1">
        <v>45603</v>
      </c>
      <c r="D1027" s="1">
        <v>45609</v>
      </c>
      <c r="E1027" t="s">
        <v>2726</v>
      </c>
      <c r="F1027" t="s">
        <v>65</v>
      </c>
      <c r="G1027" t="s">
        <v>142</v>
      </c>
      <c r="H1027" t="s">
        <v>2727</v>
      </c>
      <c r="I1027" t="s">
        <v>85</v>
      </c>
      <c r="J1027" t="s">
        <v>52</v>
      </c>
      <c r="K1027" t="s">
        <v>167</v>
      </c>
      <c r="L1027" t="s">
        <v>64</v>
      </c>
      <c r="M1027" t="s">
        <v>25</v>
      </c>
      <c r="N1027" t="s">
        <v>74</v>
      </c>
      <c r="O1027" t="s">
        <v>75</v>
      </c>
      <c r="P1027" t="s">
        <v>123</v>
      </c>
      <c r="Q1027">
        <v>16</v>
      </c>
      <c r="R1027">
        <v>44.08</v>
      </c>
      <c r="S1027">
        <v>705.28</v>
      </c>
      <c r="T1027">
        <v>11.08</v>
      </c>
      <c r="U1027">
        <v>6</v>
      </c>
      <c r="V1027">
        <v>4385</v>
      </c>
      <c r="W1027" t="s">
        <v>57</v>
      </c>
      <c r="X1027">
        <v>82.7</v>
      </c>
    </row>
    <row r="1028" spans="1:24" x14ac:dyDescent="0.25">
      <c r="A1028" s="2">
        <v>101026</v>
      </c>
      <c r="B1028" s="1">
        <v>45579</v>
      </c>
      <c r="C1028" s="1">
        <v>45581</v>
      </c>
      <c r="D1028" s="1">
        <v>45591</v>
      </c>
      <c r="E1028" t="s">
        <v>2728</v>
      </c>
      <c r="F1028" t="s">
        <v>54</v>
      </c>
      <c r="G1028" t="s">
        <v>129</v>
      </c>
      <c r="H1028" t="s">
        <v>2729</v>
      </c>
      <c r="I1028" t="s">
        <v>182</v>
      </c>
      <c r="J1028" t="s">
        <v>80</v>
      </c>
      <c r="K1028" t="s">
        <v>2702</v>
      </c>
      <c r="L1028" t="s">
        <v>98</v>
      </c>
      <c r="M1028" t="s">
        <v>38</v>
      </c>
      <c r="N1028" t="s">
        <v>55</v>
      </c>
      <c r="O1028" t="s">
        <v>56</v>
      </c>
      <c r="P1028" t="s">
        <v>76</v>
      </c>
      <c r="Q1028">
        <v>196</v>
      </c>
      <c r="R1028">
        <v>124.46</v>
      </c>
      <c r="S1028">
        <v>24394.16</v>
      </c>
      <c r="T1028">
        <v>11.59</v>
      </c>
      <c r="U1028">
        <v>10</v>
      </c>
      <c r="V1028">
        <v>2013</v>
      </c>
      <c r="W1028" t="s">
        <v>36</v>
      </c>
      <c r="X1028">
        <v>2903.18</v>
      </c>
    </row>
    <row r="1029" spans="1:24" x14ac:dyDescent="0.25">
      <c r="A1029" s="2">
        <v>101027</v>
      </c>
      <c r="B1029" s="1">
        <v>45856</v>
      </c>
      <c r="C1029" s="1">
        <v>45857</v>
      </c>
      <c r="D1029" s="1">
        <v>45863</v>
      </c>
      <c r="E1029" t="s">
        <v>2730</v>
      </c>
      <c r="F1029" t="s">
        <v>25</v>
      </c>
      <c r="G1029" t="s">
        <v>59</v>
      </c>
      <c r="H1029" t="s">
        <v>2731</v>
      </c>
      <c r="I1029" t="s">
        <v>207</v>
      </c>
      <c r="J1029" t="s">
        <v>80</v>
      </c>
      <c r="K1029" t="s">
        <v>1683</v>
      </c>
      <c r="L1029" t="s">
        <v>212</v>
      </c>
      <c r="M1029" t="s">
        <v>32</v>
      </c>
      <c r="N1029" t="s">
        <v>203</v>
      </c>
      <c r="O1029" t="s">
        <v>204</v>
      </c>
      <c r="P1029" t="s">
        <v>123</v>
      </c>
      <c r="Q1029">
        <v>422</v>
      </c>
      <c r="R1029">
        <v>198.41</v>
      </c>
      <c r="S1029">
        <v>83729.02</v>
      </c>
      <c r="T1029">
        <v>20.95</v>
      </c>
      <c r="U1029">
        <v>6</v>
      </c>
      <c r="V1029">
        <v>1139</v>
      </c>
      <c r="W1029" t="s">
        <v>36</v>
      </c>
      <c r="X1029">
        <v>11864.75</v>
      </c>
    </row>
    <row r="1030" spans="1:24" x14ac:dyDescent="0.25">
      <c r="A1030" s="2">
        <v>101028</v>
      </c>
      <c r="B1030" s="1">
        <v>45478</v>
      </c>
      <c r="C1030" s="1">
        <v>45482</v>
      </c>
      <c r="D1030" s="1">
        <v>45493</v>
      </c>
      <c r="E1030" t="s">
        <v>2732</v>
      </c>
      <c r="F1030" t="s">
        <v>25</v>
      </c>
      <c r="G1030" t="s">
        <v>172</v>
      </c>
      <c r="H1030" t="s">
        <v>2733</v>
      </c>
      <c r="I1030" t="s">
        <v>134</v>
      </c>
      <c r="J1030" t="s">
        <v>52</v>
      </c>
      <c r="K1030" t="s">
        <v>2734</v>
      </c>
      <c r="L1030" t="s">
        <v>113</v>
      </c>
      <c r="M1030" t="s">
        <v>32</v>
      </c>
      <c r="N1030" t="s">
        <v>66</v>
      </c>
      <c r="O1030" t="s">
        <v>67</v>
      </c>
      <c r="P1030" t="s">
        <v>123</v>
      </c>
      <c r="Q1030">
        <v>339</v>
      </c>
      <c r="R1030">
        <v>28.18</v>
      </c>
      <c r="S1030">
        <v>9553.02</v>
      </c>
      <c r="T1030">
        <v>18.93</v>
      </c>
      <c r="U1030">
        <v>11</v>
      </c>
      <c r="V1030">
        <v>825</v>
      </c>
      <c r="W1030" t="s">
        <v>36</v>
      </c>
      <c r="X1030">
        <v>1422.98</v>
      </c>
    </row>
    <row r="1031" spans="1:24" x14ac:dyDescent="0.25">
      <c r="A1031" s="2">
        <v>101029</v>
      </c>
      <c r="B1031" s="1">
        <v>45489</v>
      </c>
      <c r="C1031" s="1">
        <v>45489</v>
      </c>
      <c r="D1031" s="1">
        <v>45497</v>
      </c>
      <c r="E1031" t="s">
        <v>1031</v>
      </c>
      <c r="F1031" t="s">
        <v>38</v>
      </c>
      <c r="G1031" t="s">
        <v>147</v>
      </c>
      <c r="H1031" t="s">
        <v>2735</v>
      </c>
      <c r="I1031" t="s">
        <v>139</v>
      </c>
      <c r="J1031" t="s">
        <v>42</v>
      </c>
      <c r="K1031" t="s">
        <v>1608</v>
      </c>
      <c r="L1031" t="s">
        <v>113</v>
      </c>
      <c r="M1031" t="s">
        <v>54</v>
      </c>
      <c r="N1031" t="s">
        <v>33</v>
      </c>
      <c r="O1031" t="s">
        <v>34</v>
      </c>
      <c r="P1031" t="s">
        <v>123</v>
      </c>
      <c r="Q1031">
        <v>384</v>
      </c>
      <c r="R1031">
        <v>61.46</v>
      </c>
      <c r="S1031">
        <v>23600.639999999999</v>
      </c>
      <c r="T1031">
        <v>20.02</v>
      </c>
      <c r="U1031">
        <v>8</v>
      </c>
      <c r="V1031">
        <v>325</v>
      </c>
      <c r="W1031" t="s">
        <v>36</v>
      </c>
      <c r="X1031">
        <v>3285.81</v>
      </c>
    </row>
    <row r="1032" spans="1:24" x14ac:dyDescent="0.25">
      <c r="A1032" s="2">
        <v>101030</v>
      </c>
      <c r="B1032" s="1">
        <v>45298</v>
      </c>
      <c r="C1032" s="1">
        <v>45301</v>
      </c>
      <c r="D1032" s="1">
        <v>45312</v>
      </c>
      <c r="E1032" t="s">
        <v>2736</v>
      </c>
      <c r="F1032" t="s">
        <v>65</v>
      </c>
      <c r="G1032" t="s">
        <v>70</v>
      </c>
      <c r="H1032" t="s">
        <v>2737</v>
      </c>
      <c r="I1032" t="s">
        <v>238</v>
      </c>
      <c r="J1032" t="s">
        <v>62</v>
      </c>
      <c r="K1032" t="s">
        <v>2738</v>
      </c>
      <c r="L1032" t="s">
        <v>31</v>
      </c>
      <c r="M1032" t="s">
        <v>38</v>
      </c>
      <c r="N1032" t="s">
        <v>203</v>
      </c>
      <c r="O1032" t="s">
        <v>204</v>
      </c>
      <c r="P1032" t="s">
        <v>123</v>
      </c>
      <c r="Q1032">
        <v>127</v>
      </c>
      <c r="R1032">
        <v>48.99</v>
      </c>
      <c r="S1032">
        <v>6221.73</v>
      </c>
      <c r="T1032">
        <v>13.78</v>
      </c>
      <c r="U1032">
        <v>11</v>
      </c>
      <c r="V1032">
        <v>659</v>
      </c>
      <c r="W1032" t="s">
        <v>36</v>
      </c>
      <c r="X1032">
        <v>741.65</v>
      </c>
    </row>
    <row r="1033" spans="1:24" x14ac:dyDescent="0.25">
      <c r="A1033" s="2">
        <v>101031</v>
      </c>
      <c r="B1033" s="1">
        <v>45447</v>
      </c>
      <c r="C1033" s="1">
        <v>45452</v>
      </c>
      <c r="D1033" s="1">
        <v>45462</v>
      </c>
      <c r="E1033" t="s">
        <v>2739</v>
      </c>
      <c r="F1033" t="s">
        <v>38</v>
      </c>
      <c r="G1033" t="s">
        <v>217</v>
      </c>
      <c r="H1033" t="s">
        <v>2740</v>
      </c>
      <c r="I1033" t="s">
        <v>198</v>
      </c>
      <c r="J1033" t="s">
        <v>52</v>
      </c>
      <c r="K1033" t="s">
        <v>2741</v>
      </c>
      <c r="L1033" t="s">
        <v>187</v>
      </c>
      <c r="M1033" t="s">
        <v>38</v>
      </c>
      <c r="N1033" t="s">
        <v>33</v>
      </c>
      <c r="O1033" t="s">
        <v>34</v>
      </c>
      <c r="P1033" t="s">
        <v>68</v>
      </c>
      <c r="Q1033">
        <v>177</v>
      </c>
      <c r="R1033">
        <v>84.09</v>
      </c>
      <c r="S1033">
        <v>14883.93</v>
      </c>
      <c r="T1033">
        <v>29.62</v>
      </c>
      <c r="U1033">
        <v>10</v>
      </c>
      <c r="V1033">
        <v>1974</v>
      </c>
      <c r="W1033" t="s">
        <v>36</v>
      </c>
      <c r="X1033">
        <v>2543.88</v>
      </c>
    </row>
    <row r="1034" spans="1:24" x14ac:dyDescent="0.25">
      <c r="A1034" s="2">
        <v>101032</v>
      </c>
      <c r="B1034" s="1">
        <v>45804</v>
      </c>
      <c r="C1034" s="1">
        <v>45809</v>
      </c>
      <c r="D1034" s="1">
        <v>45822</v>
      </c>
      <c r="E1034" t="s">
        <v>2742</v>
      </c>
      <c r="F1034" t="s">
        <v>54</v>
      </c>
      <c r="G1034" t="s">
        <v>158</v>
      </c>
      <c r="H1034" t="s">
        <v>2743</v>
      </c>
      <c r="I1034" t="s">
        <v>79</v>
      </c>
      <c r="J1034" t="s">
        <v>80</v>
      </c>
      <c r="K1034" t="s">
        <v>1054</v>
      </c>
      <c r="L1034" t="s">
        <v>98</v>
      </c>
      <c r="M1034" t="s">
        <v>65</v>
      </c>
      <c r="N1034" t="s">
        <v>107</v>
      </c>
      <c r="O1034" t="s">
        <v>108</v>
      </c>
      <c r="P1034" t="s">
        <v>123</v>
      </c>
      <c r="Q1034">
        <v>139</v>
      </c>
      <c r="R1034">
        <v>61.95</v>
      </c>
      <c r="S1034">
        <v>8611.0499999999993</v>
      </c>
      <c r="T1034">
        <v>14.07</v>
      </c>
      <c r="U1034">
        <v>13</v>
      </c>
      <c r="V1034">
        <v>601</v>
      </c>
      <c r="W1034" t="s">
        <v>36</v>
      </c>
      <c r="X1034">
        <v>2130.5100000000002</v>
      </c>
    </row>
    <row r="1035" spans="1:24" x14ac:dyDescent="0.25">
      <c r="A1035" s="2">
        <v>101033</v>
      </c>
      <c r="B1035" s="1">
        <v>45425</v>
      </c>
      <c r="C1035" s="1">
        <v>45427</v>
      </c>
      <c r="D1035" s="1">
        <v>45430</v>
      </c>
      <c r="E1035" t="s">
        <v>2744</v>
      </c>
      <c r="F1035" t="s">
        <v>38</v>
      </c>
      <c r="G1035" t="s">
        <v>217</v>
      </c>
      <c r="H1035" t="s">
        <v>2745</v>
      </c>
      <c r="I1035" t="s">
        <v>72</v>
      </c>
      <c r="J1035" t="s">
        <v>42</v>
      </c>
      <c r="K1035" t="s">
        <v>2575</v>
      </c>
      <c r="L1035" t="s">
        <v>122</v>
      </c>
      <c r="M1035" t="s">
        <v>32</v>
      </c>
      <c r="N1035" t="s">
        <v>203</v>
      </c>
      <c r="O1035" t="s">
        <v>204</v>
      </c>
      <c r="P1035" t="s">
        <v>35</v>
      </c>
      <c r="Q1035">
        <v>168</v>
      </c>
      <c r="R1035">
        <v>433.5</v>
      </c>
      <c r="S1035">
        <v>72828</v>
      </c>
      <c r="T1035">
        <v>17.239999999999998</v>
      </c>
      <c r="U1035">
        <v>3</v>
      </c>
      <c r="V1035">
        <v>989</v>
      </c>
      <c r="W1035" t="s">
        <v>36</v>
      </c>
      <c r="X1035">
        <v>11350.93</v>
      </c>
    </row>
    <row r="1036" spans="1:24" x14ac:dyDescent="0.25">
      <c r="A1036" s="2">
        <v>101034</v>
      </c>
      <c r="B1036" s="1">
        <v>45358</v>
      </c>
      <c r="C1036" s="1">
        <v>45363</v>
      </c>
      <c r="D1036" s="1">
        <v>45371</v>
      </c>
      <c r="E1036" t="s">
        <v>2746</v>
      </c>
      <c r="F1036" t="s">
        <v>25</v>
      </c>
      <c r="G1036" t="s">
        <v>233</v>
      </c>
      <c r="H1036" t="s">
        <v>214</v>
      </c>
      <c r="I1036" t="s">
        <v>278</v>
      </c>
      <c r="J1036" t="s">
        <v>29</v>
      </c>
      <c r="K1036" t="s">
        <v>573</v>
      </c>
      <c r="L1036" t="s">
        <v>212</v>
      </c>
      <c r="M1036" t="s">
        <v>54</v>
      </c>
      <c r="N1036" t="s">
        <v>92</v>
      </c>
      <c r="O1036" t="s">
        <v>93</v>
      </c>
      <c r="P1036" t="s">
        <v>35</v>
      </c>
      <c r="Q1036">
        <v>361</v>
      </c>
      <c r="R1036">
        <v>97.15</v>
      </c>
      <c r="S1036">
        <v>35071.15</v>
      </c>
      <c r="T1036">
        <v>22.71</v>
      </c>
      <c r="U1036">
        <v>8</v>
      </c>
      <c r="V1036">
        <v>355</v>
      </c>
      <c r="W1036" t="s">
        <v>57</v>
      </c>
      <c r="X1036">
        <v>6262.21</v>
      </c>
    </row>
    <row r="1037" spans="1:24" x14ac:dyDescent="0.25">
      <c r="A1037" s="2">
        <v>101035</v>
      </c>
      <c r="B1037" s="1">
        <v>45540</v>
      </c>
      <c r="C1037" s="1">
        <v>45541</v>
      </c>
      <c r="D1037" s="1">
        <v>45549</v>
      </c>
      <c r="E1037" t="s">
        <v>2747</v>
      </c>
      <c r="F1037" t="s">
        <v>65</v>
      </c>
      <c r="G1037" t="s">
        <v>70</v>
      </c>
      <c r="H1037" t="s">
        <v>2748</v>
      </c>
      <c r="I1037" t="s">
        <v>191</v>
      </c>
      <c r="J1037" t="s">
        <v>62</v>
      </c>
      <c r="K1037" t="s">
        <v>1867</v>
      </c>
      <c r="L1037" t="s">
        <v>44</v>
      </c>
      <c r="M1037" t="s">
        <v>38</v>
      </c>
      <c r="N1037" t="s">
        <v>107</v>
      </c>
      <c r="O1037" t="s">
        <v>108</v>
      </c>
      <c r="P1037" t="s">
        <v>68</v>
      </c>
      <c r="Q1037">
        <v>147</v>
      </c>
      <c r="R1037">
        <v>37.700000000000003</v>
      </c>
      <c r="S1037">
        <v>5541.9</v>
      </c>
      <c r="T1037">
        <v>38.04</v>
      </c>
      <c r="U1037">
        <v>8</v>
      </c>
      <c r="V1037">
        <v>1241</v>
      </c>
      <c r="W1037" t="s">
        <v>36</v>
      </c>
      <c r="X1037">
        <v>328.3</v>
      </c>
    </row>
    <row r="1038" spans="1:24" x14ac:dyDescent="0.25">
      <c r="A1038" s="2">
        <v>101036</v>
      </c>
      <c r="B1038" s="1">
        <v>45829</v>
      </c>
      <c r="C1038" s="1">
        <v>45834</v>
      </c>
      <c r="D1038" s="1">
        <v>45840</v>
      </c>
      <c r="E1038" t="s">
        <v>2749</v>
      </c>
      <c r="F1038" t="s">
        <v>54</v>
      </c>
      <c r="G1038" t="s">
        <v>225</v>
      </c>
      <c r="H1038" t="s">
        <v>2750</v>
      </c>
      <c r="I1038" t="s">
        <v>41</v>
      </c>
      <c r="J1038" t="s">
        <v>42</v>
      </c>
      <c r="K1038" t="s">
        <v>2751</v>
      </c>
      <c r="L1038" t="s">
        <v>91</v>
      </c>
      <c r="M1038" t="s">
        <v>25</v>
      </c>
      <c r="N1038" t="s">
        <v>151</v>
      </c>
      <c r="O1038" t="s">
        <v>152</v>
      </c>
      <c r="P1038" t="s">
        <v>35</v>
      </c>
      <c r="Q1038">
        <v>378</v>
      </c>
      <c r="R1038">
        <v>227.05</v>
      </c>
      <c r="S1038">
        <v>85824.9</v>
      </c>
      <c r="T1038">
        <v>23.19</v>
      </c>
      <c r="U1038">
        <v>6</v>
      </c>
      <c r="V1038">
        <v>1588</v>
      </c>
      <c r="W1038" t="s">
        <v>36</v>
      </c>
      <c r="X1038">
        <v>10724.33</v>
      </c>
    </row>
    <row r="1039" spans="1:24" x14ac:dyDescent="0.25">
      <c r="A1039" s="2">
        <v>101037</v>
      </c>
      <c r="B1039" s="1">
        <v>45918</v>
      </c>
      <c r="C1039" s="1">
        <v>45920</v>
      </c>
      <c r="D1039" s="1">
        <v>45938</v>
      </c>
      <c r="E1039" t="s">
        <v>2752</v>
      </c>
      <c r="F1039" t="s">
        <v>54</v>
      </c>
      <c r="G1039" t="s">
        <v>129</v>
      </c>
      <c r="H1039" t="s">
        <v>2753</v>
      </c>
      <c r="I1039" t="s">
        <v>79</v>
      </c>
      <c r="J1039" t="s">
        <v>80</v>
      </c>
      <c r="K1039" t="s">
        <v>2754</v>
      </c>
      <c r="L1039" t="s">
        <v>113</v>
      </c>
      <c r="M1039" t="s">
        <v>65</v>
      </c>
      <c r="N1039" t="s">
        <v>55</v>
      </c>
      <c r="O1039" t="s">
        <v>56</v>
      </c>
      <c r="P1039" t="s">
        <v>76</v>
      </c>
      <c r="Q1039">
        <v>327</v>
      </c>
      <c r="R1039">
        <v>209.84</v>
      </c>
      <c r="S1039">
        <v>68617.679999999993</v>
      </c>
      <c r="T1039">
        <v>13.98</v>
      </c>
      <c r="U1039">
        <v>18</v>
      </c>
      <c r="V1039">
        <v>1402</v>
      </c>
      <c r="W1039" t="s">
        <v>57</v>
      </c>
      <c r="X1039">
        <v>14656.36</v>
      </c>
    </row>
    <row r="1040" spans="1:24" x14ac:dyDescent="0.25">
      <c r="A1040" s="2">
        <v>101038</v>
      </c>
      <c r="B1040" s="1">
        <v>45673</v>
      </c>
      <c r="C1040" s="1">
        <v>45674</v>
      </c>
      <c r="D1040" s="1">
        <v>45676</v>
      </c>
      <c r="E1040" t="s">
        <v>2755</v>
      </c>
      <c r="F1040" t="s">
        <v>54</v>
      </c>
      <c r="G1040" t="s">
        <v>165</v>
      </c>
      <c r="H1040" t="s">
        <v>2756</v>
      </c>
      <c r="I1040" t="s">
        <v>126</v>
      </c>
      <c r="J1040" t="s">
        <v>42</v>
      </c>
      <c r="K1040" t="s">
        <v>1525</v>
      </c>
      <c r="L1040" t="s">
        <v>122</v>
      </c>
      <c r="M1040" t="s">
        <v>25</v>
      </c>
      <c r="N1040" t="s">
        <v>45</v>
      </c>
      <c r="O1040" t="s">
        <v>46</v>
      </c>
      <c r="P1040" t="s">
        <v>68</v>
      </c>
      <c r="Q1040">
        <v>126</v>
      </c>
      <c r="R1040">
        <v>298.74</v>
      </c>
      <c r="S1040">
        <v>37641.24</v>
      </c>
      <c r="T1040">
        <v>36.68</v>
      </c>
      <c r="U1040">
        <v>2</v>
      </c>
      <c r="V1040">
        <v>863</v>
      </c>
      <c r="W1040" t="s">
        <v>36</v>
      </c>
      <c r="X1040">
        <v>6316.66</v>
      </c>
    </row>
    <row r="1041" spans="1:24" x14ac:dyDescent="0.25">
      <c r="A1041" s="2">
        <v>101039</v>
      </c>
      <c r="B1041" s="1">
        <v>45525</v>
      </c>
      <c r="C1041" s="1">
        <v>45527</v>
      </c>
      <c r="D1041" s="1">
        <v>45530</v>
      </c>
      <c r="E1041" t="s">
        <v>2757</v>
      </c>
      <c r="F1041" t="s">
        <v>25</v>
      </c>
      <c r="G1041" t="s">
        <v>26</v>
      </c>
      <c r="H1041" t="s">
        <v>2758</v>
      </c>
      <c r="I1041" t="s">
        <v>89</v>
      </c>
      <c r="J1041" t="s">
        <v>62</v>
      </c>
      <c r="K1041" t="s">
        <v>971</v>
      </c>
      <c r="L1041" t="s">
        <v>31</v>
      </c>
      <c r="M1041" t="s">
        <v>54</v>
      </c>
      <c r="N1041" t="s">
        <v>66</v>
      </c>
      <c r="O1041" t="s">
        <v>67</v>
      </c>
      <c r="P1041" t="s">
        <v>35</v>
      </c>
      <c r="Q1041">
        <v>45</v>
      </c>
      <c r="R1041">
        <v>7.24</v>
      </c>
      <c r="S1041">
        <v>325.8</v>
      </c>
      <c r="T1041">
        <v>13.75</v>
      </c>
      <c r="U1041">
        <v>3</v>
      </c>
      <c r="V1041">
        <v>1163</v>
      </c>
      <c r="W1041" t="s">
        <v>36</v>
      </c>
      <c r="X1041">
        <v>44.02</v>
      </c>
    </row>
    <row r="1042" spans="1:24" x14ac:dyDescent="0.25">
      <c r="A1042" s="2">
        <v>101040</v>
      </c>
      <c r="B1042" s="1">
        <v>45882</v>
      </c>
      <c r="C1042" s="1">
        <v>45885</v>
      </c>
      <c r="D1042" s="1">
        <v>45896</v>
      </c>
      <c r="E1042" t="s">
        <v>2759</v>
      </c>
      <c r="F1042" t="s">
        <v>54</v>
      </c>
      <c r="G1042" t="s">
        <v>225</v>
      </c>
      <c r="H1042" t="s">
        <v>2760</v>
      </c>
      <c r="I1042" t="s">
        <v>89</v>
      </c>
      <c r="J1042" t="s">
        <v>62</v>
      </c>
      <c r="K1042" t="s">
        <v>2761</v>
      </c>
      <c r="L1042" t="s">
        <v>98</v>
      </c>
      <c r="M1042" t="s">
        <v>54</v>
      </c>
      <c r="N1042" t="s">
        <v>66</v>
      </c>
      <c r="O1042" t="s">
        <v>67</v>
      </c>
      <c r="P1042" t="s">
        <v>76</v>
      </c>
      <c r="Q1042">
        <v>266</v>
      </c>
      <c r="R1042">
        <v>47.94</v>
      </c>
      <c r="S1042">
        <v>12752.04</v>
      </c>
      <c r="T1042">
        <v>9.5299999999999994</v>
      </c>
      <c r="U1042">
        <v>11</v>
      </c>
      <c r="V1042">
        <v>3937</v>
      </c>
      <c r="W1042" t="s">
        <v>36</v>
      </c>
      <c r="X1042">
        <v>1987.54</v>
      </c>
    </row>
    <row r="1043" spans="1:24" x14ac:dyDescent="0.25">
      <c r="A1043" s="2">
        <v>101041</v>
      </c>
      <c r="B1043" s="1">
        <v>45621</v>
      </c>
      <c r="C1043" s="1">
        <v>45623</v>
      </c>
      <c r="D1043" s="1">
        <v>45636</v>
      </c>
      <c r="E1043" t="s">
        <v>2762</v>
      </c>
      <c r="F1043" t="s">
        <v>54</v>
      </c>
      <c r="G1043" t="s">
        <v>158</v>
      </c>
      <c r="H1043" t="s">
        <v>2763</v>
      </c>
      <c r="I1043" t="s">
        <v>126</v>
      </c>
      <c r="J1043" t="s">
        <v>42</v>
      </c>
      <c r="K1043" t="s">
        <v>1208</v>
      </c>
      <c r="L1043" t="s">
        <v>122</v>
      </c>
      <c r="M1043" t="s">
        <v>54</v>
      </c>
      <c r="N1043" t="s">
        <v>92</v>
      </c>
      <c r="O1043" t="s">
        <v>93</v>
      </c>
      <c r="P1043" t="s">
        <v>123</v>
      </c>
      <c r="Q1043">
        <v>353</v>
      </c>
      <c r="R1043">
        <v>262.01</v>
      </c>
      <c r="S1043">
        <v>92489.53</v>
      </c>
      <c r="T1043">
        <v>14.27</v>
      </c>
      <c r="U1043">
        <v>13</v>
      </c>
      <c r="V1043">
        <v>879</v>
      </c>
      <c r="W1043" t="s">
        <v>36</v>
      </c>
      <c r="X1043">
        <v>10063.98</v>
      </c>
    </row>
    <row r="1044" spans="1:24" x14ac:dyDescent="0.25">
      <c r="A1044" s="2">
        <v>101042</v>
      </c>
      <c r="B1044" s="1">
        <v>45313</v>
      </c>
      <c r="C1044" s="1">
        <v>45316</v>
      </c>
      <c r="D1044" s="1">
        <v>45328</v>
      </c>
      <c r="E1044" t="s">
        <v>2764</v>
      </c>
      <c r="F1044" t="s">
        <v>25</v>
      </c>
      <c r="G1044" t="s">
        <v>59</v>
      </c>
      <c r="H1044" t="s">
        <v>2765</v>
      </c>
      <c r="I1044" t="s">
        <v>79</v>
      </c>
      <c r="J1044" t="s">
        <v>80</v>
      </c>
      <c r="K1044" t="s">
        <v>2766</v>
      </c>
      <c r="L1044" t="s">
        <v>31</v>
      </c>
      <c r="M1044" t="s">
        <v>32</v>
      </c>
      <c r="N1044" t="s">
        <v>107</v>
      </c>
      <c r="O1044" t="s">
        <v>108</v>
      </c>
      <c r="P1044" t="s">
        <v>123</v>
      </c>
      <c r="Q1044">
        <v>500</v>
      </c>
      <c r="R1044">
        <v>111.23</v>
      </c>
      <c r="S1044">
        <v>55615</v>
      </c>
      <c r="T1044">
        <v>22.84</v>
      </c>
      <c r="U1044">
        <v>12</v>
      </c>
      <c r="V1044">
        <v>2067</v>
      </c>
      <c r="W1044" t="s">
        <v>36</v>
      </c>
      <c r="X1044">
        <v>15201.04</v>
      </c>
    </row>
    <row r="1045" spans="1:24" x14ac:dyDescent="0.25">
      <c r="A1045" s="2">
        <v>101043</v>
      </c>
      <c r="B1045" s="1">
        <v>45952</v>
      </c>
      <c r="C1045" s="1">
        <v>45956</v>
      </c>
      <c r="D1045" s="1">
        <v>45960</v>
      </c>
      <c r="E1045" t="s">
        <v>2767</v>
      </c>
      <c r="F1045" t="s">
        <v>25</v>
      </c>
      <c r="G1045" t="s">
        <v>169</v>
      </c>
      <c r="H1045" t="s">
        <v>2768</v>
      </c>
      <c r="I1045" t="s">
        <v>41</v>
      </c>
      <c r="J1045" t="s">
        <v>42</v>
      </c>
      <c r="K1045" t="s">
        <v>664</v>
      </c>
      <c r="L1045" t="s">
        <v>91</v>
      </c>
      <c r="M1045" t="s">
        <v>54</v>
      </c>
      <c r="N1045" t="s">
        <v>92</v>
      </c>
      <c r="O1045" t="s">
        <v>93</v>
      </c>
      <c r="P1045" t="s">
        <v>123</v>
      </c>
      <c r="Q1045">
        <v>186</v>
      </c>
      <c r="R1045">
        <v>363.71</v>
      </c>
      <c r="S1045">
        <v>67650.06</v>
      </c>
      <c r="T1045">
        <v>15.21</v>
      </c>
      <c r="U1045">
        <v>4</v>
      </c>
      <c r="V1045">
        <v>1233</v>
      </c>
      <c r="W1045" t="s">
        <v>36</v>
      </c>
      <c r="X1045">
        <v>14141.21</v>
      </c>
    </row>
    <row r="1046" spans="1:24" x14ac:dyDescent="0.25">
      <c r="A1046" s="2">
        <v>101044</v>
      </c>
      <c r="B1046" s="1">
        <v>45574</v>
      </c>
      <c r="C1046" s="1">
        <v>45574</v>
      </c>
      <c r="D1046" s="1">
        <v>45581</v>
      </c>
      <c r="E1046" t="s">
        <v>2769</v>
      </c>
      <c r="F1046" t="s">
        <v>25</v>
      </c>
      <c r="G1046" t="s">
        <v>233</v>
      </c>
      <c r="H1046" t="s">
        <v>2770</v>
      </c>
      <c r="I1046" t="s">
        <v>182</v>
      </c>
      <c r="J1046" t="s">
        <v>80</v>
      </c>
      <c r="K1046" t="s">
        <v>2771</v>
      </c>
      <c r="L1046" t="s">
        <v>118</v>
      </c>
      <c r="M1046" t="s">
        <v>38</v>
      </c>
      <c r="N1046" t="s">
        <v>55</v>
      </c>
      <c r="O1046" t="s">
        <v>56</v>
      </c>
      <c r="P1046" t="s">
        <v>68</v>
      </c>
      <c r="Q1046">
        <v>298</v>
      </c>
      <c r="R1046">
        <v>333.42</v>
      </c>
      <c r="S1046">
        <v>99359.16</v>
      </c>
      <c r="T1046">
        <v>47.82</v>
      </c>
      <c r="U1046">
        <v>7</v>
      </c>
      <c r="V1046">
        <v>1343</v>
      </c>
      <c r="W1046" t="s">
        <v>36</v>
      </c>
      <c r="X1046">
        <v>21636.82</v>
      </c>
    </row>
    <row r="1047" spans="1:24" x14ac:dyDescent="0.25">
      <c r="A1047" s="2">
        <v>101045</v>
      </c>
      <c r="B1047" s="1">
        <v>45424</v>
      </c>
      <c r="C1047" s="1">
        <v>45427</v>
      </c>
      <c r="D1047" s="1">
        <v>45439</v>
      </c>
      <c r="E1047" t="s">
        <v>2772</v>
      </c>
      <c r="F1047" t="s">
        <v>32</v>
      </c>
      <c r="G1047" t="s">
        <v>255</v>
      </c>
      <c r="H1047" t="s">
        <v>2773</v>
      </c>
      <c r="I1047" t="s">
        <v>149</v>
      </c>
      <c r="J1047" t="s">
        <v>42</v>
      </c>
      <c r="K1047" t="s">
        <v>1699</v>
      </c>
      <c r="L1047" t="s">
        <v>187</v>
      </c>
      <c r="M1047" t="s">
        <v>54</v>
      </c>
      <c r="N1047" t="s">
        <v>55</v>
      </c>
      <c r="O1047" t="s">
        <v>56</v>
      </c>
      <c r="P1047" t="s">
        <v>123</v>
      </c>
      <c r="Q1047">
        <v>114</v>
      </c>
      <c r="R1047">
        <v>319.11</v>
      </c>
      <c r="S1047">
        <v>36378.54</v>
      </c>
      <c r="T1047">
        <v>13.46</v>
      </c>
      <c r="U1047">
        <v>12</v>
      </c>
      <c r="V1047">
        <v>638</v>
      </c>
      <c r="W1047" t="s">
        <v>36</v>
      </c>
      <c r="X1047">
        <v>5511.54</v>
      </c>
    </row>
    <row r="1048" spans="1:24" x14ac:dyDescent="0.25">
      <c r="A1048" s="2">
        <v>101046</v>
      </c>
      <c r="B1048" s="1">
        <v>45674</v>
      </c>
      <c r="C1048" s="1">
        <v>45677</v>
      </c>
      <c r="D1048" s="1">
        <v>45682</v>
      </c>
      <c r="E1048" t="s">
        <v>2774</v>
      </c>
      <c r="F1048" t="s">
        <v>38</v>
      </c>
      <c r="G1048" t="s">
        <v>217</v>
      </c>
      <c r="H1048" t="s">
        <v>2775</v>
      </c>
      <c r="I1048" t="s">
        <v>177</v>
      </c>
      <c r="J1048" t="s">
        <v>29</v>
      </c>
      <c r="K1048" t="s">
        <v>2776</v>
      </c>
      <c r="L1048" t="s">
        <v>113</v>
      </c>
      <c r="M1048" t="s">
        <v>25</v>
      </c>
      <c r="N1048" t="s">
        <v>92</v>
      </c>
      <c r="O1048" t="s">
        <v>93</v>
      </c>
      <c r="P1048" t="s">
        <v>68</v>
      </c>
      <c r="Q1048">
        <v>76</v>
      </c>
      <c r="R1048">
        <v>88.55</v>
      </c>
      <c r="S1048">
        <v>6729.8</v>
      </c>
      <c r="T1048">
        <v>33.44</v>
      </c>
      <c r="U1048">
        <v>5</v>
      </c>
      <c r="V1048">
        <v>2226</v>
      </c>
      <c r="W1048" t="s">
        <v>36</v>
      </c>
      <c r="X1048">
        <v>718.96</v>
      </c>
    </row>
    <row r="1049" spans="1:24" x14ac:dyDescent="0.25">
      <c r="A1049" s="2">
        <v>101047</v>
      </c>
      <c r="B1049" s="1">
        <v>45476</v>
      </c>
      <c r="C1049" s="1">
        <v>45477</v>
      </c>
      <c r="D1049" s="1">
        <v>45484</v>
      </c>
      <c r="E1049" t="s">
        <v>1462</v>
      </c>
      <c r="F1049" t="s">
        <v>54</v>
      </c>
      <c r="G1049" t="s">
        <v>129</v>
      </c>
      <c r="H1049" t="s">
        <v>2777</v>
      </c>
      <c r="I1049" t="s">
        <v>126</v>
      </c>
      <c r="J1049" t="s">
        <v>42</v>
      </c>
      <c r="K1049" t="s">
        <v>306</v>
      </c>
      <c r="L1049" t="s">
        <v>98</v>
      </c>
      <c r="M1049" t="s">
        <v>32</v>
      </c>
      <c r="N1049" t="s">
        <v>92</v>
      </c>
      <c r="O1049" t="s">
        <v>93</v>
      </c>
      <c r="P1049" t="s">
        <v>68</v>
      </c>
      <c r="Q1049">
        <v>457</v>
      </c>
      <c r="R1049">
        <v>390.41</v>
      </c>
      <c r="S1049">
        <v>178417.37</v>
      </c>
      <c r="T1049">
        <v>58.13</v>
      </c>
      <c r="U1049">
        <v>7</v>
      </c>
      <c r="V1049">
        <v>982</v>
      </c>
      <c r="W1049" t="s">
        <v>36</v>
      </c>
      <c r="X1049">
        <v>22095.69</v>
      </c>
    </row>
    <row r="1050" spans="1:24" x14ac:dyDescent="0.25">
      <c r="A1050" s="2">
        <v>101048</v>
      </c>
      <c r="B1050" s="1">
        <v>45896</v>
      </c>
      <c r="C1050" s="1">
        <v>45900</v>
      </c>
      <c r="D1050" s="1">
        <v>45904</v>
      </c>
      <c r="E1050" t="s">
        <v>2778</v>
      </c>
      <c r="F1050" t="s">
        <v>54</v>
      </c>
      <c r="G1050" t="s">
        <v>193</v>
      </c>
      <c r="H1050" t="s">
        <v>2779</v>
      </c>
      <c r="I1050" t="s">
        <v>85</v>
      </c>
      <c r="J1050" t="s">
        <v>52</v>
      </c>
      <c r="K1050" t="s">
        <v>652</v>
      </c>
      <c r="L1050" t="s">
        <v>212</v>
      </c>
      <c r="M1050" t="s">
        <v>65</v>
      </c>
      <c r="N1050" t="s">
        <v>55</v>
      </c>
      <c r="O1050" t="s">
        <v>56</v>
      </c>
      <c r="P1050" t="s">
        <v>68</v>
      </c>
      <c r="Q1050">
        <v>146</v>
      </c>
      <c r="R1050">
        <v>55.67</v>
      </c>
      <c r="S1050">
        <v>8127.82</v>
      </c>
      <c r="T1050">
        <v>37.97</v>
      </c>
      <c r="U1050">
        <v>4</v>
      </c>
      <c r="V1050">
        <v>1530</v>
      </c>
      <c r="W1050" t="s">
        <v>36</v>
      </c>
      <c r="X1050">
        <v>1068.8</v>
      </c>
    </row>
    <row r="1051" spans="1:24" x14ac:dyDescent="0.25">
      <c r="A1051" s="2">
        <v>101049</v>
      </c>
      <c r="B1051" s="1">
        <v>45859</v>
      </c>
      <c r="C1051" s="1">
        <v>45859</v>
      </c>
      <c r="D1051" s="1">
        <v>45872</v>
      </c>
      <c r="E1051" t="s">
        <v>2780</v>
      </c>
      <c r="F1051" t="s">
        <v>32</v>
      </c>
      <c r="G1051" t="s">
        <v>95</v>
      </c>
      <c r="H1051" t="s">
        <v>2781</v>
      </c>
      <c r="I1051" t="s">
        <v>182</v>
      </c>
      <c r="J1051" t="s">
        <v>80</v>
      </c>
      <c r="K1051" t="s">
        <v>2782</v>
      </c>
      <c r="L1051" t="s">
        <v>64</v>
      </c>
      <c r="M1051" t="s">
        <v>54</v>
      </c>
      <c r="N1051" t="s">
        <v>66</v>
      </c>
      <c r="O1051" t="s">
        <v>67</v>
      </c>
      <c r="P1051" t="s">
        <v>123</v>
      </c>
      <c r="Q1051">
        <v>487</v>
      </c>
      <c r="R1051">
        <v>141.79</v>
      </c>
      <c r="S1051">
        <v>69051.73</v>
      </c>
      <c r="T1051">
        <v>22.53</v>
      </c>
      <c r="U1051">
        <v>13</v>
      </c>
      <c r="V1051">
        <v>640</v>
      </c>
      <c r="W1051" t="s">
        <v>36</v>
      </c>
      <c r="X1051">
        <v>13624.89</v>
      </c>
    </row>
    <row r="1052" spans="1:24" x14ac:dyDescent="0.25">
      <c r="A1052" s="2">
        <v>101050</v>
      </c>
      <c r="B1052" s="1">
        <v>45674</v>
      </c>
      <c r="C1052" s="1">
        <v>45677</v>
      </c>
      <c r="D1052" s="1">
        <v>45687</v>
      </c>
      <c r="E1052" t="s">
        <v>2783</v>
      </c>
      <c r="F1052" t="s">
        <v>65</v>
      </c>
      <c r="G1052" t="s">
        <v>142</v>
      </c>
      <c r="H1052" t="s">
        <v>2784</v>
      </c>
      <c r="I1052" t="s">
        <v>72</v>
      </c>
      <c r="J1052" t="s">
        <v>42</v>
      </c>
      <c r="K1052" t="s">
        <v>2342</v>
      </c>
      <c r="L1052" t="s">
        <v>122</v>
      </c>
      <c r="M1052" t="s">
        <v>32</v>
      </c>
      <c r="N1052" t="s">
        <v>45</v>
      </c>
      <c r="O1052" t="s">
        <v>46</v>
      </c>
      <c r="P1052" t="s">
        <v>76</v>
      </c>
      <c r="Q1052">
        <v>124</v>
      </c>
      <c r="R1052">
        <v>103.41</v>
      </c>
      <c r="S1052">
        <v>12822.84</v>
      </c>
      <c r="T1052">
        <v>10.28</v>
      </c>
      <c r="U1052">
        <v>10</v>
      </c>
      <c r="V1052">
        <v>487</v>
      </c>
      <c r="W1052" t="s">
        <v>57</v>
      </c>
      <c r="X1052">
        <v>2101.9</v>
      </c>
    </row>
    <row r="1053" spans="1:24" x14ac:dyDescent="0.25">
      <c r="A1053" s="2">
        <v>101051</v>
      </c>
      <c r="B1053" s="1">
        <v>45820</v>
      </c>
      <c r="C1053" s="1">
        <v>45821</v>
      </c>
      <c r="D1053" s="1">
        <v>45843</v>
      </c>
      <c r="E1053" t="s">
        <v>2785</v>
      </c>
      <c r="F1053" t="s">
        <v>38</v>
      </c>
      <c r="G1053" t="s">
        <v>39</v>
      </c>
      <c r="H1053" t="s">
        <v>2786</v>
      </c>
      <c r="I1053" t="s">
        <v>72</v>
      </c>
      <c r="J1053" t="s">
        <v>42</v>
      </c>
      <c r="K1053" t="s">
        <v>2787</v>
      </c>
      <c r="L1053" t="s">
        <v>113</v>
      </c>
      <c r="M1053" t="s">
        <v>65</v>
      </c>
      <c r="N1053" t="s">
        <v>45</v>
      </c>
      <c r="O1053" t="s">
        <v>46</v>
      </c>
      <c r="P1053" t="s">
        <v>76</v>
      </c>
      <c r="Q1053">
        <v>370</v>
      </c>
      <c r="R1053">
        <v>95.33</v>
      </c>
      <c r="S1053">
        <v>35272.1</v>
      </c>
      <c r="T1053">
        <v>14.76</v>
      </c>
      <c r="U1053">
        <v>22</v>
      </c>
      <c r="V1053">
        <v>1200</v>
      </c>
      <c r="W1053" t="s">
        <v>188</v>
      </c>
      <c r="X1053">
        <v>3213.38</v>
      </c>
    </row>
    <row r="1054" spans="1:24" x14ac:dyDescent="0.25">
      <c r="A1054" s="2">
        <v>101052</v>
      </c>
      <c r="B1054" s="1">
        <v>45523</v>
      </c>
      <c r="C1054" s="1">
        <v>45523</v>
      </c>
      <c r="D1054" s="1">
        <v>45535</v>
      </c>
      <c r="E1054" t="s">
        <v>2788</v>
      </c>
      <c r="F1054" t="s">
        <v>38</v>
      </c>
      <c r="G1054" t="s">
        <v>217</v>
      </c>
      <c r="H1054" t="s">
        <v>2789</v>
      </c>
      <c r="I1054" t="s">
        <v>139</v>
      </c>
      <c r="J1054" t="s">
        <v>42</v>
      </c>
      <c r="K1054" t="s">
        <v>150</v>
      </c>
      <c r="L1054" t="s">
        <v>98</v>
      </c>
      <c r="M1054" t="s">
        <v>65</v>
      </c>
      <c r="N1054" t="s">
        <v>66</v>
      </c>
      <c r="O1054" t="s">
        <v>67</v>
      </c>
      <c r="P1054" t="s">
        <v>76</v>
      </c>
      <c r="Q1054">
        <v>233</v>
      </c>
      <c r="R1054">
        <v>330.54</v>
      </c>
      <c r="S1054">
        <v>77015.820000000007</v>
      </c>
      <c r="T1054">
        <v>12.27</v>
      </c>
      <c r="U1054">
        <v>12</v>
      </c>
      <c r="V1054">
        <v>327</v>
      </c>
      <c r="W1054" t="s">
        <v>36</v>
      </c>
      <c r="X1054">
        <v>11901.4</v>
      </c>
    </row>
    <row r="1055" spans="1:24" x14ac:dyDescent="0.25">
      <c r="A1055" s="2">
        <v>101053</v>
      </c>
      <c r="B1055" s="1">
        <v>45687</v>
      </c>
      <c r="C1055" s="1">
        <v>45687</v>
      </c>
      <c r="D1055" s="1">
        <v>45701</v>
      </c>
      <c r="E1055" t="s">
        <v>2790</v>
      </c>
      <c r="F1055" t="s">
        <v>38</v>
      </c>
      <c r="G1055" t="s">
        <v>217</v>
      </c>
      <c r="H1055" t="s">
        <v>2791</v>
      </c>
      <c r="I1055" t="s">
        <v>139</v>
      </c>
      <c r="J1055" t="s">
        <v>42</v>
      </c>
      <c r="K1055" t="s">
        <v>2792</v>
      </c>
      <c r="L1055" t="s">
        <v>91</v>
      </c>
      <c r="M1055" t="s">
        <v>25</v>
      </c>
      <c r="N1055" t="s">
        <v>55</v>
      </c>
      <c r="O1055" t="s">
        <v>56</v>
      </c>
      <c r="P1055" t="s">
        <v>76</v>
      </c>
      <c r="Q1055">
        <v>469</v>
      </c>
      <c r="R1055">
        <v>86.72</v>
      </c>
      <c r="S1055">
        <v>40671.68</v>
      </c>
      <c r="T1055">
        <v>16.57</v>
      </c>
      <c r="U1055">
        <v>14</v>
      </c>
      <c r="V1055">
        <v>1083</v>
      </c>
      <c r="W1055" t="s">
        <v>36</v>
      </c>
      <c r="X1055">
        <v>3916.18</v>
      </c>
    </row>
    <row r="1056" spans="1:24" x14ac:dyDescent="0.25">
      <c r="A1056" s="2">
        <v>101054</v>
      </c>
      <c r="B1056" s="1">
        <v>46021</v>
      </c>
      <c r="C1056" s="1">
        <v>46021</v>
      </c>
      <c r="D1056" s="1">
        <v>46035</v>
      </c>
      <c r="E1056" t="s">
        <v>2793</v>
      </c>
      <c r="F1056" t="s">
        <v>25</v>
      </c>
      <c r="G1056" t="s">
        <v>221</v>
      </c>
      <c r="H1056" t="s">
        <v>2794</v>
      </c>
      <c r="I1056" t="s">
        <v>61</v>
      </c>
      <c r="J1056" t="s">
        <v>62</v>
      </c>
      <c r="K1056" t="s">
        <v>2795</v>
      </c>
      <c r="L1056" t="s">
        <v>98</v>
      </c>
      <c r="M1056" t="s">
        <v>65</v>
      </c>
      <c r="N1056" t="s">
        <v>74</v>
      </c>
      <c r="O1056" t="s">
        <v>75</v>
      </c>
      <c r="P1056" t="s">
        <v>76</v>
      </c>
      <c r="Q1056">
        <v>257</v>
      </c>
      <c r="R1056">
        <v>44.81</v>
      </c>
      <c r="S1056">
        <v>11516.17</v>
      </c>
      <c r="T1056">
        <v>12.7</v>
      </c>
      <c r="U1056">
        <v>14</v>
      </c>
      <c r="V1056">
        <v>2418</v>
      </c>
      <c r="W1056" t="s">
        <v>36</v>
      </c>
      <c r="X1056">
        <v>1145.73</v>
      </c>
    </row>
    <row r="1057" spans="1:24" x14ac:dyDescent="0.25">
      <c r="A1057" s="2">
        <v>101055</v>
      </c>
      <c r="B1057" s="1">
        <v>45434</v>
      </c>
      <c r="C1057" s="1">
        <v>45436</v>
      </c>
      <c r="D1057" s="1">
        <v>45441</v>
      </c>
      <c r="E1057" t="s">
        <v>2796</v>
      </c>
      <c r="F1057" t="s">
        <v>38</v>
      </c>
      <c r="G1057" t="s">
        <v>83</v>
      </c>
      <c r="H1057" t="s">
        <v>2797</v>
      </c>
      <c r="I1057" t="s">
        <v>116</v>
      </c>
      <c r="J1057" t="s">
        <v>62</v>
      </c>
      <c r="K1057" t="s">
        <v>1198</v>
      </c>
      <c r="L1057" t="s">
        <v>212</v>
      </c>
      <c r="M1057" t="s">
        <v>25</v>
      </c>
      <c r="N1057" t="s">
        <v>151</v>
      </c>
      <c r="O1057" t="s">
        <v>152</v>
      </c>
      <c r="P1057" t="s">
        <v>35</v>
      </c>
      <c r="Q1057">
        <v>269</v>
      </c>
      <c r="R1057">
        <v>31.9</v>
      </c>
      <c r="S1057">
        <v>8581.1</v>
      </c>
      <c r="T1057">
        <v>20.100000000000001</v>
      </c>
      <c r="U1057">
        <v>5</v>
      </c>
      <c r="V1057">
        <v>4145</v>
      </c>
      <c r="W1057" t="s">
        <v>57</v>
      </c>
      <c r="X1057">
        <v>421.71</v>
      </c>
    </row>
    <row r="1058" spans="1:24" x14ac:dyDescent="0.25">
      <c r="A1058" s="2">
        <v>101056</v>
      </c>
      <c r="B1058" s="1">
        <v>45925</v>
      </c>
      <c r="C1058" s="1">
        <v>45929</v>
      </c>
      <c r="D1058" s="1">
        <v>45937</v>
      </c>
      <c r="E1058" t="s">
        <v>2798</v>
      </c>
      <c r="F1058" t="s">
        <v>54</v>
      </c>
      <c r="G1058" t="s">
        <v>158</v>
      </c>
      <c r="H1058" t="s">
        <v>2799</v>
      </c>
      <c r="I1058" t="s">
        <v>149</v>
      </c>
      <c r="J1058" t="s">
        <v>42</v>
      </c>
      <c r="K1058" t="s">
        <v>646</v>
      </c>
      <c r="L1058" t="s">
        <v>212</v>
      </c>
      <c r="M1058" t="s">
        <v>25</v>
      </c>
      <c r="N1058" t="s">
        <v>102</v>
      </c>
      <c r="O1058" t="s">
        <v>103</v>
      </c>
      <c r="P1058" t="s">
        <v>123</v>
      </c>
      <c r="Q1058">
        <v>24</v>
      </c>
      <c r="R1058">
        <v>251.52</v>
      </c>
      <c r="S1058">
        <v>6036.48</v>
      </c>
      <c r="T1058">
        <v>11.28</v>
      </c>
      <c r="U1058">
        <v>8</v>
      </c>
      <c r="V1058">
        <v>835</v>
      </c>
      <c r="W1058" t="s">
        <v>36</v>
      </c>
      <c r="X1058">
        <v>645.5</v>
      </c>
    </row>
    <row r="1059" spans="1:24" x14ac:dyDescent="0.25">
      <c r="A1059" s="2">
        <v>101057</v>
      </c>
      <c r="B1059" s="1">
        <v>45705</v>
      </c>
      <c r="C1059" s="1">
        <v>45707</v>
      </c>
      <c r="D1059" s="1">
        <v>45714</v>
      </c>
      <c r="E1059" t="s">
        <v>2619</v>
      </c>
      <c r="F1059" t="s">
        <v>38</v>
      </c>
      <c r="G1059" t="s">
        <v>217</v>
      </c>
      <c r="H1059" t="s">
        <v>2800</v>
      </c>
      <c r="I1059" t="s">
        <v>89</v>
      </c>
      <c r="J1059" t="s">
        <v>62</v>
      </c>
      <c r="K1059" t="s">
        <v>1305</v>
      </c>
      <c r="L1059" t="s">
        <v>31</v>
      </c>
      <c r="M1059" t="s">
        <v>65</v>
      </c>
      <c r="N1059" t="s">
        <v>66</v>
      </c>
      <c r="O1059" t="s">
        <v>67</v>
      </c>
      <c r="P1059" t="s">
        <v>35</v>
      </c>
      <c r="Q1059">
        <v>50</v>
      </c>
      <c r="R1059">
        <v>24.03</v>
      </c>
      <c r="S1059">
        <v>1201.5</v>
      </c>
      <c r="T1059">
        <v>13.89</v>
      </c>
      <c r="U1059">
        <v>7</v>
      </c>
      <c r="V1059">
        <v>1632</v>
      </c>
      <c r="W1059" t="s">
        <v>47</v>
      </c>
      <c r="X1059">
        <v>-215.73</v>
      </c>
    </row>
    <row r="1060" spans="1:24" x14ac:dyDescent="0.25">
      <c r="A1060" s="2">
        <v>101058</v>
      </c>
      <c r="B1060" s="1">
        <v>45417</v>
      </c>
      <c r="C1060" s="1">
        <v>45421</v>
      </c>
      <c r="D1060" s="1">
        <v>45426</v>
      </c>
      <c r="E1060" t="s">
        <v>2667</v>
      </c>
      <c r="F1060" t="s">
        <v>54</v>
      </c>
      <c r="G1060" t="s">
        <v>225</v>
      </c>
      <c r="H1060" t="s">
        <v>2801</v>
      </c>
      <c r="I1060" t="s">
        <v>416</v>
      </c>
      <c r="J1060" t="s">
        <v>80</v>
      </c>
      <c r="K1060" t="s">
        <v>1597</v>
      </c>
      <c r="L1060" t="s">
        <v>122</v>
      </c>
      <c r="M1060" t="s">
        <v>65</v>
      </c>
      <c r="N1060" t="s">
        <v>74</v>
      </c>
      <c r="O1060" t="s">
        <v>75</v>
      </c>
      <c r="P1060" t="s">
        <v>68</v>
      </c>
      <c r="Q1060">
        <v>91</v>
      </c>
      <c r="R1060">
        <v>173.83</v>
      </c>
      <c r="S1060">
        <v>15818.53</v>
      </c>
      <c r="T1060">
        <v>34.409999999999997</v>
      </c>
      <c r="U1060">
        <v>5</v>
      </c>
      <c r="V1060">
        <v>327</v>
      </c>
      <c r="W1060" t="s">
        <v>36</v>
      </c>
      <c r="X1060">
        <v>3863.46</v>
      </c>
    </row>
    <row r="1061" spans="1:24" x14ac:dyDescent="0.25">
      <c r="A1061" s="2">
        <v>101059</v>
      </c>
      <c r="B1061" s="1">
        <v>45931</v>
      </c>
      <c r="C1061" s="1">
        <v>45932</v>
      </c>
      <c r="D1061" s="1">
        <v>45955</v>
      </c>
      <c r="E1061" t="s">
        <v>2802</v>
      </c>
      <c r="F1061" t="s">
        <v>25</v>
      </c>
      <c r="G1061" t="s">
        <v>59</v>
      </c>
      <c r="H1061" t="s">
        <v>2803</v>
      </c>
      <c r="I1061" t="s">
        <v>61</v>
      </c>
      <c r="J1061" t="s">
        <v>62</v>
      </c>
      <c r="K1061" t="s">
        <v>1915</v>
      </c>
      <c r="L1061" t="s">
        <v>91</v>
      </c>
      <c r="M1061" t="s">
        <v>25</v>
      </c>
      <c r="N1061" t="s">
        <v>45</v>
      </c>
      <c r="O1061" t="s">
        <v>46</v>
      </c>
      <c r="P1061" t="s">
        <v>76</v>
      </c>
      <c r="Q1061">
        <v>347</v>
      </c>
      <c r="R1061">
        <v>9.11</v>
      </c>
      <c r="S1061">
        <v>3161.17</v>
      </c>
      <c r="T1061">
        <v>10.62</v>
      </c>
      <c r="U1061">
        <v>23</v>
      </c>
      <c r="V1061">
        <v>1676</v>
      </c>
      <c r="W1061" t="s">
        <v>36</v>
      </c>
      <c r="X1061">
        <v>224.84</v>
      </c>
    </row>
    <row r="1062" spans="1:24" x14ac:dyDescent="0.25">
      <c r="A1062" s="2">
        <v>101060</v>
      </c>
      <c r="B1062" s="1">
        <v>45714</v>
      </c>
      <c r="C1062" s="1">
        <v>45716</v>
      </c>
      <c r="D1062" s="1">
        <v>45728</v>
      </c>
      <c r="E1062" t="s">
        <v>2804</v>
      </c>
      <c r="F1062" t="s">
        <v>65</v>
      </c>
      <c r="G1062" t="s">
        <v>154</v>
      </c>
      <c r="H1062" t="s">
        <v>2805</v>
      </c>
      <c r="I1062" t="s">
        <v>85</v>
      </c>
      <c r="J1062" t="s">
        <v>52</v>
      </c>
      <c r="K1062" t="s">
        <v>1714</v>
      </c>
      <c r="L1062" t="s">
        <v>44</v>
      </c>
      <c r="M1062" t="s">
        <v>65</v>
      </c>
      <c r="N1062" t="s">
        <v>74</v>
      </c>
      <c r="O1062" t="s">
        <v>75</v>
      </c>
      <c r="P1062" t="s">
        <v>123</v>
      </c>
      <c r="Q1062">
        <v>426</v>
      </c>
      <c r="R1062">
        <v>20.79</v>
      </c>
      <c r="S1062">
        <v>8856.5400000000009</v>
      </c>
      <c r="T1062">
        <v>15.59</v>
      </c>
      <c r="U1062">
        <v>12</v>
      </c>
      <c r="V1062">
        <v>3491</v>
      </c>
      <c r="W1062" t="s">
        <v>47</v>
      </c>
      <c r="X1062">
        <v>-228.03</v>
      </c>
    </row>
    <row r="1063" spans="1:24" x14ac:dyDescent="0.25">
      <c r="A1063" s="2">
        <v>101061</v>
      </c>
      <c r="B1063" s="1">
        <v>45438</v>
      </c>
      <c r="C1063" s="1">
        <v>45443</v>
      </c>
      <c r="D1063" s="1">
        <v>45455</v>
      </c>
      <c r="E1063" t="s">
        <v>2806</v>
      </c>
      <c r="F1063" t="s">
        <v>65</v>
      </c>
      <c r="G1063" t="s">
        <v>142</v>
      </c>
      <c r="H1063" t="s">
        <v>2807</v>
      </c>
      <c r="I1063" t="s">
        <v>191</v>
      </c>
      <c r="J1063" t="s">
        <v>62</v>
      </c>
      <c r="K1063" t="s">
        <v>512</v>
      </c>
      <c r="L1063" t="s">
        <v>118</v>
      </c>
      <c r="M1063" t="s">
        <v>54</v>
      </c>
      <c r="N1063" t="s">
        <v>45</v>
      </c>
      <c r="O1063" t="s">
        <v>46</v>
      </c>
      <c r="P1063" t="s">
        <v>123</v>
      </c>
      <c r="Q1063">
        <v>147</v>
      </c>
      <c r="R1063">
        <v>11.54</v>
      </c>
      <c r="S1063">
        <v>1696.38</v>
      </c>
      <c r="T1063">
        <v>14.26</v>
      </c>
      <c r="U1063">
        <v>12</v>
      </c>
      <c r="V1063">
        <v>3251</v>
      </c>
      <c r="W1063" t="s">
        <v>36</v>
      </c>
      <c r="X1063">
        <v>126.13</v>
      </c>
    </row>
    <row r="1064" spans="1:24" x14ac:dyDescent="0.25">
      <c r="A1064" s="2">
        <v>101062</v>
      </c>
      <c r="B1064" s="1">
        <v>45556</v>
      </c>
      <c r="C1064" s="1">
        <v>45559</v>
      </c>
      <c r="D1064" s="1">
        <v>45583</v>
      </c>
      <c r="E1064" t="s">
        <v>2808</v>
      </c>
      <c r="F1064" t="s">
        <v>54</v>
      </c>
      <c r="G1064" t="s">
        <v>129</v>
      </c>
      <c r="H1064" t="s">
        <v>2809</v>
      </c>
      <c r="I1064" t="s">
        <v>182</v>
      </c>
      <c r="J1064" t="s">
        <v>80</v>
      </c>
      <c r="K1064" t="s">
        <v>2810</v>
      </c>
      <c r="L1064" t="s">
        <v>118</v>
      </c>
      <c r="M1064" t="s">
        <v>65</v>
      </c>
      <c r="N1064" t="s">
        <v>151</v>
      </c>
      <c r="O1064" t="s">
        <v>152</v>
      </c>
      <c r="P1064" t="s">
        <v>76</v>
      </c>
      <c r="Q1064">
        <v>328</v>
      </c>
      <c r="R1064">
        <v>300.68</v>
      </c>
      <c r="S1064">
        <v>98623.039999999994</v>
      </c>
      <c r="T1064">
        <v>14</v>
      </c>
      <c r="U1064">
        <v>24</v>
      </c>
      <c r="V1064">
        <v>822</v>
      </c>
      <c r="W1064" t="s">
        <v>36</v>
      </c>
      <c r="X1064">
        <v>16314.83</v>
      </c>
    </row>
    <row r="1065" spans="1:24" x14ac:dyDescent="0.25">
      <c r="A1065" s="2">
        <v>101063</v>
      </c>
      <c r="B1065" s="1">
        <v>45765</v>
      </c>
      <c r="C1065" s="1">
        <v>45770</v>
      </c>
      <c r="D1065" s="1">
        <v>45777</v>
      </c>
      <c r="E1065" t="s">
        <v>2811</v>
      </c>
      <c r="F1065" t="s">
        <v>32</v>
      </c>
      <c r="G1065" t="s">
        <v>180</v>
      </c>
      <c r="H1065" t="s">
        <v>2812</v>
      </c>
      <c r="I1065" t="s">
        <v>149</v>
      </c>
      <c r="J1065" t="s">
        <v>42</v>
      </c>
      <c r="K1065" t="s">
        <v>2813</v>
      </c>
      <c r="L1065" t="s">
        <v>44</v>
      </c>
      <c r="M1065" t="s">
        <v>25</v>
      </c>
      <c r="N1065" t="s">
        <v>74</v>
      </c>
      <c r="O1065" t="s">
        <v>75</v>
      </c>
      <c r="P1065" t="s">
        <v>123</v>
      </c>
      <c r="Q1065">
        <v>48</v>
      </c>
      <c r="R1065">
        <v>351.74</v>
      </c>
      <c r="S1065">
        <v>16883.52</v>
      </c>
      <c r="T1065">
        <v>11.86</v>
      </c>
      <c r="U1065">
        <v>7</v>
      </c>
      <c r="V1065">
        <v>170</v>
      </c>
      <c r="W1065" t="s">
        <v>36</v>
      </c>
      <c r="X1065">
        <v>2416.91</v>
      </c>
    </row>
    <row r="1066" spans="1:24" x14ac:dyDescent="0.25">
      <c r="A1066" s="2">
        <v>101064</v>
      </c>
      <c r="B1066" s="1">
        <v>45420</v>
      </c>
      <c r="C1066" s="1">
        <v>45420</v>
      </c>
      <c r="D1066" s="1">
        <v>45424</v>
      </c>
      <c r="E1066" t="s">
        <v>2814</v>
      </c>
      <c r="F1066" t="s">
        <v>54</v>
      </c>
      <c r="G1066" t="s">
        <v>193</v>
      </c>
      <c r="H1066" t="s">
        <v>2815</v>
      </c>
      <c r="I1066" t="s">
        <v>416</v>
      </c>
      <c r="J1066" t="s">
        <v>80</v>
      </c>
      <c r="K1066" t="s">
        <v>2816</v>
      </c>
      <c r="L1066" t="s">
        <v>91</v>
      </c>
      <c r="M1066" t="s">
        <v>25</v>
      </c>
      <c r="N1066" t="s">
        <v>66</v>
      </c>
      <c r="O1066" t="s">
        <v>67</v>
      </c>
      <c r="P1066" t="s">
        <v>68</v>
      </c>
      <c r="Q1066">
        <v>436</v>
      </c>
      <c r="R1066">
        <v>77.19</v>
      </c>
      <c r="S1066">
        <v>33654.839999999997</v>
      </c>
      <c r="T1066">
        <v>56.76</v>
      </c>
      <c r="U1066">
        <v>4</v>
      </c>
      <c r="V1066">
        <v>1265</v>
      </c>
      <c r="W1066" t="s">
        <v>36</v>
      </c>
      <c r="X1066">
        <v>4823.25</v>
      </c>
    </row>
    <row r="1067" spans="1:24" x14ac:dyDescent="0.25">
      <c r="A1067" s="2">
        <v>101065</v>
      </c>
      <c r="B1067" s="1">
        <v>45339</v>
      </c>
      <c r="C1067" s="1">
        <v>45343</v>
      </c>
      <c r="D1067" s="1">
        <v>45345</v>
      </c>
      <c r="E1067" t="s">
        <v>1706</v>
      </c>
      <c r="F1067" t="s">
        <v>38</v>
      </c>
      <c r="G1067" t="s">
        <v>83</v>
      </c>
      <c r="H1067" t="s">
        <v>2817</v>
      </c>
      <c r="I1067" t="s">
        <v>182</v>
      </c>
      <c r="J1067" t="s">
        <v>80</v>
      </c>
      <c r="K1067" t="s">
        <v>2818</v>
      </c>
      <c r="L1067" t="s">
        <v>118</v>
      </c>
      <c r="M1067" t="s">
        <v>65</v>
      </c>
      <c r="N1067" t="s">
        <v>74</v>
      </c>
      <c r="O1067" t="s">
        <v>75</v>
      </c>
      <c r="P1067" t="s">
        <v>35</v>
      </c>
      <c r="Q1067">
        <v>472</v>
      </c>
      <c r="R1067">
        <v>62.23</v>
      </c>
      <c r="S1067">
        <v>29372.560000000001</v>
      </c>
      <c r="T1067">
        <v>25.86</v>
      </c>
      <c r="U1067">
        <v>2</v>
      </c>
      <c r="V1067">
        <v>603</v>
      </c>
      <c r="W1067" t="s">
        <v>36</v>
      </c>
      <c r="X1067">
        <v>8100.88</v>
      </c>
    </row>
    <row r="1068" spans="1:24" x14ac:dyDescent="0.25">
      <c r="A1068" s="2">
        <v>101066</v>
      </c>
      <c r="B1068" s="1">
        <v>46007</v>
      </c>
      <c r="C1068" s="1">
        <v>46010</v>
      </c>
      <c r="D1068" s="1">
        <v>46014</v>
      </c>
      <c r="E1068" t="s">
        <v>1975</v>
      </c>
      <c r="F1068" t="s">
        <v>25</v>
      </c>
      <c r="G1068" t="s">
        <v>59</v>
      </c>
      <c r="H1068" t="s">
        <v>2385</v>
      </c>
      <c r="I1068" t="s">
        <v>368</v>
      </c>
      <c r="J1068" t="s">
        <v>29</v>
      </c>
      <c r="K1068" t="s">
        <v>2819</v>
      </c>
      <c r="L1068" t="s">
        <v>212</v>
      </c>
      <c r="M1068" t="s">
        <v>32</v>
      </c>
      <c r="N1068" t="s">
        <v>203</v>
      </c>
      <c r="O1068" t="s">
        <v>204</v>
      </c>
      <c r="P1068" t="s">
        <v>68</v>
      </c>
      <c r="Q1068">
        <v>43</v>
      </c>
      <c r="R1068">
        <v>73.040000000000006</v>
      </c>
      <c r="S1068">
        <v>3140.72</v>
      </c>
      <c r="T1068">
        <v>31.3</v>
      </c>
      <c r="U1068">
        <v>4</v>
      </c>
      <c r="V1068">
        <v>198</v>
      </c>
      <c r="W1068" t="s">
        <v>36</v>
      </c>
      <c r="X1068">
        <v>723.08</v>
      </c>
    </row>
    <row r="1069" spans="1:24" x14ac:dyDescent="0.25">
      <c r="A1069" s="2">
        <v>101067</v>
      </c>
      <c r="B1069" s="1">
        <v>45315</v>
      </c>
      <c r="C1069" s="1">
        <v>45319</v>
      </c>
      <c r="D1069" s="1">
        <v>45333</v>
      </c>
      <c r="E1069" t="s">
        <v>2820</v>
      </c>
      <c r="F1069" t="s">
        <v>32</v>
      </c>
      <c r="G1069" t="s">
        <v>110</v>
      </c>
      <c r="H1069" t="s">
        <v>2821</v>
      </c>
      <c r="I1069" t="s">
        <v>144</v>
      </c>
      <c r="J1069" t="s">
        <v>52</v>
      </c>
      <c r="K1069" t="s">
        <v>2044</v>
      </c>
      <c r="L1069" t="s">
        <v>113</v>
      </c>
      <c r="M1069" t="s">
        <v>65</v>
      </c>
      <c r="N1069" t="s">
        <v>203</v>
      </c>
      <c r="O1069" t="s">
        <v>204</v>
      </c>
      <c r="P1069" t="s">
        <v>123</v>
      </c>
      <c r="Q1069">
        <v>135</v>
      </c>
      <c r="R1069">
        <v>60.97</v>
      </c>
      <c r="S1069">
        <v>8230.9500000000007</v>
      </c>
      <c r="T1069">
        <v>13.97</v>
      </c>
      <c r="U1069">
        <v>14</v>
      </c>
      <c r="V1069">
        <v>2335</v>
      </c>
      <c r="W1069" t="s">
        <v>57</v>
      </c>
      <c r="X1069">
        <v>355.46</v>
      </c>
    </row>
    <row r="1070" spans="1:24" x14ac:dyDescent="0.25">
      <c r="A1070" s="2">
        <v>101068</v>
      </c>
      <c r="B1070" s="1">
        <v>45533</v>
      </c>
      <c r="C1070" s="1">
        <v>45538</v>
      </c>
      <c r="D1070" s="1">
        <v>45553</v>
      </c>
      <c r="E1070" t="s">
        <v>2822</v>
      </c>
      <c r="F1070" t="s">
        <v>65</v>
      </c>
      <c r="G1070" t="s">
        <v>70</v>
      </c>
      <c r="H1070" t="s">
        <v>2823</v>
      </c>
      <c r="I1070" t="s">
        <v>149</v>
      </c>
      <c r="J1070" t="s">
        <v>42</v>
      </c>
      <c r="K1070" t="s">
        <v>1234</v>
      </c>
      <c r="L1070" t="s">
        <v>64</v>
      </c>
      <c r="M1070" t="s">
        <v>54</v>
      </c>
      <c r="N1070" t="s">
        <v>66</v>
      </c>
      <c r="O1070" t="s">
        <v>67</v>
      </c>
      <c r="P1070" t="s">
        <v>76</v>
      </c>
      <c r="Q1070">
        <v>218</v>
      </c>
      <c r="R1070">
        <v>300.35000000000002</v>
      </c>
      <c r="S1070">
        <v>65476.3</v>
      </c>
      <c r="T1070">
        <v>11.99</v>
      </c>
      <c r="U1070">
        <v>15</v>
      </c>
      <c r="V1070">
        <v>1370</v>
      </c>
      <c r="W1070" t="s">
        <v>47</v>
      </c>
      <c r="X1070">
        <v>-176.79</v>
      </c>
    </row>
    <row r="1071" spans="1:24" x14ac:dyDescent="0.25">
      <c r="A1071" s="2">
        <v>101069</v>
      </c>
      <c r="B1071" s="1">
        <v>45981</v>
      </c>
      <c r="C1071" s="1">
        <v>45984</v>
      </c>
      <c r="D1071" s="1">
        <v>45986</v>
      </c>
      <c r="E1071" t="s">
        <v>2824</v>
      </c>
      <c r="F1071" t="s">
        <v>32</v>
      </c>
      <c r="G1071" t="s">
        <v>364</v>
      </c>
      <c r="H1071" t="s">
        <v>2825</v>
      </c>
      <c r="I1071" t="s">
        <v>144</v>
      </c>
      <c r="J1071" t="s">
        <v>52</v>
      </c>
      <c r="K1071" t="s">
        <v>2826</v>
      </c>
      <c r="L1071" t="s">
        <v>98</v>
      </c>
      <c r="M1071" t="s">
        <v>38</v>
      </c>
      <c r="N1071" t="s">
        <v>74</v>
      </c>
      <c r="O1071" t="s">
        <v>75</v>
      </c>
      <c r="P1071" t="s">
        <v>68</v>
      </c>
      <c r="Q1071">
        <v>198</v>
      </c>
      <c r="R1071">
        <v>72.88</v>
      </c>
      <c r="S1071">
        <v>14430.24</v>
      </c>
      <c r="T1071">
        <v>41.34</v>
      </c>
      <c r="U1071">
        <v>2</v>
      </c>
      <c r="V1071">
        <v>219</v>
      </c>
      <c r="W1071" t="s">
        <v>36</v>
      </c>
      <c r="X1071">
        <v>1129.81</v>
      </c>
    </row>
    <row r="1072" spans="1:24" x14ac:dyDescent="0.25">
      <c r="A1072" s="2">
        <v>101070</v>
      </c>
      <c r="B1072" s="1">
        <v>45529</v>
      </c>
      <c r="C1072" s="1">
        <v>45531</v>
      </c>
      <c r="D1072" s="1">
        <v>45553</v>
      </c>
      <c r="E1072" t="s">
        <v>546</v>
      </c>
      <c r="F1072" t="s">
        <v>25</v>
      </c>
      <c r="G1072" t="s">
        <v>172</v>
      </c>
      <c r="H1072" t="s">
        <v>2827</v>
      </c>
      <c r="I1072" t="s">
        <v>144</v>
      </c>
      <c r="J1072" t="s">
        <v>52</v>
      </c>
      <c r="K1072" t="s">
        <v>2484</v>
      </c>
      <c r="L1072" t="s">
        <v>98</v>
      </c>
      <c r="M1072" t="s">
        <v>32</v>
      </c>
      <c r="N1072" t="s">
        <v>107</v>
      </c>
      <c r="O1072" t="s">
        <v>108</v>
      </c>
      <c r="P1072" t="s">
        <v>76</v>
      </c>
      <c r="Q1072">
        <v>428</v>
      </c>
      <c r="R1072">
        <v>32.270000000000003</v>
      </c>
      <c r="S1072">
        <v>13811.56</v>
      </c>
      <c r="T1072">
        <v>15.82</v>
      </c>
      <c r="U1072">
        <v>22</v>
      </c>
      <c r="V1072">
        <v>3469</v>
      </c>
      <c r="W1072" t="s">
        <v>36</v>
      </c>
      <c r="X1072">
        <v>1537.6</v>
      </c>
    </row>
    <row r="1073" spans="1:24" x14ac:dyDescent="0.25">
      <c r="A1073" s="2">
        <v>101071</v>
      </c>
      <c r="B1073" s="1">
        <v>45378</v>
      </c>
      <c r="C1073" s="1">
        <v>45378</v>
      </c>
      <c r="D1073" s="1">
        <v>45392</v>
      </c>
      <c r="E1073" t="s">
        <v>2828</v>
      </c>
      <c r="F1073" t="s">
        <v>38</v>
      </c>
      <c r="G1073" t="s">
        <v>217</v>
      </c>
      <c r="H1073" t="s">
        <v>2829</v>
      </c>
      <c r="I1073" t="s">
        <v>139</v>
      </c>
      <c r="J1073" t="s">
        <v>42</v>
      </c>
      <c r="K1073" t="s">
        <v>1826</v>
      </c>
      <c r="L1073" t="s">
        <v>98</v>
      </c>
      <c r="M1073" t="s">
        <v>38</v>
      </c>
      <c r="N1073" t="s">
        <v>74</v>
      </c>
      <c r="O1073" t="s">
        <v>75</v>
      </c>
      <c r="P1073" t="s">
        <v>123</v>
      </c>
      <c r="Q1073">
        <v>152</v>
      </c>
      <c r="R1073">
        <v>82.4</v>
      </c>
      <c r="S1073">
        <v>12524.8</v>
      </c>
      <c r="T1073">
        <v>10.66</v>
      </c>
      <c r="U1073">
        <v>14</v>
      </c>
      <c r="V1073">
        <v>1529</v>
      </c>
      <c r="W1073" t="s">
        <v>36</v>
      </c>
      <c r="X1073">
        <v>2487.23</v>
      </c>
    </row>
    <row r="1074" spans="1:24" x14ac:dyDescent="0.25">
      <c r="A1074" s="2">
        <v>101072</v>
      </c>
      <c r="B1074" s="1">
        <v>45583</v>
      </c>
      <c r="C1074" s="1">
        <v>45586</v>
      </c>
      <c r="D1074" s="1">
        <v>45590</v>
      </c>
      <c r="E1074" t="s">
        <v>2830</v>
      </c>
      <c r="F1074" t="s">
        <v>25</v>
      </c>
      <c r="G1074" t="s">
        <v>59</v>
      </c>
      <c r="H1074" t="s">
        <v>2831</v>
      </c>
      <c r="I1074" t="s">
        <v>72</v>
      </c>
      <c r="J1074" t="s">
        <v>42</v>
      </c>
      <c r="K1074" t="s">
        <v>2832</v>
      </c>
      <c r="L1074" t="s">
        <v>98</v>
      </c>
      <c r="M1074" t="s">
        <v>38</v>
      </c>
      <c r="N1074" t="s">
        <v>151</v>
      </c>
      <c r="O1074" t="s">
        <v>152</v>
      </c>
      <c r="P1074" t="s">
        <v>35</v>
      </c>
      <c r="Q1074">
        <v>450</v>
      </c>
      <c r="R1074">
        <v>286.89</v>
      </c>
      <c r="S1074">
        <v>129100.5</v>
      </c>
      <c r="T1074">
        <v>25.23</v>
      </c>
      <c r="U1074">
        <v>4</v>
      </c>
      <c r="V1074">
        <v>691</v>
      </c>
      <c r="W1074" t="s">
        <v>36</v>
      </c>
      <c r="X1074">
        <v>16374.14</v>
      </c>
    </row>
    <row r="1075" spans="1:24" x14ac:dyDescent="0.25">
      <c r="A1075" s="2">
        <v>101073</v>
      </c>
      <c r="B1075" s="1">
        <v>45858</v>
      </c>
      <c r="C1075" s="1">
        <v>45861</v>
      </c>
      <c r="D1075" s="1">
        <v>45866</v>
      </c>
      <c r="E1075" t="s">
        <v>2833</v>
      </c>
      <c r="F1075" t="s">
        <v>65</v>
      </c>
      <c r="G1075" t="s">
        <v>70</v>
      </c>
      <c r="H1075" t="s">
        <v>2834</v>
      </c>
      <c r="I1075" t="s">
        <v>144</v>
      </c>
      <c r="J1075" t="s">
        <v>52</v>
      </c>
      <c r="K1075" t="s">
        <v>145</v>
      </c>
      <c r="L1075" t="s">
        <v>118</v>
      </c>
      <c r="M1075" t="s">
        <v>38</v>
      </c>
      <c r="N1075" t="s">
        <v>45</v>
      </c>
      <c r="O1075" t="s">
        <v>46</v>
      </c>
      <c r="P1075" t="s">
        <v>123</v>
      </c>
      <c r="Q1075">
        <v>453</v>
      </c>
      <c r="R1075">
        <v>49.97</v>
      </c>
      <c r="S1075">
        <v>22636.41</v>
      </c>
      <c r="T1075">
        <v>21.7</v>
      </c>
      <c r="U1075">
        <v>5</v>
      </c>
      <c r="V1075">
        <v>626</v>
      </c>
      <c r="W1075" t="s">
        <v>57</v>
      </c>
      <c r="X1075">
        <v>2112.5700000000002</v>
      </c>
    </row>
    <row r="1076" spans="1:24" x14ac:dyDescent="0.25">
      <c r="A1076" s="2">
        <v>101074</v>
      </c>
      <c r="B1076" s="1">
        <v>45819</v>
      </c>
      <c r="C1076" s="1">
        <v>45824</v>
      </c>
      <c r="D1076" s="1">
        <v>45827</v>
      </c>
      <c r="E1076" t="s">
        <v>2835</v>
      </c>
      <c r="F1076" t="s">
        <v>65</v>
      </c>
      <c r="G1076" t="s">
        <v>154</v>
      </c>
      <c r="H1076" t="s">
        <v>2836</v>
      </c>
      <c r="I1076" t="s">
        <v>85</v>
      </c>
      <c r="J1076" t="s">
        <v>52</v>
      </c>
      <c r="K1076" t="s">
        <v>720</v>
      </c>
      <c r="L1076" t="s">
        <v>91</v>
      </c>
      <c r="M1076" t="s">
        <v>38</v>
      </c>
      <c r="N1076" t="s">
        <v>45</v>
      </c>
      <c r="O1076" t="s">
        <v>46</v>
      </c>
      <c r="P1076" t="s">
        <v>68</v>
      </c>
      <c r="Q1076">
        <v>380</v>
      </c>
      <c r="R1076">
        <v>89.14</v>
      </c>
      <c r="S1076">
        <v>33873.199999999997</v>
      </c>
      <c r="T1076">
        <v>53.14</v>
      </c>
      <c r="U1076">
        <v>3</v>
      </c>
      <c r="V1076">
        <v>2496</v>
      </c>
      <c r="W1076" t="s">
        <v>36</v>
      </c>
      <c r="X1076">
        <v>6672.35</v>
      </c>
    </row>
    <row r="1077" spans="1:24" x14ac:dyDescent="0.25">
      <c r="A1077" s="2">
        <v>101075</v>
      </c>
      <c r="B1077" s="1">
        <v>45627</v>
      </c>
      <c r="C1077" s="1">
        <v>45628</v>
      </c>
      <c r="D1077" s="1">
        <v>45634</v>
      </c>
      <c r="E1077" t="s">
        <v>2837</v>
      </c>
      <c r="F1077" t="s">
        <v>65</v>
      </c>
      <c r="G1077" t="s">
        <v>142</v>
      </c>
      <c r="H1077" t="s">
        <v>2838</v>
      </c>
      <c r="I1077" t="s">
        <v>85</v>
      </c>
      <c r="J1077" t="s">
        <v>52</v>
      </c>
      <c r="K1077" t="s">
        <v>1121</v>
      </c>
      <c r="L1077" t="s">
        <v>64</v>
      </c>
      <c r="M1077" t="s">
        <v>54</v>
      </c>
      <c r="N1077" t="s">
        <v>33</v>
      </c>
      <c r="O1077" t="s">
        <v>34</v>
      </c>
      <c r="P1077" t="s">
        <v>35</v>
      </c>
      <c r="Q1077">
        <v>343</v>
      </c>
      <c r="R1077">
        <v>61.15</v>
      </c>
      <c r="S1077">
        <v>20974.45</v>
      </c>
      <c r="T1077">
        <v>22.2</v>
      </c>
      <c r="U1077">
        <v>6</v>
      </c>
      <c r="V1077">
        <v>4262</v>
      </c>
      <c r="W1077" t="s">
        <v>36</v>
      </c>
      <c r="X1077">
        <v>4119.68</v>
      </c>
    </row>
    <row r="1078" spans="1:24" x14ac:dyDescent="0.25">
      <c r="A1078" s="2">
        <v>101076</v>
      </c>
      <c r="B1078" s="1">
        <v>45833</v>
      </c>
      <c r="C1078" s="1">
        <v>45833</v>
      </c>
      <c r="D1078" s="1">
        <v>45846</v>
      </c>
      <c r="E1078" t="s">
        <v>2839</v>
      </c>
      <c r="F1078" t="s">
        <v>54</v>
      </c>
      <c r="G1078" t="s">
        <v>129</v>
      </c>
      <c r="H1078" t="s">
        <v>2840</v>
      </c>
      <c r="I1078" t="s">
        <v>41</v>
      </c>
      <c r="J1078" t="s">
        <v>42</v>
      </c>
      <c r="K1078" t="s">
        <v>2841</v>
      </c>
      <c r="L1078" t="s">
        <v>187</v>
      </c>
      <c r="M1078" t="s">
        <v>54</v>
      </c>
      <c r="N1078" t="s">
        <v>66</v>
      </c>
      <c r="O1078" t="s">
        <v>67</v>
      </c>
      <c r="P1078" t="s">
        <v>76</v>
      </c>
      <c r="Q1078">
        <v>217</v>
      </c>
      <c r="R1078">
        <v>217.43</v>
      </c>
      <c r="S1078">
        <v>47182.31</v>
      </c>
      <c r="T1078">
        <v>8.8699999999999992</v>
      </c>
      <c r="U1078">
        <v>13</v>
      </c>
      <c r="V1078">
        <v>134</v>
      </c>
      <c r="W1078" t="s">
        <v>36</v>
      </c>
      <c r="X1078">
        <v>8246.84</v>
      </c>
    </row>
    <row r="1079" spans="1:24" x14ac:dyDescent="0.25">
      <c r="A1079" s="2">
        <v>101077</v>
      </c>
      <c r="B1079" s="1">
        <v>45424</v>
      </c>
      <c r="C1079" s="1">
        <v>45429</v>
      </c>
      <c r="D1079" s="1">
        <v>45438</v>
      </c>
      <c r="E1079" t="s">
        <v>2842</v>
      </c>
      <c r="F1079" t="s">
        <v>32</v>
      </c>
      <c r="G1079" t="s">
        <v>137</v>
      </c>
      <c r="H1079" t="s">
        <v>2843</v>
      </c>
      <c r="I1079" t="s">
        <v>139</v>
      </c>
      <c r="J1079" t="s">
        <v>42</v>
      </c>
      <c r="K1079" t="s">
        <v>2844</v>
      </c>
      <c r="L1079" t="s">
        <v>118</v>
      </c>
      <c r="M1079" t="s">
        <v>54</v>
      </c>
      <c r="N1079" t="s">
        <v>55</v>
      </c>
      <c r="O1079" t="s">
        <v>56</v>
      </c>
      <c r="P1079" t="s">
        <v>123</v>
      </c>
      <c r="Q1079">
        <v>278</v>
      </c>
      <c r="R1079">
        <v>296.17</v>
      </c>
      <c r="S1079">
        <v>82335.259999999995</v>
      </c>
      <c r="T1079">
        <v>17.45</v>
      </c>
      <c r="U1079">
        <v>9</v>
      </c>
      <c r="V1079">
        <v>1610</v>
      </c>
      <c r="W1079" t="s">
        <v>57</v>
      </c>
      <c r="X1079">
        <v>15025.05</v>
      </c>
    </row>
    <row r="1080" spans="1:24" x14ac:dyDescent="0.25">
      <c r="A1080" s="2">
        <v>101078</v>
      </c>
      <c r="B1080" s="1">
        <v>45696</v>
      </c>
      <c r="C1080" s="1">
        <v>45698</v>
      </c>
      <c r="D1080" s="1">
        <v>45705</v>
      </c>
      <c r="E1080" t="s">
        <v>2845</v>
      </c>
      <c r="F1080" t="s">
        <v>65</v>
      </c>
      <c r="G1080" t="s">
        <v>142</v>
      </c>
      <c r="H1080" t="s">
        <v>2846</v>
      </c>
      <c r="I1080" t="s">
        <v>182</v>
      </c>
      <c r="J1080" t="s">
        <v>80</v>
      </c>
      <c r="K1080" t="s">
        <v>2086</v>
      </c>
      <c r="L1080" t="s">
        <v>113</v>
      </c>
      <c r="M1080" t="s">
        <v>54</v>
      </c>
      <c r="N1080" t="s">
        <v>203</v>
      </c>
      <c r="O1080" t="s">
        <v>204</v>
      </c>
      <c r="P1080" t="s">
        <v>123</v>
      </c>
      <c r="Q1080">
        <v>430</v>
      </c>
      <c r="R1080">
        <v>237.59</v>
      </c>
      <c r="S1080">
        <v>102163.7</v>
      </c>
      <c r="T1080">
        <v>21.14</v>
      </c>
      <c r="U1080">
        <v>7</v>
      </c>
      <c r="V1080">
        <v>572</v>
      </c>
      <c r="W1080" t="s">
        <v>36</v>
      </c>
      <c r="X1080">
        <v>18490.95</v>
      </c>
    </row>
    <row r="1081" spans="1:24" x14ac:dyDescent="0.25">
      <c r="A1081" s="2">
        <v>101079</v>
      </c>
      <c r="B1081" s="1">
        <v>45678</v>
      </c>
      <c r="C1081" s="1">
        <v>45680</v>
      </c>
      <c r="D1081" s="1">
        <v>45701</v>
      </c>
      <c r="E1081" t="s">
        <v>662</v>
      </c>
      <c r="F1081" t="s">
        <v>32</v>
      </c>
      <c r="G1081" t="s">
        <v>110</v>
      </c>
      <c r="H1081" t="s">
        <v>1344</v>
      </c>
      <c r="I1081" t="s">
        <v>61</v>
      </c>
      <c r="J1081" t="s">
        <v>62</v>
      </c>
      <c r="K1081" t="s">
        <v>2847</v>
      </c>
      <c r="L1081" t="s">
        <v>113</v>
      </c>
      <c r="M1081" t="s">
        <v>32</v>
      </c>
      <c r="N1081" t="s">
        <v>102</v>
      </c>
      <c r="O1081" t="s">
        <v>103</v>
      </c>
      <c r="P1081" t="s">
        <v>76</v>
      </c>
      <c r="Q1081">
        <v>152</v>
      </c>
      <c r="R1081">
        <v>10.89</v>
      </c>
      <c r="S1081">
        <v>1655.28</v>
      </c>
      <c r="T1081">
        <v>7.99</v>
      </c>
      <c r="U1081">
        <v>21</v>
      </c>
      <c r="V1081">
        <v>1766</v>
      </c>
      <c r="W1081" t="s">
        <v>36</v>
      </c>
      <c r="X1081">
        <v>100.97</v>
      </c>
    </row>
    <row r="1082" spans="1:24" x14ac:dyDescent="0.25">
      <c r="A1082" s="2">
        <v>101080</v>
      </c>
      <c r="B1082" s="1">
        <v>45332</v>
      </c>
      <c r="C1082" s="1">
        <v>45334</v>
      </c>
      <c r="D1082" s="1">
        <v>45343</v>
      </c>
      <c r="E1082" t="s">
        <v>2848</v>
      </c>
      <c r="F1082" t="s">
        <v>32</v>
      </c>
      <c r="G1082" t="s">
        <v>137</v>
      </c>
      <c r="H1082" t="s">
        <v>2849</v>
      </c>
      <c r="I1082" t="s">
        <v>416</v>
      </c>
      <c r="J1082" t="s">
        <v>80</v>
      </c>
      <c r="K1082" t="s">
        <v>2850</v>
      </c>
      <c r="L1082" t="s">
        <v>122</v>
      </c>
      <c r="M1082" t="s">
        <v>38</v>
      </c>
      <c r="N1082" t="s">
        <v>74</v>
      </c>
      <c r="O1082" t="s">
        <v>75</v>
      </c>
      <c r="P1082" t="s">
        <v>35</v>
      </c>
      <c r="Q1082">
        <v>146</v>
      </c>
      <c r="R1082">
        <v>158.21</v>
      </c>
      <c r="S1082">
        <v>23098.66</v>
      </c>
      <c r="T1082">
        <v>16.61</v>
      </c>
      <c r="U1082">
        <v>9</v>
      </c>
      <c r="V1082">
        <v>1809</v>
      </c>
      <c r="W1082" t="s">
        <v>36</v>
      </c>
      <c r="X1082">
        <v>3729.34</v>
      </c>
    </row>
    <row r="1083" spans="1:24" x14ac:dyDescent="0.25">
      <c r="A1083" s="2">
        <v>101081</v>
      </c>
      <c r="B1083" s="1">
        <v>45923</v>
      </c>
      <c r="C1083" s="1">
        <v>45925</v>
      </c>
      <c r="D1083" s="1">
        <v>45934</v>
      </c>
      <c r="E1083" t="s">
        <v>2851</v>
      </c>
      <c r="F1083" t="s">
        <v>38</v>
      </c>
      <c r="G1083" t="s">
        <v>39</v>
      </c>
      <c r="H1083" t="s">
        <v>2852</v>
      </c>
      <c r="I1083" t="s">
        <v>41</v>
      </c>
      <c r="J1083" t="s">
        <v>42</v>
      </c>
      <c r="K1083" t="s">
        <v>1355</v>
      </c>
      <c r="L1083" t="s">
        <v>64</v>
      </c>
      <c r="M1083" t="s">
        <v>38</v>
      </c>
      <c r="N1083" t="s">
        <v>107</v>
      </c>
      <c r="O1083" t="s">
        <v>108</v>
      </c>
      <c r="P1083" t="s">
        <v>35</v>
      </c>
      <c r="Q1083">
        <v>168</v>
      </c>
      <c r="R1083">
        <v>211.19</v>
      </c>
      <c r="S1083">
        <v>35479.919999999998</v>
      </c>
      <c r="T1083">
        <v>12.77</v>
      </c>
      <c r="U1083">
        <v>9</v>
      </c>
      <c r="V1083">
        <v>1739</v>
      </c>
      <c r="W1083" t="s">
        <v>36</v>
      </c>
      <c r="X1083">
        <v>4192.46</v>
      </c>
    </row>
    <row r="1084" spans="1:24" x14ac:dyDescent="0.25">
      <c r="A1084" s="2">
        <v>101082</v>
      </c>
      <c r="B1084" s="1">
        <v>45883</v>
      </c>
      <c r="C1084" s="1">
        <v>45886</v>
      </c>
      <c r="D1084" s="1">
        <v>45888</v>
      </c>
      <c r="E1084" t="s">
        <v>2853</v>
      </c>
      <c r="F1084" t="s">
        <v>38</v>
      </c>
      <c r="G1084" t="s">
        <v>49</v>
      </c>
      <c r="H1084" t="s">
        <v>2854</v>
      </c>
      <c r="I1084" t="s">
        <v>139</v>
      </c>
      <c r="J1084" t="s">
        <v>42</v>
      </c>
      <c r="K1084" t="s">
        <v>643</v>
      </c>
      <c r="L1084" t="s">
        <v>98</v>
      </c>
      <c r="M1084" t="s">
        <v>65</v>
      </c>
      <c r="N1084" t="s">
        <v>107</v>
      </c>
      <c r="O1084" t="s">
        <v>108</v>
      </c>
      <c r="P1084" t="s">
        <v>35</v>
      </c>
      <c r="Q1084">
        <v>13</v>
      </c>
      <c r="R1084">
        <v>211.49</v>
      </c>
      <c r="S1084">
        <v>2749.37</v>
      </c>
      <c r="T1084">
        <v>12.84</v>
      </c>
      <c r="U1084">
        <v>2</v>
      </c>
      <c r="V1084">
        <v>91</v>
      </c>
      <c r="W1084" t="s">
        <v>36</v>
      </c>
      <c r="X1084">
        <v>437.61</v>
      </c>
    </row>
    <row r="1085" spans="1:24" x14ac:dyDescent="0.25">
      <c r="A1085" s="2">
        <v>101083</v>
      </c>
      <c r="B1085" s="1">
        <v>45727</v>
      </c>
      <c r="C1085" s="1">
        <v>45729</v>
      </c>
      <c r="D1085" s="1">
        <v>45732</v>
      </c>
      <c r="E1085" t="s">
        <v>2855</v>
      </c>
      <c r="F1085" t="s">
        <v>54</v>
      </c>
      <c r="G1085" t="s">
        <v>158</v>
      </c>
      <c r="H1085" t="s">
        <v>2856</v>
      </c>
      <c r="I1085" t="s">
        <v>191</v>
      </c>
      <c r="J1085" t="s">
        <v>62</v>
      </c>
      <c r="K1085" t="s">
        <v>667</v>
      </c>
      <c r="L1085" t="s">
        <v>212</v>
      </c>
      <c r="M1085" t="s">
        <v>54</v>
      </c>
      <c r="N1085" t="s">
        <v>151</v>
      </c>
      <c r="O1085" t="s">
        <v>152</v>
      </c>
      <c r="P1085" t="s">
        <v>68</v>
      </c>
      <c r="Q1085">
        <v>354</v>
      </c>
      <c r="R1085">
        <v>36.78</v>
      </c>
      <c r="S1085">
        <v>13020.12</v>
      </c>
      <c r="T1085">
        <v>38.11</v>
      </c>
      <c r="U1085">
        <v>3</v>
      </c>
      <c r="V1085">
        <v>2204</v>
      </c>
      <c r="W1085" t="s">
        <v>57</v>
      </c>
      <c r="X1085">
        <v>842.04</v>
      </c>
    </row>
    <row r="1086" spans="1:24" x14ac:dyDescent="0.25">
      <c r="A1086" s="2">
        <v>101084</v>
      </c>
      <c r="B1086" s="1">
        <v>45748</v>
      </c>
      <c r="C1086" s="1">
        <v>45751</v>
      </c>
      <c r="D1086" s="1">
        <v>45755</v>
      </c>
      <c r="E1086" t="s">
        <v>2857</v>
      </c>
      <c r="F1086" t="s">
        <v>65</v>
      </c>
      <c r="G1086" t="s">
        <v>70</v>
      </c>
      <c r="H1086" t="s">
        <v>2858</v>
      </c>
      <c r="I1086" t="s">
        <v>61</v>
      </c>
      <c r="J1086" t="s">
        <v>62</v>
      </c>
      <c r="K1086" t="s">
        <v>628</v>
      </c>
      <c r="L1086" t="s">
        <v>187</v>
      </c>
      <c r="M1086" t="s">
        <v>25</v>
      </c>
      <c r="N1086" t="s">
        <v>102</v>
      </c>
      <c r="O1086" t="s">
        <v>103</v>
      </c>
      <c r="P1086" t="s">
        <v>68</v>
      </c>
      <c r="Q1086">
        <v>301</v>
      </c>
      <c r="R1086">
        <v>18.940000000000001</v>
      </c>
      <c r="S1086">
        <v>5700.94</v>
      </c>
      <c r="T1086">
        <v>48.02</v>
      </c>
      <c r="U1086">
        <v>4</v>
      </c>
      <c r="V1086">
        <v>3617</v>
      </c>
      <c r="W1086" t="s">
        <v>36</v>
      </c>
      <c r="X1086">
        <v>681.18</v>
      </c>
    </row>
    <row r="1087" spans="1:24" x14ac:dyDescent="0.25">
      <c r="A1087" s="2">
        <v>101085</v>
      </c>
      <c r="B1087" s="1">
        <v>46014</v>
      </c>
      <c r="C1087" s="1">
        <v>46015</v>
      </c>
      <c r="D1087" s="1">
        <v>46018</v>
      </c>
      <c r="E1087" t="s">
        <v>2859</v>
      </c>
      <c r="F1087" t="s">
        <v>25</v>
      </c>
      <c r="G1087" t="s">
        <v>59</v>
      </c>
      <c r="H1087" t="s">
        <v>2362</v>
      </c>
      <c r="I1087" t="s">
        <v>72</v>
      </c>
      <c r="J1087" t="s">
        <v>42</v>
      </c>
      <c r="K1087" t="s">
        <v>2819</v>
      </c>
      <c r="L1087" t="s">
        <v>113</v>
      </c>
      <c r="M1087" t="s">
        <v>38</v>
      </c>
      <c r="N1087" t="s">
        <v>107</v>
      </c>
      <c r="O1087" t="s">
        <v>108</v>
      </c>
      <c r="P1087" t="s">
        <v>68</v>
      </c>
      <c r="Q1087">
        <v>245</v>
      </c>
      <c r="R1087">
        <v>124.29</v>
      </c>
      <c r="S1087">
        <v>30451.05</v>
      </c>
      <c r="T1087">
        <v>44.39</v>
      </c>
      <c r="U1087">
        <v>3</v>
      </c>
      <c r="V1087">
        <v>272</v>
      </c>
      <c r="W1087" t="s">
        <v>36</v>
      </c>
      <c r="X1087">
        <v>5438.53</v>
      </c>
    </row>
    <row r="1088" spans="1:24" x14ac:dyDescent="0.25">
      <c r="A1088" s="2">
        <v>101086</v>
      </c>
      <c r="B1088" s="1">
        <v>45845</v>
      </c>
      <c r="C1088" s="1">
        <v>45846</v>
      </c>
      <c r="D1088" s="1">
        <v>45853</v>
      </c>
      <c r="E1088" t="s">
        <v>2860</v>
      </c>
      <c r="F1088" t="s">
        <v>65</v>
      </c>
      <c r="G1088" t="s">
        <v>154</v>
      </c>
      <c r="H1088" t="s">
        <v>2861</v>
      </c>
      <c r="I1088" t="s">
        <v>79</v>
      </c>
      <c r="J1088" t="s">
        <v>80</v>
      </c>
      <c r="K1088" t="s">
        <v>753</v>
      </c>
      <c r="L1088" t="s">
        <v>122</v>
      </c>
      <c r="M1088" t="s">
        <v>32</v>
      </c>
      <c r="N1088" t="s">
        <v>102</v>
      </c>
      <c r="O1088" t="s">
        <v>103</v>
      </c>
      <c r="P1088" t="s">
        <v>123</v>
      </c>
      <c r="Q1088">
        <v>438</v>
      </c>
      <c r="R1088">
        <v>254.95</v>
      </c>
      <c r="S1088">
        <v>111668.1</v>
      </c>
      <c r="T1088">
        <v>21.34</v>
      </c>
      <c r="U1088">
        <v>7</v>
      </c>
      <c r="V1088">
        <v>1995</v>
      </c>
      <c r="W1088" t="s">
        <v>36</v>
      </c>
      <c r="X1088">
        <v>18472.68</v>
      </c>
    </row>
    <row r="1089" spans="1:24" x14ac:dyDescent="0.25">
      <c r="A1089" s="2">
        <v>101087</v>
      </c>
      <c r="B1089" s="1">
        <v>45437</v>
      </c>
      <c r="C1089" s="1">
        <v>45439</v>
      </c>
      <c r="D1089" s="1">
        <v>45445</v>
      </c>
      <c r="E1089" t="s">
        <v>2862</v>
      </c>
      <c r="F1089" t="s">
        <v>54</v>
      </c>
      <c r="G1089" t="s">
        <v>129</v>
      </c>
      <c r="H1089" t="s">
        <v>2863</v>
      </c>
      <c r="I1089" t="s">
        <v>238</v>
      </c>
      <c r="J1089" t="s">
        <v>62</v>
      </c>
      <c r="K1089" t="s">
        <v>1332</v>
      </c>
      <c r="L1089" t="s">
        <v>44</v>
      </c>
      <c r="M1089" t="s">
        <v>38</v>
      </c>
      <c r="N1089" t="s">
        <v>55</v>
      </c>
      <c r="O1089" t="s">
        <v>56</v>
      </c>
      <c r="P1089" t="s">
        <v>123</v>
      </c>
      <c r="Q1089">
        <v>380</v>
      </c>
      <c r="R1089">
        <v>37.35</v>
      </c>
      <c r="S1089">
        <v>14193</v>
      </c>
      <c r="T1089">
        <v>19.93</v>
      </c>
      <c r="U1089">
        <v>6</v>
      </c>
      <c r="V1089">
        <v>4562</v>
      </c>
      <c r="W1089" t="s">
        <v>36</v>
      </c>
      <c r="X1089">
        <v>1512.35</v>
      </c>
    </row>
    <row r="1090" spans="1:24" x14ac:dyDescent="0.25">
      <c r="A1090" s="2">
        <v>101088</v>
      </c>
      <c r="B1090" s="1">
        <v>45992</v>
      </c>
      <c r="C1090" s="1">
        <v>45994</v>
      </c>
      <c r="D1090" s="1">
        <v>45998</v>
      </c>
      <c r="E1090" t="s">
        <v>2864</v>
      </c>
      <c r="F1090" t="s">
        <v>54</v>
      </c>
      <c r="G1090" t="s">
        <v>193</v>
      </c>
      <c r="H1090" t="s">
        <v>2865</v>
      </c>
      <c r="I1090" t="s">
        <v>207</v>
      </c>
      <c r="J1090" t="s">
        <v>80</v>
      </c>
      <c r="K1090" t="s">
        <v>434</v>
      </c>
      <c r="L1090" t="s">
        <v>118</v>
      </c>
      <c r="M1090" t="s">
        <v>25</v>
      </c>
      <c r="N1090" t="s">
        <v>92</v>
      </c>
      <c r="O1090" t="s">
        <v>93</v>
      </c>
      <c r="P1090" t="s">
        <v>123</v>
      </c>
      <c r="Q1090">
        <v>171</v>
      </c>
      <c r="R1090">
        <v>69.23</v>
      </c>
      <c r="S1090">
        <v>11838.33</v>
      </c>
      <c r="T1090">
        <v>14.85</v>
      </c>
      <c r="U1090">
        <v>4</v>
      </c>
      <c r="V1090">
        <v>1461</v>
      </c>
      <c r="W1090" t="s">
        <v>36</v>
      </c>
      <c r="X1090">
        <v>1963.28</v>
      </c>
    </row>
    <row r="1091" spans="1:24" x14ac:dyDescent="0.25">
      <c r="A1091" s="2">
        <v>101089</v>
      </c>
      <c r="B1091" s="1">
        <v>45696</v>
      </c>
      <c r="C1091" s="1">
        <v>45700</v>
      </c>
      <c r="D1091" s="1">
        <v>45702</v>
      </c>
      <c r="E1091" t="s">
        <v>2866</v>
      </c>
      <c r="F1091" t="s">
        <v>25</v>
      </c>
      <c r="G1091" t="s">
        <v>59</v>
      </c>
      <c r="H1091" t="s">
        <v>2867</v>
      </c>
      <c r="I1091" t="s">
        <v>89</v>
      </c>
      <c r="J1091" t="s">
        <v>62</v>
      </c>
      <c r="K1091" t="s">
        <v>1429</v>
      </c>
      <c r="L1091" t="s">
        <v>212</v>
      </c>
      <c r="M1091" t="s">
        <v>65</v>
      </c>
      <c r="N1091" t="s">
        <v>102</v>
      </c>
      <c r="O1091" t="s">
        <v>103</v>
      </c>
      <c r="P1091" t="s">
        <v>68</v>
      </c>
      <c r="Q1091">
        <v>143</v>
      </c>
      <c r="R1091">
        <v>28.46</v>
      </c>
      <c r="S1091">
        <v>4069.78</v>
      </c>
      <c r="T1091">
        <v>37.78</v>
      </c>
      <c r="U1091">
        <v>2</v>
      </c>
      <c r="V1091">
        <v>4161</v>
      </c>
      <c r="W1091" t="s">
        <v>36</v>
      </c>
      <c r="X1091">
        <v>257.2</v>
      </c>
    </row>
    <row r="1092" spans="1:24" x14ac:dyDescent="0.25">
      <c r="A1092" s="2">
        <v>101090</v>
      </c>
      <c r="B1092" s="1">
        <v>45671</v>
      </c>
      <c r="C1092" s="1">
        <v>45674</v>
      </c>
      <c r="D1092" s="1">
        <v>45678</v>
      </c>
      <c r="E1092" t="s">
        <v>2868</v>
      </c>
      <c r="F1092" t="s">
        <v>38</v>
      </c>
      <c r="G1092" t="s">
        <v>217</v>
      </c>
      <c r="H1092" t="s">
        <v>2869</v>
      </c>
      <c r="I1092" t="s">
        <v>116</v>
      </c>
      <c r="J1092" t="s">
        <v>62</v>
      </c>
      <c r="K1092" t="s">
        <v>275</v>
      </c>
      <c r="L1092" t="s">
        <v>118</v>
      </c>
      <c r="M1092" t="s">
        <v>38</v>
      </c>
      <c r="N1092" t="s">
        <v>151</v>
      </c>
      <c r="O1092" t="s">
        <v>152</v>
      </c>
      <c r="P1092" t="s">
        <v>35</v>
      </c>
      <c r="Q1092">
        <v>18</v>
      </c>
      <c r="R1092">
        <v>37.5</v>
      </c>
      <c r="S1092">
        <v>675</v>
      </c>
      <c r="T1092">
        <v>9.6199999999999992</v>
      </c>
      <c r="U1092">
        <v>4</v>
      </c>
      <c r="V1092">
        <v>4980</v>
      </c>
      <c r="W1092" t="s">
        <v>36</v>
      </c>
      <c r="X1092">
        <v>58.37</v>
      </c>
    </row>
    <row r="1093" spans="1:24" x14ac:dyDescent="0.25">
      <c r="A1093" s="2">
        <v>101091</v>
      </c>
      <c r="B1093" s="1">
        <v>45819</v>
      </c>
      <c r="C1093" s="1">
        <v>45821</v>
      </c>
      <c r="D1093" s="1">
        <v>45840</v>
      </c>
      <c r="E1093" t="s">
        <v>2870</v>
      </c>
      <c r="F1093" t="s">
        <v>54</v>
      </c>
      <c r="G1093" t="s">
        <v>225</v>
      </c>
      <c r="H1093" t="s">
        <v>2871</v>
      </c>
      <c r="I1093" t="s">
        <v>41</v>
      </c>
      <c r="J1093" t="s">
        <v>42</v>
      </c>
      <c r="K1093" t="s">
        <v>199</v>
      </c>
      <c r="L1093" t="s">
        <v>118</v>
      </c>
      <c r="M1093" t="s">
        <v>32</v>
      </c>
      <c r="N1093" t="s">
        <v>151</v>
      </c>
      <c r="O1093" t="s">
        <v>152</v>
      </c>
      <c r="P1093" t="s">
        <v>76</v>
      </c>
      <c r="Q1093">
        <v>59</v>
      </c>
      <c r="R1093">
        <v>245.77</v>
      </c>
      <c r="S1093">
        <v>14500.43</v>
      </c>
      <c r="T1093">
        <v>9.09</v>
      </c>
      <c r="U1093">
        <v>19</v>
      </c>
      <c r="V1093">
        <v>780</v>
      </c>
      <c r="W1093" t="s">
        <v>36</v>
      </c>
      <c r="X1093">
        <v>1472.18</v>
      </c>
    </row>
    <row r="1094" spans="1:24" x14ac:dyDescent="0.25">
      <c r="A1094" s="2">
        <v>101092</v>
      </c>
      <c r="B1094" s="1">
        <v>45493</v>
      </c>
      <c r="C1094" s="1">
        <v>45497</v>
      </c>
      <c r="D1094" s="1">
        <v>45499</v>
      </c>
      <c r="E1094" t="s">
        <v>2872</v>
      </c>
      <c r="F1094" t="s">
        <v>32</v>
      </c>
      <c r="G1094" t="s">
        <v>273</v>
      </c>
      <c r="H1094" t="s">
        <v>2873</v>
      </c>
      <c r="I1094" t="s">
        <v>51</v>
      </c>
      <c r="J1094" t="s">
        <v>52</v>
      </c>
      <c r="K1094" t="s">
        <v>2874</v>
      </c>
      <c r="L1094" t="s">
        <v>44</v>
      </c>
      <c r="M1094" t="s">
        <v>38</v>
      </c>
      <c r="N1094" t="s">
        <v>55</v>
      </c>
      <c r="O1094" t="s">
        <v>56</v>
      </c>
      <c r="P1094" t="s">
        <v>68</v>
      </c>
      <c r="Q1094">
        <v>378</v>
      </c>
      <c r="R1094">
        <v>51.06</v>
      </c>
      <c r="S1094">
        <v>19300.68</v>
      </c>
      <c r="T1094">
        <v>53.01</v>
      </c>
      <c r="U1094">
        <v>2</v>
      </c>
      <c r="V1094">
        <v>403</v>
      </c>
      <c r="W1094" t="s">
        <v>36</v>
      </c>
      <c r="X1094">
        <v>1510.5</v>
      </c>
    </row>
    <row r="1095" spans="1:24" x14ac:dyDescent="0.25">
      <c r="A1095" s="2">
        <v>101093</v>
      </c>
      <c r="B1095" s="1">
        <v>45531</v>
      </c>
      <c r="C1095" s="1">
        <v>45531</v>
      </c>
      <c r="D1095" s="1">
        <v>45532</v>
      </c>
      <c r="E1095" t="s">
        <v>2875</v>
      </c>
      <c r="F1095" t="s">
        <v>54</v>
      </c>
      <c r="G1095" t="s">
        <v>225</v>
      </c>
      <c r="H1095" t="s">
        <v>2876</v>
      </c>
      <c r="I1095" t="s">
        <v>72</v>
      </c>
      <c r="J1095" t="s">
        <v>42</v>
      </c>
      <c r="K1095" t="s">
        <v>1829</v>
      </c>
      <c r="L1095" t="s">
        <v>187</v>
      </c>
      <c r="M1095" t="s">
        <v>65</v>
      </c>
      <c r="N1095" t="s">
        <v>203</v>
      </c>
      <c r="O1095" t="s">
        <v>204</v>
      </c>
      <c r="P1095" t="s">
        <v>68</v>
      </c>
      <c r="Q1095">
        <v>453</v>
      </c>
      <c r="R1095">
        <v>187.63</v>
      </c>
      <c r="S1095">
        <v>84996.39</v>
      </c>
      <c r="T1095">
        <v>57.87</v>
      </c>
      <c r="U1095">
        <v>1</v>
      </c>
      <c r="V1095">
        <v>393</v>
      </c>
      <c r="W1095" t="s">
        <v>36</v>
      </c>
      <c r="X1095">
        <v>10635.36</v>
      </c>
    </row>
    <row r="1096" spans="1:24" x14ac:dyDescent="0.25">
      <c r="A1096" s="2">
        <v>101094</v>
      </c>
      <c r="B1096" s="1">
        <v>45396</v>
      </c>
      <c r="C1096" s="1">
        <v>45398</v>
      </c>
      <c r="D1096" s="1">
        <v>45409</v>
      </c>
      <c r="E1096" t="s">
        <v>2877</v>
      </c>
      <c r="F1096" t="s">
        <v>54</v>
      </c>
      <c r="G1096" t="s">
        <v>158</v>
      </c>
      <c r="H1096" t="s">
        <v>2878</v>
      </c>
      <c r="I1096" t="s">
        <v>134</v>
      </c>
      <c r="J1096" t="s">
        <v>52</v>
      </c>
      <c r="K1096" t="s">
        <v>2879</v>
      </c>
      <c r="L1096" t="s">
        <v>91</v>
      </c>
      <c r="M1096" t="s">
        <v>65</v>
      </c>
      <c r="N1096" t="s">
        <v>33</v>
      </c>
      <c r="O1096" t="s">
        <v>34</v>
      </c>
      <c r="P1096" t="s">
        <v>76</v>
      </c>
      <c r="Q1096">
        <v>428</v>
      </c>
      <c r="R1096">
        <v>14.84</v>
      </c>
      <c r="S1096">
        <v>6351.52</v>
      </c>
      <c r="T1096">
        <v>15.82</v>
      </c>
      <c r="U1096">
        <v>11</v>
      </c>
      <c r="V1096">
        <v>2146</v>
      </c>
      <c r="W1096" t="s">
        <v>36</v>
      </c>
      <c r="X1096">
        <v>831.68</v>
      </c>
    </row>
    <row r="1097" spans="1:24" x14ac:dyDescent="0.25">
      <c r="A1097" s="2">
        <v>101095</v>
      </c>
      <c r="B1097" s="1">
        <v>45948</v>
      </c>
      <c r="C1097" s="1">
        <v>45953</v>
      </c>
      <c r="D1097" s="1">
        <v>45969</v>
      </c>
      <c r="E1097" t="s">
        <v>2880</v>
      </c>
      <c r="F1097" t="s">
        <v>25</v>
      </c>
      <c r="G1097" t="s">
        <v>221</v>
      </c>
      <c r="H1097" t="s">
        <v>2881</v>
      </c>
      <c r="I1097" t="s">
        <v>238</v>
      </c>
      <c r="J1097" t="s">
        <v>62</v>
      </c>
      <c r="K1097" t="s">
        <v>988</v>
      </c>
      <c r="L1097" t="s">
        <v>122</v>
      </c>
      <c r="M1097" t="s">
        <v>32</v>
      </c>
      <c r="N1097" t="s">
        <v>107</v>
      </c>
      <c r="O1097" t="s">
        <v>108</v>
      </c>
      <c r="P1097" t="s">
        <v>35</v>
      </c>
      <c r="Q1097">
        <v>226</v>
      </c>
      <c r="R1097">
        <v>11.17</v>
      </c>
      <c r="S1097">
        <v>2524.42</v>
      </c>
      <c r="T1097">
        <v>18.88</v>
      </c>
      <c r="U1097">
        <v>16</v>
      </c>
      <c r="V1097">
        <v>2672</v>
      </c>
      <c r="W1097" t="s">
        <v>188</v>
      </c>
      <c r="X1097">
        <v>382.03</v>
      </c>
    </row>
    <row r="1098" spans="1:24" x14ac:dyDescent="0.25">
      <c r="A1098" s="2">
        <v>101096</v>
      </c>
      <c r="B1098" s="1">
        <v>45925</v>
      </c>
      <c r="C1098" s="1">
        <v>45929</v>
      </c>
      <c r="D1098" s="1">
        <v>45938</v>
      </c>
      <c r="E1098" t="s">
        <v>2882</v>
      </c>
      <c r="F1098" t="s">
        <v>32</v>
      </c>
      <c r="G1098" t="s">
        <v>95</v>
      </c>
      <c r="H1098" t="s">
        <v>2883</v>
      </c>
      <c r="I1098" t="s">
        <v>230</v>
      </c>
      <c r="J1098" t="s">
        <v>80</v>
      </c>
      <c r="K1098" t="s">
        <v>223</v>
      </c>
      <c r="L1098" t="s">
        <v>187</v>
      </c>
      <c r="M1098" t="s">
        <v>38</v>
      </c>
      <c r="N1098" t="s">
        <v>74</v>
      </c>
      <c r="O1098" t="s">
        <v>75</v>
      </c>
      <c r="P1098" t="s">
        <v>35</v>
      </c>
      <c r="Q1098">
        <v>230</v>
      </c>
      <c r="R1098">
        <v>208.3</v>
      </c>
      <c r="S1098">
        <v>47909</v>
      </c>
      <c r="T1098">
        <v>18.989999999999998</v>
      </c>
      <c r="U1098">
        <v>9</v>
      </c>
      <c r="V1098">
        <v>1297</v>
      </c>
      <c r="W1098" t="s">
        <v>36</v>
      </c>
      <c r="X1098">
        <v>10541.15</v>
      </c>
    </row>
    <row r="1099" spans="1:24" x14ac:dyDescent="0.25">
      <c r="A1099" s="2">
        <v>101097</v>
      </c>
      <c r="B1099" s="1">
        <v>45948</v>
      </c>
      <c r="C1099" s="1">
        <v>45949</v>
      </c>
      <c r="D1099" s="1">
        <v>45969</v>
      </c>
      <c r="E1099" t="s">
        <v>2884</v>
      </c>
      <c r="F1099" t="s">
        <v>25</v>
      </c>
      <c r="G1099" t="s">
        <v>26</v>
      </c>
      <c r="H1099" t="s">
        <v>2885</v>
      </c>
      <c r="I1099" t="s">
        <v>139</v>
      </c>
      <c r="J1099" t="s">
        <v>42</v>
      </c>
      <c r="K1099" t="s">
        <v>2874</v>
      </c>
      <c r="L1099" t="s">
        <v>91</v>
      </c>
      <c r="M1099" t="s">
        <v>25</v>
      </c>
      <c r="N1099" t="s">
        <v>74</v>
      </c>
      <c r="O1099" t="s">
        <v>75</v>
      </c>
      <c r="P1099" t="s">
        <v>76</v>
      </c>
      <c r="Q1099">
        <v>31</v>
      </c>
      <c r="R1099">
        <v>206.7</v>
      </c>
      <c r="S1099">
        <v>6407.7</v>
      </c>
      <c r="T1099">
        <v>6.36</v>
      </c>
      <c r="U1099">
        <v>20</v>
      </c>
      <c r="V1099">
        <v>924</v>
      </c>
      <c r="W1099" t="s">
        <v>36</v>
      </c>
      <c r="X1099">
        <v>1163.47</v>
      </c>
    </row>
    <row r="1100" spans="1:24" x14ac:dyDescent="0.25">
      <c r="A1100" s="2">
        <v>101098</v>
      </c>
      <c r="B1100" s="1">
        <v>46016</v>
      </c>
      <c r="C1100" s="1">
        <v>46017</v>
      </c>
      <c r="D1100" s="1">
        <v>46032</v>
      </c>
      <c r="E1100" t="s">
        <v>2886</v>
      </c>
      <c r="F1100" t="s">
        <v>54</v>
      </c>
      <c r="G1100" t="s">
        <v>165</v>
      </c>
      <c r="H1100" t="s">
        <v>2887</v>
      </c>
      <c r="I1100" t="s">
        <v>177</v>
      </c>
      <c r="J1100" t="s">
        <v>29</v>
      </c>
      <c r="K1100" t="s">
        <v>1963</v>
      </c>
      <c r="L1100" t="s">
        <v>44</v>
      </c>
      <c r="M1100" t="s">
        <v>25</v>
      </c>
      <c r="N1100" t="s">
        <v>45</v>
      </c>
      <c r="O1100" t="s">
        <v>46</v>
      </c>
      <c r="P1100" t="s">
        <v>76</v>
      </c>
      <c r="Q1100">
        <v>266</v>
      </c>
      <c r="R1100">
        <v>97.89</v>
      </c>
      <c r="S1100">
        <v>26038.74</v>
      </c>
      <c r="T1100">
        <v>12.87</v>
      </c>
      <c r="U1100">
        <v>15</v>
      </c>
      <c r="V1100">
        <v>200</v>
      </c>
      <c r="W1100" t="s">
        <v>36</v>
      </c>
      <c r="X1100">
        <v>6189.94</v>
      </c>
    </row>
    <row r="1101" spans="1:24" x14ac:dyDescent="0.25">
      <c r="A1101" s="2">
        <v>101099</v>
      </c>
      <c r="B1101" s="1">
        <v>45656</v>
      </c>
      <c r="C1101" s="1">
        <v>45656</v>
      </c>
      <c r="D1101" s="1">
        <v>45671</v>
      </c>
      <c r="E1101" t="s">
        <v>2888</v>
      </c>
      <c r="F1101" t="s">
        <v>38</v>
      </c>
      <c r="G1101" t="s">
        <v>147</v>
      </c>
      <c r="H1101" t="s">
        <v>2889</v>
      </c>
      <c r="I1101" t="s">
        <v>61</v>
      </c>
      <c r="J1101" t="s">
        <v>62</v>
      </c>
      <c r="K1101" t="s">
        <v>2555</v>
      </c>
      <c r="L1101" t="s">
        <v>118</v>
      </c>
      <c r="M1101" t="s">
        <v>38</v>
      </c>
      <c r="N1101" t="s">
        <v>203</v>
      </c>
      <c r="O1101" t="s">
        <v>204</v>
      </c>
      <c r="P1101" t="s">
        <v>76</v>
      </c>
      <c r="Q1101">
        <v>138</v>
      </c>
      <c r="R1101">
        <v>17.399999999999999</v>
      </c>
      <c r="S1101">
        <v>2401.1999999999998</v>
      </c>
      <c r="T1101">
        <v>7.8</v>
      </c>
      <c r="U1101">
        <v>15</v>
      </c>
      <c r="V1101">
        <v>1695</v>
      </c>
      <c r="W1101" t="s">
        <v>36</v>
      </c>
      <c r="X1101">
        <v>130.38</v>
      </c>
    </row>
    <row r="1102" spans="1:24" x14ac:dyDescent="0.25">
      <c r="A1102" s="2">
        <v>101100</v>
      </c>
      <c r="B1102" s="1">
        <v>45904</v>
      </c>
      <c r="C1102" s="1">
        <v>45905</v>
      </c>
      <c r="D1102" s="1">
        <v>45914</v>
      </c>
      <c r="E1102" t="s">
        <v>2890</v>
      </c>
      <c r="F1102" t="s">
        <v>65</v>
      </c>
      <c r="G1102" t="s">
        <v>70</v>
      </c>
      <c r="H1102" t="s">
        <v>2891</v>
      </c>
      <c r="I1102" t="s">
        <v>177</v>
      </c>
      <c r="J1102" t="s">
        <v>29</v>
      </c>
      <c r="K1102" t="s">
        <v>2892</v>
      </c>
      <c r="L1102" t="s">
        <v>118</v>
      </c>
      <c r="M1102" t="s">
        <v>54</v>
      </c>
      <c r="N1102" t="s">
        <v>33</v>
      </c>
      <c r="O1102" t="s">
        <v>34</v>
      </c>
      <c r="P1102" t="s">
        <v>35</v>
      </c>
      <c r="Q1102">
        <v>132</v>
      </c>
      <c r="R1102">
        <v>62.94</v>
      </c>
      <c r="S1102">
        <v>8308.08</v>
      </c>
      <c r="T1102">
        <v>16.22</v>
      </c>
      <c r="U1102">
        <v>9</v>
      </c>
      <c r="V1102">
        <v>1787</v>
      </c>
      <c r="W1102" t="s">
        <v>36</v>
      </c>
      <c r="X1102">
        <v>981.72</v>
      </c>
    </row>
    <row r="1103" spans="1:24" x14ac:dyDescent="0.25">
      <c r="A1103" s="2">
        <v>101101</v>
      </c>
      <c r="B1103" s="1">
        <v>45992</v>
      </c>
      <c r="C1103" s="1">
        <v>45996</v>
      </c>
      <c r="D1103" s="1">
        <v>46008</v>
      </c>
      <c r="E1103" t="s">
        <v>2893</v>
      </c>
      <c r="F1103" t="s">
        <v>25</v>
      </c>
      <c r="G1103" t="s">
        <v>233</v>
      </c>
      <c r="H1103" t="s">
        <v>2894</v>
      </c>
      <c r="I1103" t="s">
        <v>89</v>
      </c>
      <c r="J1103" t="s">
        <v>62</v>
      </c>
      <c r="K1103" t="s">
        <v>792</v>
      </c>
      <c r="L1103" t="s">
        <v>98</v>
      </c>
      <c r="M1103" t="s">
        <v>38</v>
      </c>
      <c r="N1103" t="s">
        <v>55</v>
      </c>
      <c r="O1103" t="s">
        <v>56</v>
      </c>
      <c r="P1103" t="s">
        <v>123</v>
      </c>
      <c r="Q1103">
        <v>58</v>
      </c>
      <c r="R1103">
        <v>14.01</v>
      </c>
      <c r="S1103">
        <v>812.58</v>
      </c>
      <c r="T1103">
        <v>12.1</v>
      </c>
      <c r="U1103">
        <v>12</v>
      </c>
      <c r="V1103">
        <v>3765</v>
      </c>
      <c r="W1103" t="s">
        <v>188</v>
      </c>
      <c r="X1103">
        <v>86.74</v>
      </c>
    </row>
    <row r="1104" spans="1:24" x14ac:dyDescent="0.25">
      <c r="A1104" s="2">
        <v>101102</v>
      </c>
      <c r="B1104" s="1">
        <v>46015</v>
      </c>
      <c r="C1104" s="1">
        <v>46018</v>
      </c>
      <c r="D1104" s="1">
        <v>46028</v>
      </c>
      <c r="E1104" t="s">
        <v>2895</v>
      </c>
      <c r="F1104" t="s">
        <v>32</v>
      </c>
      <c r="G1104" t="s">
        <v>180</v>
      </c>
      <c r="H1104" t="s">
        <v>2896</v>
      </c>
      <c r="I1104" t="s">
        <v>85</v>
      </c>
      <c r="J1104" t="s">
        <v>52</v>
      </c>
      <c r="K1104" t="s">
        <v>756</v>
      </c>
      <c r="L1104" t="s">
        <v>98</v>
      </c>
      <c r="M1104" t="s">
        <v>38</v>
      </c>
      <c r="N1104" t="s">
        <v>203</v>
      </c>
      <c r="O1104" t="s">
        <v>204</v>
      </c>
      <c r="P1104" t="s">
        <v>35</v>
      </c>
      <c r="Q1104">
        <v>315</v>
      </c>
      <c r="R1104">
        <v>73.040000000000006</v>
      </c>
      <c r="S1104">
        <v>23007.599999999999</v>
      </c>
      <c r="T1104">
        <v>21.4</v>
      </c>
      <c r="U1104">
        <v>10</v>
      </c>
      <c r="V1104">
        <v>1158</v>
      </c>
      <c r="W1104" t="s">
        <v>36</v>
      </c>
      <c r="X1104">
        <v>1822.58</v>
      </c>
    </row>
    <row r="1105" spans="1:24" x14ac:dyDescent="0.25">
      <c r="A1105" s="2">
        <v>101103</v>
      </c>
      <c r="B1105" s="1">
        <v>45847</v>
      </c>
      <c r="C1105" s="1">
        <v>45850</v>
      </c>
      <c r="D1105" s="1">
        <v>45856</v>
      </c>
      <c r="E1105" t="s">
        <v>2897</v>
      </c>
      <c r="F1105" t="s">
        <v>25</v>
      </c>
      <c r="G1105" t="s">
        <v>59</v>
      </c>
      <c r="H1105" t="s">
        <v>2898</v>
      </c>
      <c r="I1105" t="s">
        <v>85</v>
      </c>
      <c r="J1105" t="s">
        <v>52</v>
      </c>
      <c r="K1105" t="s">
        <v>2899</v>
      </c>
      <c r="L1105" t="s">
        <v>122</v>
      </c>
      <c r="M1105" t="s">
        <v>65</v>
      </c>
      <c r="N1105" t="s">
        <v>102</v>
      </c>
      <c r="O1105" t="s">
        <v>103</v>
      </c>
      <c r="P1105" t="s">
        <v>123</v>
      </c>
      <c r="Q1105">
        <v>69</v>
      </c>
      <c r="R1105">
        <v>50.88</v>
      </c>
      <c r="S1105">
        <v>3510.72</v>
      </c>
      <c r="T1105">
        <v>12.37</v>
      </c>
      <c r="U1105">
        <v>6</v>
      </c>
      <c r="V1105">
        <v>3320</v>
      </c>
      <c r="W1105" t="s">
        <v>36</v>
      </c>
      <c r="X1105">
        <v>301.67</v>
      </c>
    </row>
    <row r="1106" spans="1:24" x14ac:dyDescent="0.25">
      <c r="A1106" s="2">
        <v>101104</v>
      </c>
      <c r="B1106" s="1">
        <v>45404</v>
      </c>
      <c r="C1106" s="1">
        <v>45408</v>
      </c>
      <c r="D1106" s="1">
        <v>45418</v>
      </c>
      <c r="E1106" t="s">
        <v>2900</v>
      </c>
      <c r="F1106" t="s">
        <v>32</v>
      </c>
      <c r="G1106" t="s">
        <v>110</v>
      </c>
      <c r="H1106" t="s">
        <v>2901</v>
      </c>
      <c r="I1106" t="s">
        <v>79</v>
      </c>
      <c r="J1106" t="s">
        <v>80</v>
      </c>
      <c r="K1106" t="s">
        <v>2902</v>
      </c>
      <c r="L1106" t="s">
        <v>113</v>
      </c>
      <c r="M1106" t="s">
        <v>25</v>
      </c>
      <c r="N1106" t="s">
        <v>151</v>
      </c>
      <c r="O1106" t="s">
        <v>152</v>
      </c>
      <c r="P1106" t="s">
        <v>76</v>
      </c>
      <c r="Q1106">
        <v>313</v>
      </c>
      <c r="R1106">
        <v>192.49</v>
      </c>
      <c r="S1106">
        <v>60249.37</v>
      </c>
      <c r="T1106">
        <v>13.72</v>
      </c>
      <c r="U1106">
        <v>10</v>
      </c>
      <c r="V1106">
        <v>1592</v>
      </c>
      <c r="W1106" t="s">
        <v>36</v>
      </c>
      <c r="X1106">
        <v>10438.01</v>
      </c>
    </row>
    <row r="1107" spans="1:24" x14ac:dyDescent="0.25">
      <c r="A1107" s="2">
        <v>101105</v>
      </c>
      <c r="B1107" s="1">
        <v>45490</v>
      </c>
      <c r="C1107" s="1">
        <v>45492</v>
      </c>
      <c r="D1107" s="1">
        <v>45506</v>
      </c>
      <c r="E1107" t="s">
        <v>2903</v>
      </c>
      <c r="F1107" t="s">
        <v>38</v>
      </c>
      <c r="G1107" t="s">
        <v>83</v>
      </c>
      <c r="H1107" t="s">
        <v>2904</v>
      </c>
      <c r="I1107" t="s">
        <v>89</v>
      </c>
      <c r="J1107" t="s">
        <v>62</v>
      </c>
      <c r="K1107" t="s">
        <v>398</v>
      </c>
      <c r="L1107" t="s">
        <v>187</v>
      </c>
      <c r="M1107" t="s">
        <v>54</v>
      </c>
      <c r="N1107" t="s">
        <v>107</v>
      </c>
      <c r="O1107" t="s">
        <v>108</v>
      </c>
      <c r="P1107" t="s">
        <v>123</v>
      </c>
      <c r="Q1107">
        <v>129</v>
      </c>
      <c r="R1107">
        <v>48.77</v>
      </c>
      <c r="S1107">
        <v>6291.33</v>
      </c>
      <c r="T1107">
        <v>13.83</v>
      </c>
      <c r="U1107">
        <v>14</v>
      </c>
      <c r="V1107">
        <v>1861</v>
      </c>
      <c r="W1107" t="s">
        <v>36</v>
      </c>
      <c r="X1107">
        <v>937.85</v>
      </c>
    </row>
    <row r="1108" spans="1:24" x14ac:dyDescent="0.25">
      <c r="A1108" s="2">
        <v>101106</v>
      </c>
      <c r="B1108" s="1">
        <v>45824</v>
      </c>
      <c r="C1108" s="1">
        <v>45826</v>
      </c>
      <c r="D1108" s="1">
        <v>45829</v>
      </c>
      <c r="E1108" t="s">
        <v>2905</v>
      </c>
      <c r="F1108" t="s">
        <v>54</v>
      </c>
      <c r="G1108" t="s">
        <v>165</v>
      </c>
      <c r="H1108" t="s">
        <v>2906</v>
      </c>
      <c r="I1108" t="s">
        <v>116</v>
      </c>
      <c r="J1108" t="s">
        <v>62</v>
      </c>
      <c r="K1108" t="s">
        <v>599</v>
      </c>
      <c r="L1108" t="s">
        <v>118</v>
      </c>
      <c r="M1108" t="s">
        <v>65</v>
      </c>
      <c r="N1108" t="s">
        <v>151</v>
      </c>
      <c r="O1108" t="s">
        <v>152</v>
      </c>
      <c r="P1108" t="s">
        <v>68</v>
      </c>
      <c r="Q1108">
        <v>309</v>
      </c>
      <c r="R1108">
        <v>28.71</v>
      </c>
      <c r="S1108">
        <v>8871.39</v>
      </c>
      <c r="T1108">
        <v>48.54</v>
      </c>
      <c r="U1108">
        <v>3</v>
      </c>
      <c r="V1108">
        <v>2208</v>
      </c>
      <c r="W1108" t="s">
        <v>36</v>
      </c>
      <c r="X1108">
        <v>1025.31</v>
      </c>
    </row>
    <row r="1109" spans="1:24" x14ac:dyDescent="0.25">
      <c r="A1109" s="2">
        <v>101107</v>
      </c>
      <c r="B1109" s="1">
        <v>45807</v>
      </c>
      <c r="C1109" s="1">
        <v>45808</v>
      </c>
      <c r="D1109" s="1">
        <v>45831</v>
      </c>
      <c r="E1109" t="s">
        <v>2907</v>
      </c>
      <c r="F1109" t="s">
        <v>38</v>
      </c>
      <c r="G1109" t="s">
        <v>147</v>
      </c>
      <c r="H1109" t="s">
        <v>2908</v>
      </c>
      <c r="I1109" t="s">
        <v>139</v>
      </c>
      <c r="J1109" t="s">
        <v>42</v>
      </c>
      <c r="K1109" t="s">
        <v>1237</v>
      </c>
      <c r="L1109" t="s">
        <v>44</v>
      </c>
      <c r="M1109" t="s">
        <v>54</v>
      </c>
      <c r="N1109" t="s">
        <v>33</v>
      </c>
      <c r="O1109" t="s">
        <v>34</v>
      </c>
      <c r="P1109" t="s">
        <v>76</v>
      </c>
      <c r="Q1109">
        <v>282</v>
      </c>
      <c r="R1109">
        <v>92.74</v>
      </c>
      <c r="S1109">
        <v>26152.68</v>
      </c>
      <c r="T1109">
        <v>13.16</v>
      </c>
      <c r="U1109">
        <v>23</v>
      </c>
      <c r="V1109">
        <v>251</v>
      </c>
      <c r="W1109" t="s">
        <v>36</v>
      </c>
      <c r="X1109">
        <v>2594.6999999999998</v>
      </c>
    </row>
    <row r="1110" spans="1:24" x14ac:dyDescent="0.25">
      <c r="A1110" s="2">
        <v>101108</v>
      </c>
      <c r="B1110" s="1">
        <v>45749</v>
      </c>
      <c r="C1110" s="1">
        <v>45750</v>
      </c>
      <c r="D1110" s="1">
        <v>45766</v>
      </c>
      <c r="E1110" t="s">
        <v>2909</v>
      </c>
      <c r="F1110" t="s">
        <v>38</v>
      </c>
      <c r="G1110" t="s">
        <v>83</v>
      </c>
      <c r="H1110" t="s">
        <v>2910</v>
      </c>
      <c r="I1110" t="s">
        <v>230</v>
      </c>
      <c r="J1110" t="s">
        <v>80</v>
      </c>
      <c r="K1110" t="s">
        <v>1342</v>
      </c>
      <c r="L1110" t="s">
        <v>212</v>
      </c>
      <c r="M1110" t="s">
        <v>38</v>
      </c>
      <c r="N1110" t="s">
        <v>74</v>
      </c>
      <c r="O1110" t="s">
        <v>75</v>
      </c>
      <c r="P1110" t="s">
        <v>76</v>
      </c>
      <c r="Q1110">
        <v>253</v>
      </c>
      <c r="R1110">
        <v>193.08</v>
      </c>
      <c r="S1110">
        <v>48849.24</v>
      </c>
      <c r="T1110">
        <v>9.36</v>
      </c>
      <c r="U1110">
        <v>16</v>
      </c>
      <c r="V1110">
        <v>1453</v>
      </c>
      <c r="W1110" t="s">
        <v>36</v>
      </c>
      <c r="X1110">
        <v>8498.5</v>
      </c>
    </row>
    <row r="1111" spans="1:24" x14ac:dyDescent="0.25">
      <c r="A1111" s="2">
        <v>101109</v>
      </c>
      <c r="B1111" s="1">
        <v>46009</v>
      </c>
      <c r="C1111" s="1">
        <v>46010</v>
      </c>
      <c r="D1111" s="1">
        <v>46011</v>
      </c>
      <c r="E1111" t="s">
        <v>2911</v>
      </c>
      <c r="F1111" t="s">
        <v>65</v>
      </c>
      <c r="G1111" t="s">
        <v>142</v>
      </c>
      <c r="H1111" t="s">
        <v>2912</v>
      </c>
      <c r="I1111" t="s">
        <v>207</v>
      </c>
      <c r="J1111" t="s">
        <v>80</v>
      </c>
      <c r="K1111" t="s">
        <v>1633</v>
      </c>
      <c r="L1111" t="s">
        <v>31</v>
      </c>
      <c r="M1111" t="s">
        <v>65</v>
      </c>
      <c r="N1111" t="s">
        <v>74</v>
      </c>
      <c r="O1111" t="s">
        <v>75</v>
      </c>
      <c r="P1111" t="s">
        <v>68</v>
      </c>
      <c r="Q1111">
        <v>243</v>
      </c>
      <c r="R1111">
        <v>292.07</v>
      </c>
      <c r="S1111">
        <v>70973.009999999995</v>
      </c>
      <c r="T1111">
        <v>32.78</v>
      </c>
      <c r="U1111">
        <v>1</v>
      </c>
      <c r="V1111">
        <v>1393</v>
      </c>
      <c r="W1111" t="s">
        <v>36</v>
      </c>
      <c r="X1111">
        <v>12184.16</v>
      </c>
    </row>
    <row r="1112" spans="1:24" x14ac:dyDescent="0.25">
      <c r="A1112" s="2">
        <v>101110</v>
      </c>
      <c r="B1112" s="1">
        <v>45940</v>
      </c>
      <c r="C1112" s="1">
        <v>45941</v>
      </c>
      <c r="D1112" s="1">
        <v>45966</v>
      </c>
      <c r="E1112" t="s">
        <v>2913</v>
      </c>
      <c r="F1112" t="s">
        <v>54</v>
      </c>
      <c r="G1112" t="s">
        <v>225</v>
      </c>
      <c r="H1112" t="s">
        <v>2914</v>
      </c>
      <c r="I1112" t="s">
        <v>246</v>
      </c>
      <c r="J1112" t="s">
        <v>29</v>
      </c>
      <c r="K1112" t="s">
        <v>2841</v>
      </c>
      <c r="L1112" t="s">
        <v>122</v>
      </c>
      <c r="M1112" t="s">
        <v>25</v>
      </c>
      <c r="N1112" t="s">
        <v>55</v>
      </c>
      <c r="O1112" t="s">
        <v>56</v>
      </c>
      <c r="P1112" t="s">
        <v>76</v>
      </c>
      <c r="Q1112">
        <v>69</v>
      </c>
      <c r="R1112">
        <v>51.35</v>
      </c>
      <c r="S1112">
        <v>3543.15</v>
      </c>
      <c r="T1112">
        <v>9.2799999999999994</v>
      </c>
      <c r="U1112">
        <v>25</v>
      </c>
      <c r="V1112">
        <v>2816</v>
      </c>
      <c r="W1112" t="s">
        <v>188</v>
      </c>
      <c r="X1112">
        <v>703.93</v>
      </c>
    </row>
    <row r="1113" spans="1:24" x14ac:dyDescent="0.25">
      <c r="A1113" s="2">
        <v>101111</v>
      </c>
      <c r="B1113" s="1">
        <v>45793</v>
      </c>
      <c r="C1113" s="1">
        <v>45797</v>
      </c>
      <c r="D1113" s="1">
        <v>45805</v>
      </c>
      <c r="E1113" t="s">
        <v>2915</v>
      </c>
      <c r="F1113" t="s">
        <v>25</v>
      </c>
      <c r="G1113" t="s">
        <v>172</v>
      </c>
      <c r="H1113" t="s">
        <v>818</v>
      </c>
      <c r="I1113" t="s">
        <v>61</v>
      </c>
      <c r="J1113" t="s">
        <v>62</v>
      </c>
      <c r="K1113" t="s">
        <v>2371</v>
      </c>
      <c r="L1113" t="s">
        <v>118</v>
      </c>
      <c r="M1113" t="s">
        <v>54</v>
      </c>
      <c r="N1113" t="s">
        <v>203</v>
      </c>
      <c r="O1113" t="s">
        <v>204</v>
      </c>
      <c r="P1113" t="s">
        <v>123</v>
      </c>
      <c r="Q1113">
        <v>225</v>
      </c>
      <c r="R1113">
        <v>28.38</v>
      </c>
      <c r="S1113">
        <v>6385.5</v>
      </c>
      <c r="T1113">
        <v>16.16</v>
      </c>
      <c r="U1113">
        <v>8</v>
      </c>
      <c r="V1113">
        <v>4230</v>
      </c>
      <c r="W1113" t="s">
        <v>36</v>
      </c>
      <c r="X1113">
        <v>1034.8399999999999</v>
      </c>
    </row>
    <row r="1114" spans="1:24" x14ac:dyDescent="0.25">
      <c r="A1114" s="2">
        <v>101112</v>
      </c>
      <c r="B1114" s="1">
        <v>45959</v>
      </c>
      <c r="C1114" s="1">
        <v>45960</v>
      </c>
      <c r="D1114" s="1">
        <v>45967</v>
      </c>
      <c r="E1114" t="s">
        <v>2916</v>
      </c>
      <c r="F1114" t="s">
        <v>25</v>
      </c>
      <c r="G1114" t="s">
        <v>221</v>
      </c>
      <c r="H1114" t="s">
        <v>2917</v>
      </c>
      <c r="I1114" t="s">
        <v>72</v>
      </c>
      <c r="J1114" t="s">
        <v>42</v>
      </c>
      <c r="K1114" t="s">
        <v>1573</v>
      </c>
      <c r="L1114" t="s">
        <v>44</v>
      </c>
      <c r="M1114" t="s">
        <v>65</v>
      </c>
      <c r="N1114" t="s">
        <v>203</v>
      </c>
      <c r="O1114" t="s">
        <v>204</v>
      </c>
      <c r="P1114" t="s">
        <v>35</v>
      </c>
      <c r="Q1114">
        <v>435</v>
      </c>
      <c r="R1114">
        <v>266.77999999999997</v>
      </c>
      <c r="S1114">
        <v>116049.3</v>
      </c>
      <c r="T1114">
        <v>24.81</v>
      </c>
      <c r="U1114">
        <v>7</v>
      </c>
      <c r="V1114">
        <v>535</v>
      </c>
      <c r="W1114" t="s">
        <v>36</v>
      </c>
      <c r="X1114">
        <v>9557.24</v>
      </c>
    </row>
    <row r="1115" spans="1:24" x14ac:dyDescent="0.25">
      <c r="A1115" s="2">
        <v>101113</v>
      </c>
      <c r="B1115" s="1">
        <v>45306</v>
      </c>
      <c r="C1115" s="1">
        <v>45309</v>
      </c>
      <c r="D1115" s="1">
        <v>45310</v>
      </c>
      <c r="E1115" t="s">
        <v>2627</v>
      </c>
      <c r="F1115" t="s">
        <v>54</v>
      </c>
      <c r="G1115" t="s">
        <v>193</v>
      </c>
      <c r="H1115" t="s">
        <v>2918</v>
      </c>
      <c r="I1115" t="s">
        <v>41</v>
      </c>
      <c r="J1115" t="s">
        <v>42</v>
      </c>
      <c r="K1115" t="s">
        <v>2919</v>
      </c>
      <c r="L1115" t="s">
        <v>113</v>
      </c>
      <c r="M1115" t="s">
        <v>65</v>
      </c>
      <c r="N1115" t="s">
        <v>45</v>
      </c>
      <c r="O1115" t="s">
        <v>46</v>
      </c>
      <c r="P1115" t="s">
        <v>68</v>
      </c>
      <c r="Q1115">
        <v>401</v>
      </c>
      <c r="R1115">
        <v>93.29</v>
      </c>
      <c r="S1115">
        <v>37409.29</v>
      </c>
      <c r="T1115">
        <v>54.5</v>
      </c>
      <c r="U1115">
        <v>1</v>
      </c>
      <c r="V1115">
        <v>789</v>
      </c>
      <c r="W1115" t="s">
        <v>36</v>
      </c>
      <c r="X1115">
        <v>3560.64</v>
      </c>
    </row>
    <row r="1116" spans="1:24" x14ac:dyDescent="0.25">
      <c r="A1116" s="2">
        <v>101114</v>
      </c>
      <c r="B1116" s="1">
        <v>45532</v>
      </c>
      <c r="C1116" s="1">
        <v>45534</v>
      </c>
      <c r="D1116" s="1">
        <v>45544</v>
      </c>
      <c r="E1116" t="s">
        <v>2920</v>
      </c>
      <c r="F1116" t="s">
        <v>25</v>
      </c>
      <c r="G1116" t="s">
        <v>244</v>
      </c>
      <c r="H1116" t="s">
        <v>2921</v>
      </c>
      <c r="I1116" t="s">
        <v>139</v>
      </c>
      <c r="J1116" t="s">
        <v>42</v>
      </c>
      <c r="K1116" t="s">
        <v>1071</v>
      </c>
      <c r="L1116" t="s">
        <v>64</v>
      </c>
      <c r="M1116" t="s">
        <v>32</v>
      </c>
      <c r="N1116" t="s">
        <v>33</v>
      </c>
      <c r="O1116" t="s">
        <v>34</v>
      </c>
      <c r="P1116" t="s">
        <v>123</v>
      </c>
      <c r="Q1116">
        <v>416</v>
      </c>
      <c r="R1116">
        <v>193.55</v>
      </c>
      <c r="S1116">
        <v>80516.800000000003</v>
      </c>
      <c r="T1116">
        <v>20.8</v>
      </c>
      <c r="U1116">
        <v>10</v>
      </c>
      <c r="V1116">
        <v>1434</v>
      </c>
      <c r="W1116" t="s">
        <v>36</v>
      </c>
      <c r="X1116">
        <v>6981.91</v>
      </c>
    </row>
    <row r="1117" spans="1:24" x14ac:dyDescent="0.25">
      <c r="A1117" s="2">
        <v>101115</v>
      </c>
      <c r="B1117" s="1">
        <v>45695</v>
      </c>
      <c r="C1117" s="1">
        <v>45700</v>
      </c>
      <c r="D1117" s="1">
        <v>45702</v>
      </c>
      <c r="E1117" t="s">
        <v>1694</v>
      </c>
      <c r="F1117" t="s">
        <v>32</v>
      </c>
      <c r="G1117" t="s">
        <v>273</v>
      </c>
      <c r="H1117" t="s">
        <v>2922</v>
      </c>
      <c r="I1117" t="s">
        <v>207</v>
      </c>
      <c r="J1117" t="s">
        <v>80</v>
      </c>
      <c r="K1117" t="s">
        <v>2692</v>
      </c>
      <c r="L1117" t="s">
        <v>187</v>
      </c>
      <c r="M1117" t="s">
        <v>65</v>
      </c>
      <c r="N1117" t="s">
        <v>92</v>
      </c>
      <c r="O1117" t="s">
        <v>93</v>
      </c>
      <c r="P1117" t="s">
        <v>68</v>
      </c>
      <c r="Q1117">
        <v>120</v>
      </c>
      <c r="R1117">
        <v>333.12</v>
      </c>
      <c r="S1117">
        <v>39974.400000000001</v>
      </c>
      <c r="T1117">
        <v>36.29</v>
      </c>
      <c r="U1117">
        <v>2</v>
      </c>
      <c r="V1117">
        <v>1569</v>
      </c>
      <c r="W1117" t="s">
        <v>36</v>
      </c>
      <c r="X1117">
        <v>11043.11</v>
      </c>
    </row>
    <row r="1118" spans="1:24" x14ac:dyDescent="0.25">
      <c r="A1118" s="2">
        <v>101116</v>
      </c>
      <c r="B1118" s="1">
        <v>45868</v>
      </c>
      <c r="C1118" s="1">
        <v>45872</v>
      </c>
      <c r="D1118" s="1">
        <v>45892</v>
      </c>
      <c r="E1118" t="s">
        <v>2923</v>
      </c>
      <c r="F1118" t="s">
        <v>25</v>
      </c>
      <c r="G1118" t="s">
        <v>244</v>
      </c>
      <c r="H1118" t="s">
        <v>2924</v>
      </c>
      <c r="I1118" t="s">
        <v>416</v>
      </c>
      <c r="J1118" t="s">
        <v>80</v>
      </c>
      <c r="K1118" t="s">
        <v>452</v>
      </c>
      <c r="L1118" t="s">
        <v>98</v>
      </c>
      <c r="M1118" t="s">
        <v>38</v>
      </c>
      <c r="N1118" t="s">
        <v>102</v>
      </c>
      <c r="O1118" t="s">
        <v>103</v>
      </c>
      <c r="P1118" t="s">
        <v>76</v>
      </c>
      <c r="Q1118">
        <v>29</v>
      </c>
      <c r="R1118">
        <v>60.23</v>
      </c>
      <c r="S1118">
        <v>1746.67</v>
      </c>
      <c r="T1118">
        <v>8.5500000000000007</v>
      </c>
      <c r="U1118">
        <v>20</v>
      </c>
      <c r="V1118">
        <v>1324</v>
      </c>
      <c r="W1118" t="s">
        <v>188</v>
      </c>
      <c r="X1118">
        <v>297.18</v>
      </c>
    </row>
    <row r="1119" spans="1:24" x14ac:dyDescent="0.25">
      <c r="A1119" s="2">
        <v>101117</v>
      </c>
      <c r="B1119" s="1">
        <v>45983</v>
      </c>
      <c r="C1119" s="1">
        <v>45984</v>
      </c>
      <c r="D1119" s="1">
        <v>46001</v>
      </c>
      <c r="E1119" t="s">
        <v>2925</v>
      </c>
      <c r="F1119" t="s">
        <v>32</v>
      </c>
      <c r="G1119" t="s">
        <v>110</v>
      </c>
      <c r="H1119" t="s">
        <v>2926</v>
      </c>
      <c r="I1119" t="s">
        <v>116</v>
      </c>
      <c r="J1119" t="s">
        <v>62</v>
      </c>
      <c r="K1119" t="s">
        <v>1003</v>
      </c>
      <c r="L1119" t="s">
        <v>212</v>
      </c>
      <c r="M1119" t="s">
        <v>38</v>
      </c>
      <c r="N1119" t="s">
        <v>66</v>
      </c>
      <c r="O1119" t="s">
        <v>67</v>
      </c>
      <c r="P1119" t="s">
        <v>123</v>
      </c>
      <c r="Q1119">
        <v>23</v>
      </c>
      <c r="R1119">
        <v>28.33</v>
      </c>
      <c r="S1119">
        <v>651.59</v>
      </c>
      <c r="T1119">
        <v>11.25</v>
      </c>
      <c r="U1119">
        <v>17</v>
      </c>
      <c r="V1119">
        <v>2345</v>
      </c>
      <c r="W1119" t="s">
        <v>188</v>
      </c>
      <c r="X1119">
        <v>99.31</v>
      </c>
    </row>
    <row r="1120" spans="1:24" x14ac:dyDescent="0.25">
      <c r="A1120" s="2">
        <v>101118</v>
      </c>
      <c r="B1120" s="1">
        <v>45310</v>
      </c>
      <c r="C1120" s="1">
        <v>45311</v>
      </c>
      <c r="D1120" s="1">
        <v>45316</v>
      </c>
      <c r="E1120" t="s">
        <v>2927</v>
      </c>
      <c r="F1120" t="s">
        <v>38</v>
      </c>
      <c r="G1120" t="s">
        <v>49</v>
      </c>
      <c r="H1120" t="s">
        <v>2928</v>
      </c>
      <c r="I1120" t="s">
        <v>126</v>
      </c>
      <c r="J1120" t="s">
        <v>42</v>
      </c>
      <c r="K1120" t="s">
        <v>759</v>
      </c>
      <c r="L1120" t="s">
        <v>98</v>
      </c>
      <c r="M1120" t="s">
        <v>38</v>
      </c>
      <c r="N1120" t="s">
        <v>45</v>
      </c>
      <c r="O1120" t="s">
        <v>46</v>
      </c>
      <c r="P1120" t="s">
        <v>35</v>
      </c>
      <c r="Q1120">
        <v>368</v>
      </c>
      <c r="R1120">
        <v>300.2</v>
      </c>
      <c r="S1120">
        <v>110473.60000000001</v>
      </c>
      <c r="T1120">
        <v>16.97</v>
      </c>
      <c r="U1120">
        <v>5</v>
      </c>
      <c r="V1120">
        <v>1652</v>
      </c>
      <c r="W1120" t="s">
        <v>36</v>
      </c>
      <c r="X1120">
        <v>8976.98</v>
      </c>
    </row>
    <row r="1121" spans="1:24" x14ac:dyDescent="0.25">
      <c r="A1121" s="2">
        <v>101119</v>
      </c>
      <c r="B1121" s="1">
        <v>45403</v>
      </c>
      <c r="C1121" s="1">
        <v>45405</v>
      </c>
      <c r="D1121" s="1">
        <v>45408</v>
      </c>
      <c r="E1121" t="s">
        <v>2929</v>
      </c>
      <c r="F1121" t="s">
        <v>32</v>
      </c>
      <c r="G1121" t="s">
        <v>180</v>
      </c>
      <c r="H1121" t="s">
        <v>2930</v>
      </c>
      <c r="I1121" t="s">
        <v>149</v>
      </c>
      <c r="J1121" t="s">
        <v>42</v>
      </c>
      <c r="K1121" t="s">
        <v>2931</v>
      </c>
      <c r="L1121" t="s">
        <v>212</v>
      </c>
      <c r="M1121" t="s">
        <v>65</v>
      </c>
      <c r="N1121" t="s">
        <v>102</v>
      </c>
      <c r="O1121" t="s">
        <v>103</v>
      </c>
      <c r="P1121" t="s">
        <v>68</v>
      </c>
      <c r="Q1121">
        <v>41</v>
      </c>
      <c r="R1121">
        <v>308.55</v>
      </c>
      <c r="S1121">
        <v>12650.55</v>
      </c>
      <c r="T1121">
        <v>31.17</v>
      </c>
      <c r="U1121">
        <v>3</v>
      </c>
      <c r="V1121">
        <v>1589</v>
      </c>
      <c r="W1121" t="s">
        <v>57</v>
      </c>
      <c r="X1121">
        <v>1550.14</v>
      </c>
    </row>
    <row r="1122" spans="1:24" x14ac:dyDescent="0.25">
      <c r="A1122" s="2">
        <v>101120</v>
      </c>
      <c r="B1122" s="1">
        <v>45377</v>
      </c>
      <c r="C1122" s="1">
        <v>45380</v>
      </c>
      <c r="D1122" s="1">
        <v>45388</v>
      </c>
      <c r="E1122" t="s">
        <v>2903</v>
      </c>
      <c r="F1122" t="s">
        <v>25</v>
      </c>
      <c r="G1122" t="s">
        <v>233</v>
      </c>
      <c r="H1122" t="s">
        <v>2932</v>
      </c>
      <c r="I1122" t="s">
        <v>139</v>
      </c>
      <c r="J1122" t="s">
        <v>42</v>
      </c>
      <c r="K1122" t="s">
        <v>602</v>
      </c>
      <c r="L1122" t="s">
        <v>91</v>
      </c>
      <c r="M1122" t="s">
        <v>54</v>
      </c>
      <c r="N1122" t="s">
        <v>107</v>
      </c>
      <c r="O1122" t="s">
        <v>108</v>
      </c>
      <c r="P1122" t="s">
        <v>123</v>
      </c>
      <c r="Q1122">
        <v>119</v>
      </c>
      <c r="R1122">
        <v>306.24</v>
      </c>
      <c r="S1122">
        <v>36442.559999999998</v>
      </c>
      <c r="T1122">
        <v>13.58</v>
      </c>
      <c r="U1122">
        <v>8</v>
      </c>
      <c r="V1122">
        <v>700</v>
      </c>
      <c r="W1122" t="s">
        <v>47</v>
      </c>
      <c r="X1122">
        <v>-54.64</v>
      </c>
    </row>
    <row r="1123" spans="1:24" x14ac:dyDescent="0.25">
      <c r="A1123" s="2">
        <v>101121</v>
      </c>
      <c r="B1123" s="1">
        <v>45858</v>
      </c>
      <c r="C1123" s="1">
        <v>45859</v>
      </c>
      <c r="D1123" s="1">
        <v>45865</v>
      </c>
      <c r="E1123" t="s">
        <v>2933</v>
      </c>
      <c r="F1123" t="s">
        <v>38</v>
      </c>
      <c r="G1123" t="s">
        <v>39</v>
      </c>
      <c r="H1123" t="s">
        <v>2934</v>
      </c>
      <c r="I1123" t="s">
        <v>207</v>
      </c>
      <c r="J1123" t="s">
        <v>80</v>
      </c>
      <c r="K1123" t="s">
        <v>195</v>
      </c>
      <c r="L1123" t="s">
        <v>118</v>
      </c>
      <c r="M1123" t="s">
        <v>25</v>
      </c>
      <c r="N1123" t="s">
        <v>45</v>
      </c>
      <c r="O1123" t="s">
        <v>46</v>
      </c>
      <c r="P1123" t="s">
        <v>35</v>
      </c>
      <c r="Q1123">
        <v>146</v>
      </c>
      <c r="R1123">
        <v>53.13</v>
      </c>
      <c r="S1123">
        <v>7756.98</v>
      </c>
      <c r="T1123">
        <v>16.61</v>
      </c>
      <c r="U1123">
        <v>6</v>
      </c>
      <c r="V1123">
        <v>1697</v>
      </c>
      <c r="W1123" t="s">
        <v>36</v>
      </c>
      <c r="X1123">
        <v>1480.26</v>
      </c>
    </row>
    <row r="1124" spans="1:24" x14ac:dyDescent="0.25">
      <c r="A1124" s="2">
        <v>101122</v>
      </c>
      <c r="B1124" s="1">
        <v>45556</v>
      </c>
      <c r="C1124" s="1">
        <v>45561</v>
      </c>
      <c r="D1124" s="1">
        <v>45570</v>
      </c>
      <c r="E1124" t="s">
        <v>2935</v>
      </c>
      <c r="F1124" t="s">
        <v>65</v>
      </c>
      <c r="G1124" t="s">
        <v>154</v>
      </c>
      <c r="H1124" t="s">
        <v>2936</v>
      </c>
      <c r="I1124" t="s">
        <v>51</v>
      </c>
      <c r="J1124" t="s">
        <v>52</v>
      </c>
      <c r="K1124" t="s">
        <v>2714</v>
      </c>
      <c r="L1124" t="s">
        <v>64</v>
      </c>
      <c r="M1124" t="s">
        <v>25</v>
      </c>
      <c r="N1124" t="s">
        <v>203</v>
      </c>
      <c r="O1124" t="s">
        <v>204</v>
      </c>
      <c r="P1124" t="s">
        <v>35</v>
      </c>
      <c r="Q1124">
        <v>475</v>
      </c>
      <c r="R1124">
        <v>20.32</v>
      </c>
      <c r="S1124">
        <v>9652</v>
      </c>
      <c r="T1124">
        <v>25.94</v>
      </c>
      <c r="U1124">
        <v>9</v>
      </c>
      <c r="V1124">
        <v>2375</v>
      </c>
      <c r="W1124" t="s">
        <v>36</v>
      </c>
      <c r="X1124">
        <v>1160.81</v>
      </c>
    </row>
    <row r="1125" spans="1:24" x14ac:dyDescent="0.25">
      <c r="A1125" s="2">
        <v>101123</v>
      </c>
      <c r="B1125" s="1">
        <v>45697</v>
      </c>
      <c r="C1125" s="1">
        <v>45698</v>
      </c>
      <c r="D1125" s="1">
        <v>45710</v>
      </c>
      <c r="E1125" t="s">
        <v>2937</v>
      </c>
      <c r="F1125" t="s">
        <v>65</v>
      </c>
      <c r="G1125" t="s">
        <v>70</v>
      </c>
      <c r="H1125" t="s">
        <v>2938</v>
      </c>
      <c r="I1125" t="s">
        <v>198</v>
      </c>
      <c r="J1125" t="s">
        <v>52</v>
      </c>
      <c r="K1125" t="s">
        <v>2555</v>
      </c>
      <c r="L1125" t="s">
        <v>31</v>
      </c>
      <c r="M1125" t="s">
        <v>54</v>
      </c>
      <c r="N1125" t="s">
        <v>33</v>
      </c>
      <c r="O1125" t="s">
        <v>34</v>
      </c>
      <c r="P1125" t="s">
        <v>76</v>
      </c>
      <c r="Q1125">
        <v>313</v>
      </c>
      <c r="R1125">
        <v>21.6</v>
      </c>
      <c r="S1125">
        <v>6760.8</v>
      </c>
      <c r="T1125">
        <v>13.72</v>
      </c>
      <c r="U1125">
        <v>12</v>
      </c>
      <c r="V1125">
        <v>660</v>
      </c>
      <c r="W1125" t="s">
        <v>36</v>
      </c>
      <c r="X1125">
        <v>777.39</v>
      </c>
    </row>
    <row r="1126" spans="1:24" x14ac:dyDescent="0.25">
      <c r="A1126" s="2">
        <v>101124</v>
      </c>
      <c r="B1126" s="1">
        <v>45425</v>
      </c>
      <c r="C1126" s="1">
        <v>45427</v>
      </c>
      <c r="D1126" s="1">
        <v>45451</v>
      </c>
      <c r="E1126" t="s">
        <v>2939</v>
      </c>
      <c r="F1126" t="s">
        <v>32</v>
      </c>
      <c r="G1126" t="s">
        <v>273</v>
      </c>
      <c r="H1126" t="s">
        <v>2940</v>
      </c>
      <c r="I1126" t="s">
        <v>278</v>
      </c>
      <c r="J1126" t="s">
        <v>29</v>
      </c>
      <c r="K1126" t="s">
        <v>957</v>
      </c>
      <c r="L1126" t="s">
        <v>44</v>
      </c>
      <c r="M1126" t="s">
        <v>25</v>
      </c>
      <c r="N1126" t="s">
        <v>151</v>
      </c>
      <c r="O1126" t="s">
        <v>152</v>
      </c>
      <c r="P1126" t="s">
        <v>76</v>
      </c>
      <c r="Q1126">
        <v>250</v>
      </c>
      <c r="R1126">
        <v>29.92</v>
      </c>
      <c r="S1126">
        <v>7480</v>
      </c>
      <c r="T1126">
        <v>12.58</v>
      </c>
      <c r="U1126">
        <v>24</v>
      </c>
      <c r="V1126">
        <v>2641</v>
      </c>
      <c r="W1126" t="s">
        <v>36</v>
      </c>
      <c r="X1126">
        <v>2200.1999999999998</v>
      </c>
    </row>
    <row r="1127" spans="1:24" x14ac:dyDescent="0.25">
      <c r="A1127" s="2">
        <v>101125</v>
      </c>
      <c r="B1127" s="1">
        <v>45486</v>
      </c>
      <c r="C1127" s="1">
        <v>45491</v>
      </c>
      <c r="D1127" s="1">
        <v>45502</v>
      </c>
      <c r="E1127" t="s">
        <v>2941</v>
      </c>
      <c r="F1127" t="s">
        <v>54</v>
      </c>
      <c r="G1127" t="s">
        <v>158</v>
      </c>
      <c r="H1127" t="s">
        <v>2942</v>
      </c>
      <c r="I1127" t="s">
        <v>134</v>
      </c>
      <c r="J1127" t="s">
        <v>52</v>
      </c>
      <c r="K1127" t="s">
        <v>532</v>
      </c>
      <c r="L1127" t="s">
        <v>98</v>
      </c>
      <c r="M1127" t="s">
        <v>32</v>
      </c>
      <c r="N1127" t="s">
        <v>33</v>
      </c>
      <c r="O1127" t="s">
        <v>34</v>
      </c>
      <c r="P1127" t="s">
        <v>123</v>
      </c>
      <c r="Q1127">
        <v>343</v>
      </c>
      <c r="R1127">
        <v>26.63</v>
      </c>
      <c r="S1127">
        <v>9134.09</v>
      </c>
      <c r="T1127">
        <v>19.03</v>
      </c>
      <c r="U1127">
        <v>11</v>
      </c>
      <c r="V1127">
        <v>3010</v>
      </c>
      <c r="W1127" t="s">
        <v>57</v>
      </c>
      <c r="X1127">
        <v>1520.52</v>
      </c>
    </row>
    <row r="1128" spans="1:24" x14ac:dyDescent="0.25">
      <c r="A1128" s="2">
        <v>101126</v>
      </c>
      <c r="B1128" s="1">
        <v>45698</v>
      </c>
      <c r="C1128" s="1">
        <v>45701</v>
      </c>
      <c r="D1128" s="1">
        <v>45708</v>
      </c>
      <c r="E1128" t="s">
        <v>435</v>
      </c>
      <c r="F1128" t="s">
        <v>32</v>
      </c>
      <c r="G1128" t="s">
        <v>95</v>
      </c>
      <c r="H1128" t="s">
        <v>2943</v>
      </c>
      <c r="I1128" t="s">
        <v>139</v>
      </c>
      <c r="J1128" t="s">
        <v>42</v>
      </c>
      <c r="K1128" t="s">
        <v>1054</v>
      </c>
      <c r="L1128" t="s">
        <v>118</v>
      </c>
      <c r="M1128" t="s">
        <v>32</v>
      </c>
      <c r="N1128" t="s">
        <v>33</v>
      </c>
      <c r="O1128" t="s">
        <v>34</v>
      </c>
      <c r="P1128" t="s">
        <v>123</v>
      </c>
      <c r="Q1128">
        <v>198</v>
      </c>
      <c r="R1128">
        <v>449.08</v>
      </c>
      <c r="S1128">
        <v>88917.84</v>
      </c>
      <c r="T1128">
        <v>11.48</v>
      </c>
      <c r="U1128">
        <v>7</v>
      </c>
      <c r="V1128">
        <v>990</v>
      </c>
      <c r="W1128" t="s">
        <v>36</v>
      </c>
      <c r="X1128">
        <v>12848.91</v>
      </c>
    </row>
    <row r="1129" spans="1:24" x14ac:dyDescent="0.25">
      <c r="A1129" s="2">
        <v>101127</v>
      </c>
      <c r="B1129" s="1">
        <v>45997</v>
      </c>
      <c r="C1129" s="1">
        <v>46000</v>
      </c>
      <c r="D1129" s="1">
        <v>46009</v>
      </c>
      <c r="E1129" t="s">
        <v>2944</v>
      </c>
      <c r="F1129" t="s">
        <v>25</v>
      </c>
      <c r="G1129" t="s">
        <v>26</v>
      </c>
      <c r="H1129" t="s">
        <v>2945</v>
      </c>
      <c r="I1129" t="s">
        <v>79</v>
      </c>
      <c r="J1129" t="s">
        <v>80</v>
      </c>
      <c r="K1129" t="s">
        <v>2447</v>
      </c>
      <c r="L1129" t="s">
        <v>44</v>
      </c>
      <c r="M1129" t="s">
        <v>25</v>
      </c>
      <c r="N1129" t="s">
        <v>151</v>
      </c>
      <c r="O1129" t="s">
        <v>152</v>
      </c>
      <c r="P1129" t="s">
        <v>123</v>
      </c>
      <c r="Q1129">
        <v>138</v>
      </c>
      <c r="R1129">
        <v>160.04</v>
      </c>
      <c r="S1129">
        <v>22085.52</v>
      </c>
      <c r="T1129">
        <v>10.4</v>
      </c>
      <c r="U1129">
        <v>9</v>
      </c>
      <c r="V1129">
        <v>2132</v>
      </c>
      <c r="W1129" t="s">
        <v>36</v>
      </c>
      <c r="X1129">
        <v>1038.74</v>
      </c>
    </row>
    <row r="1130" spans="1:24" x14ac:dyDescent="0.25">
      <c r="A1130" s="2">
        <v>101128</v>
      </c>
      <c r="B1130" s="1">
        <v>45529</v>
      </c>
      <c r="C1130" s="1">
        <v>45529</v>
      </c>
      <c r="D1130" s="1">
        <v>45534</v>
      </c>
      <c r="E1130" t="s">
        <v>2946</v>
      </c>
      <c r="F1130" t="s">
        <v>54</v>
      </c>
      <c r="G1130" t="s">
        <v>165</v>
      </c>
      <c r="H1130" t="s">
        <v>2947</v>
      </c>
      <c r="I1130" t="s">
        <v>126</v>
      </c>
      <c r="J1130" t="s">
        <v>42</v>
      </c>
      <c r="K1130" t="s">
        <v>2224</v>
      </c>
      <c r="L1130" t="s">
        <v>187</v>
      </c>
      <c r="M1130" t="s">
        <v>54</v>
      </c>
      <c r="N1130" t="s">
        <v>151</v>
      </c>
      <c r="O1130" t="s">
        <v>152</v>
      </c>
      <c r="P1130" t="s">
        <v>35</v>
      </c>
      <c r="Q1130">
        <v>336</v>
      </c>
      <c r="R1130">
        <v>76.92</v>
      </c>
      <c r="S1130">
        <v>25845.119999999999</v>
      </c>
      <c r="T1130">
        <v>16.3</v>
      </c>
      <c r="U1130">
        <v>5</v>
      </c>
      <c r="V1130">
        <v>627</v>
      </c>
      <c r="W1130" t="s">
        <v>36</v>
      </c>
      <c r="X1130">
        <v>3360.42</v>
      </c>
    </row>
    <row r="1131" spans="1:24" x14ac:dyDescent="0.25">
      <c r="A1131" s="2">
        <v>101129</v>
      </c>
      <c r="B1131" s="1">
        <v>46010</v>
      </c>
      <c r="C1131" s="1">
        <v>46011</v>
      </c>
      <c r="D1131" s="1">
        <v>46015</v>
      </c>
      <c r="E1131" t="s">
        <v>2948</v>
      </c>
      <c r="F1131" t="s">
        <v>38</v>
      </c>
      <c r="G1131" t="s">
        <v>39</v>
      </c>
      <c r="H1131" t="s">
        <v>2949</v>
      </c>
      <c r="I1131" t="s">
        <v>41</v>
      </c>
      <c r="J1131" t="s">
        <v>42</v>
      </c>
      <c r="K1131" t="s">
        <v>2037</v>
      </c>
      <c r="L1131" t="s">
        <v>187</v>
      </c>
      <c r="M1131" t="s">
        <v>38</v>
      </c>
      <c r="N1131" t="s">
        <v>151</v>
      </c>
      <c r="O1131" t="s">
        <v>152</v>
      </c>
      <c r="P1131" t="s">
        <v>68</v>
      </c>
      <c r="Q1131">
        <v>487</v>
      </c>
      <c r="R1131">
        <v>70.599999999999994</v>
      </c>
      <c r="S1131">
        <v>34382.199999999997</v>
      </c>
      <c r="T1131">
        <v>44.5</v>
      </c>
      <c r="U1131">
        <v>4</v>
      </c>
      <c r="V1131">
        <v>630</v>
      </c>
      <c r="W1131" t="s">
        <v>36</v>
      </c>
      <c r="X1131">
        <v>6374.39</v>
      </c>
    </row>
    <row r="1132" spans="1:24" x14ac:dyDescent="0.25">
      <c r="A1132" s="2">
        <v>101130</v>
      </c>
      <c r="B1132" s="1">
        <v>45912</v>
      </c>
      <c r="C1132" s="1">
        <v>45916</v>
      </c>
      <c r="D1132" s="1">
        <v>45917</v>
      </c>
      <c r="E1132" t="s">
        <v>2950</v>
      </c>
      <c r="F1132" t="s">
        <v>54</v>
      </c>
      <c r="G1132" t="s">
        <v>129</v>
      </c>
      <c r="H1132" t="s">
        <v>2951</v>
      </c>
      <c r="I1132" t="s">
        <v>149</v>
      </c>
      <c r="J1132" t="s">
        <v>42</v>
      </c>
      <c r="K1132" t="s">
        <v>1627</v>
      </c>
      <c r="L1132" t="s">
        <v>91</v>
      </c>
      <c r="M1132" t="s">
        <v>32</v>
      </c>
      <c r="N1132" t="s">
        <v>55</v>
      </c>
      <c r="O1132" t="s">
        <v>56</v>
      </c>
      <c r="P1132" t="s">
        <v>68</v>
      </c>
      <c r="Q1132">
        <v>491</v>
      </c>
      <c r="R1132">
        <v>428.29</v>
      </c>
      <c r="S1132">
        <v>210290.39</v>
      </c>
      <c r="T1132">
        <v>60.33</v>
      </c>
      <c r="U1132">
        <v>1</v>
      </c>
      <c r="V1132">
        <v>938</v>
      </c>
      <c r="W1132" t="s">
        <v>36</v>
      </c>
      <c r="X1132">
        <v>36569.79</v>
      </c>
    </row>
    <row r="1133" spans="1:24" x14ac:dyDescent="0.25">
      <c r="A1133" s="2">
        <v>101131</v>
      </c>
      <c r="B1133" s="1">
        <v>45774</v>
      </c>
      <c r="C1133" s="1">
        <v>45777</v>
      </c>
      <c r="D1133" s="1">
        <v>45783</v>
      </c>
      <c r="E1133" t="s">
        <v>2456</v>
      </c>
      <c r="F1133" t="s">
        <v>54</v>
      </c>
      <c r="G1133" t="s">
        <v>129</v>
      </c>
      <c r="H1133" t="s">
        <v>2952</v>
      </c>
      <c r="I1133" t="s">
        <v>182</v>
      </c>
      <c r="J1133" t="s">
        <v>80</v>
      </c>
      <c r="K1133" t="s">
        <v>888</v>
      </c>
      <c r="L1133" t="s">
        <v>212</v>
      </c>
      <c r="M1133" t="s">
        <v>38</v>
      </c>
      <c r="N1133" t="s">
        <v>33</v>
      </c>
      <c r="O1133" t="s">
        <v>34</v>
      </c>
      <c r="P1133" t="s">
        <v>35</v>
      </c>
      <c r="Q1133">
        <v>228</v>
      </c>
      <c r="R1133">
        <v>95.65</v>
      </c>
      <c r="S1133">
        <v>21808.2</v>
      </c>
      <c r="T1133">
        <v>18.940000000000001</v>
      </c>
      <c r="U1133">
        <v>6</v>
      </c>
      <c r="V1133">
        <v>1975</v>
      </c>
      <c r="W1133" t="s">
        <v>36</v>
      </c>
      <c r="X1133">
        <v>4474.07</v>
      </c>
    </row>
    <row r="1134" spans="1:24" x14ac:dyDescent="0.25">
      <c r="A1134" s="2">
        <v>101132</v>
      </c>
      <c r="B1134" s="1">
        <v>45298</v>
      </c>
      <c r="C1134" s="1">
        <v>45300</v>
      </c>
      <c r="D1134" s="1">
        <v>45302</v>
      </c>
      <c r="E1134" t="s">
        <v>2953</v>
      </c>
      <c r="F1134" t="s">
        <v>25</v>
      </c>
      <c r="G1134" t="s">
        <v>233</v>
      </c>
      <c r="H1134" t="s">
        <v>2954</v>
      </c>
      <c r="I1134" t="s">
        <v>134</v>
      </c>
      <c r="J1134" t="s">
        <v>52</v>
      </c>
      <c r="K1134" t="s">
        <v>1212</v>
      </c>
      <c r="L1134" t="s">
        <v>212</v>
      </c>
      <c r="M1134" t="s">
        <v>32</v>
      </c>
      <c r="N1134" t="s">
        <v>33</v>
      </c>
      <c r="O1134" t="s">
        <v>34</v>
      </c>
      <c r="P1134" t="s">
        <v>68</v>
      </c>
      <c r="Q1134">
        <v>419</v>
      </c>
      <c r="R1134">
        <v>82.45</v>
      </c>
      <c r="S1134">
        <v>34546.550000000003</v>
      </c>
      <c r="T1134">
        <v>55.66</v>
      </c>
      <c r="U1134">
        <v>2</v>
      </c>
      <c r="V1134">
        <v>4233</v>
      </c>
      <c r="W1134" t="s">
        <v>36</v>
      </c>
      <c r="X1134">
        <v>5474.04</v>
      </c>
    </row>
    <row r="1135" spans="1:24" x14ac:dyDescent="0.25">
      <c r="A1135" s="2">
        <v>101133</v>
      </c>
      <c r="B1135" s="1">
        <v>46006</v>
      </c>
      <c r="C1135" s="1">
        <v>46010</v>
      </c>
      <c r="D1135" s="1">
        <v>46014</v>
      </c>
      <c r="E1135" t="s">
        <v>2955</v>
      </c>
      <c r="F1135" t="s">
        <v>25</v>
      </c>
      <c r="G1135" t="s">
        <v>221</v>
      </c>
      <c r="H1135" t="s">
        <v>2956</v>
      </c>
      <c r="I1135" t="s">
        <v>149</v>
      </c>
      <c r="J1135" t="s">
        <v>42</v>
      </c>
      <c r="K1135" t="s">
        <v>265</v>
      </c>
      <c r="L1135" t="s">
        <v>31</v>
      </c>
      <c r="M1135" t="s">
        <v>38</v>
      </c>
      <c r="N1135" t="s">
        <v>66</v>
      </c>
      <c r="O1135" t="s">
        <v>67</v>
      </c>
      <c r="P1135" t="s">
        <v>35</v>
      </c>
      <c r="Q1135">
        <v>172</v>
      </c>
      <c r="R1135">
        <v>223.49</v>
      </c>
      <c r="S1135">
        <v>38440.28</v>
      </c>
      <c r="T1135">
        <v>17.350000000000001</v>
      </c>
      <c r="U1135">
        <v>4</v>
      </c>
      <c r="V1135">
        <v>1150</v>
      </c>
      <c r="W1135" t="s">
        <v>36</v>
      </c>
      <c r="X1135">
        <v>4948.33</v>
      </c>
    </row>
    <row r="1136" spans="1:24" x14ac:dyDescent="0.25">
      <c r="A1136" s="2">
        <v>101134</v>
      </c>
      <c r="B1136" s="1">
        <v>45445</v>
      </c>
      <c r="C1136" s="1">
        <v>45449</v>
      </c>
      <c r="D1136" s="1">
        <v>45454</v>
      </c>
      <c r="E1136" t="s">
        <v>2957</v>
      </c>
      <c r="F1136" t="s">
        <v>65</v>
      </c>
      <c r="G1136" t="s">
        <v>154</v>
      </c>
      <c r="H1136" t="s">
        <v>2958</v>
      </c>
      <c r="I1136" t="s">
        <v>79</v>
      </c>
      <c r="J1136" t="s">
        <v>80</v>
      </c>
      <c r="K1136" t="s">
        <v>1292</v>
      </c>
      <c r="L1136" t="s">
        <v>113</v>
      </c>
      <c r="M1136" t="s">
        <v>32</v>
      </c>
      <c r="N1136" t="s">
        <v>45</v>
      </c>
      <c r="O1136" t="s">
        <v>46</v>
      </c>
      <c r="P1136" t="s">
        <v>68</v>
      </c>
      <c r="Q1136">
        <v>268</v>
      </c>
      <c r="R1136">
        <v>162.25</v>
      </c>
      <c r="S1136">
        <v>43483</v>
      </c>
      <c r="T1136">
        <v>45.88</v>
      </c>
      <c r="U1136">
        <v>5</v>
      </c>
      <c r="V1136">
        <v>1504</v>
      </c>
      <c r="W1136" t="s">
        <v>36</v>
      </c>
      <c r="X1136">
        <v>7714.11</v>
      </c>
    </row>
    <row r="1137" spans="1:24" x14ac:dyDescent="0.25">
      <c r="A1137" s="2">
        <v>101135</v>
      </c>
      <c r="B1137" s="1">
        <v>45416</v>
      </c>
      <c r="C1137" s="1">
        <v>45421</v>
      </c>
      <c r="D1137" s="1">
        <v>45431</v>
      </c>
      <c r="E1137" t="s">
        <v>48</v>
      </c>
      <c r="F1137" t="s">
        <v>25</v>
      </c>
      <c r="G1137" t="s">
        <v>172</v>
      </c>
      <c r="H1137" t="s">
        <v>2959</v>
      </c>
      <c r="I1137" t="s">
        <v>238</v>
      </c>
      <c r="J1137" t="s">
        <v>62</v>
      </c>
      <c r="K1137" t="s">
        <v>1327</v>
      </c>
      <c r="L1137" t="s">
        <v>212</v>
      </c>
      <c r="M1137" t="s">
        <v>54</v>
      </c>
      <c r="N1137" t="s">
        <v>102</v>
      </c>
      <c r="O1137" t="s">
        <v>103</v>
      </c>
      <c r="P1137" t="s">
        <v>76</v>
      </c>
      <c r="Q1137">
        <v>474</v>
      </c>
      <c r="R1137">
        <v>20.53</v>
      </c>
      <c r="S1137">
        <v>9731.2199999999993</v>
      </c>
      <c r="T1137">
        <v>16.66</v>
      </c>
      <c r="U1137">
        <v>10</v>
      </c>
      <c r="V1137">
        <v>592</v>
      </c>
      <c r="W1137" t="s">
        <v>36</v>
      </c>
      <c r="X1137">
        <v>595.84</v>
      </c>
    </row>
    <row r="1138" spans="1:24" x14ac:dyDescent="0.25">
      <c r="A1138" s="2">
        <v>101136</v>
      </c>
      <c r="B1138" s="1">
        <v>45509</v>
      </c>
      <c r="C1138" s="1">
        <v>45511</v>
      </c>
      <c r="D1138" s="1">
        <v>45515</v>
      </c>
      <c r="E1138" t="s">
        <v>2960</v>
      </c>
      <c r="F1138" t="s">
        <v>65</v>
      </c>
      <c r="G1138" t="s">
        <v>142</v>
      </c>
      <c r="H1138" t="s">
        <v>2961</v>
      </c>
      <c r="I1138" t="s">
        <v>85</v>
      </c>
      <c r="J1138" t="s">
        <v>52</v>
      </c>
      <c r="K1138" t="s">
        <v>2962</v>
      </c>
      <c r="L1138" t="s">
        <v>122</v>
      </c>
      <c r="M1138" t="s">
        <v>54</v>
      </c>
      <c r="N1138" t="s">
        <v>107</v>
      </c>
      <c r="O1138" t="s">
        <v>108</v>
      </c>
      <c r="P1138" t="s">
        <v>68</v>
      </c>
      <c r="Q1138">
        <v>99</v>
      </c>
      <c r="R1138">
        <v>25.76</v>
      </c>
      <c r="S1138">
        <v>2550.2399999999998</v>
      </c>
      <c r="T1138">
        <v>34.93</v>
      </c>
      <c r="U1138">
        <v>4</v>
      </c>
      <c r="V1138">
        <v>1491</v>
      </c>
      <c r="W1138" t="s">
        <v>36</v>
      </c>
      <c r="X1138">
        <v>213.13</v>
      </c>
    </row>
    <row r="1139" spans="1:24" x14ac:dyDescent="0.25">
      <c r="A1139" s="2">
        <v>101137</v>
      </c>
      <c r="B1139" s="1">
        <v>45809</v>
      </c>
      <c r="C1139" s="1">
        <v>45810</v>
      </c>
      <c r="D1139" s="1">
        <v>45811</v>
      </c>
      <c r="E1139" t="s">
        <v>2963</v>
      </c>
      <c r="F1139" t="s">
        <v>65</v>
      </c>
      <c r="G1139" t="s">
        <v>154</v>
      </c>
      <c r="H1139" t="s">
        <v>2964</v>
      </c>
      <c r="I1139" t="s">
        <v>149</v>
      </c>
      <c r="J1139" t="s">
        <v>42</v>
      </c>
      <c r="K1139" t="s">
        <v>2965</v>
      </c>
      <c r="L1139" t="s">
        <v>212</v>
      </c>
      <c r="M1139" t="s">
        <v>32</v>
      </c>
      <c r="N1139" t="s">
        <v>151</v>
      </c>
      <c r="O1139" t="s">
        <v>152</v>
      </c>
      <c r="P1139" t="s">
        <v>68</v>
      </c>
      <c r="Q1139">
        <v>403</v>
      </c>
      <c r="R1139">
        <v>62.29</v>
      </c>
      <c r="S1139">
        <v>25102.87</v>
      </c>
      <c r="T1139">
        <v>54.63</v>
      </c>
      <c r="U1139">
        <v>1</v>
      </c>
      <c r="V1139">
        <v>457</v>
      </c>
      <c r="W1139" t="s">
        <v>36</v>
      </c>
      <c r="X1139">
        <v>3401.05</v>
      </c>
    </row>
    <row r="1140" spans="1:24" x14ac:dyDescent="0.25">
      <c r="A1140" s="2">
        <v>101138</v>
      </c>
      <c r="B1140" s="1">
        <v>45687</v>
      </c>
      <c r="C1140" s="1">
        <v>45688</v>
      </c>
      <c r="D1140" s="1">
        <v>45704</v>
      </c>
      <c r="E1140" t="s">
        <v>1175</v>
      </c>
      <c r="F1140" t="s">
        <v>38</v>
      </c>
      <c r="G1140" t="s">
        <v>147</v>
      </c>
      <c r="H1140" t="s">
        <v>2966</v>
      </c>
      <c r="I1140" t="s">
        <v>72</v>
      </c>
      <c r="J1140" t="s">
        <v>42</v>
      </c>
      <c r="K1140" t="s">
        <v>2761</v>
      </c>
      <c r="L1140" t="s">
        <v>64</v>
      </c>
      <c r="M1140" t="s">
        <v>32</v>
      </c>
      <c r="N1140" t="s">
        <v>45</v>
      </c>
      <c r="O1140" t="s">
        <v>46</v>
      </c>
      <c r="P1140" t="s">
        <v>76</v>
      </c>
      <c r="Q1140">
        <v>459</v>
      </c>
      <c r="R1140">
        <v>343.32</v>
      </c>
      <c r="S1140">
        <v>157583.88</v>
      </c>
      <c r="T1140">
        <v>16.38</v>
      </c>
      <c r="U1140">
        <v>16</v>
      </c>
      <c r="V1140">
        <v>1036</v>
      </c>
      <c r="W1140" t="s">
        <v>36</v>
      </c>
      <c r="X1140">
        <v>17817.37</v>
      </c>
    </row>
    <row r="1141" spans="1:24" x14ac:dyDescent="0.25">
      <c r="A1141" s="2">
        <v>101139</v>
      </c>
      <c r="B1141" s="1">
        <v>45879</v>
      </c>
      <c r="C1141" s="1">
        <v>45879</v>
      </c>
      <c r="D1141" s="1">
        <v>45897</v>
      </c>
      <c r="E1141" t="s">
        <v>2124</v>
      </c>
      <c r="F1141" t="s">
        <v>25</v>
      </c>
      <c r="G1141" t="s">
        <v>169</v>
      </c>
      <c r="H1141" t="s">
        <v>2967</v>
      </c>
      <c r="I1141" t="s">
        <v>61</v>
      </c>
      <c r="J1141" t="s">
        <v>62</v>
      </c>
      <c r="K1141" t="s">
        <v>101</v>
      </c>
      <c r="L1141" t="s">
        <v>113</v>
      </c>
      <c r="M1141" t="s">
        <v>38</v>
      </c>
      <c r="N1141" t="s">
        <v>74</v>
      </c>
      <c r="O1141" t="s">
        <v>75</v>
      </c>
      <c r="P1141" t="s">
        <v>76</v>
      </c>
      <c r="Q1141">
        <v>369</v>
      </c>
      <c r="R1141">
        <v>20.260000000000002</v>
      </c>
      <c r="S1141">
        <v>7475.94</v>
      </c>
      <c r="T1141">
        <v>14.74</v>
      </c>
      <c r="U1141">
        <v>18</v>
      </c>
      <c r="V1141">
        <v>4626</v>
      </c>
      <c r="W1141" t="s">
        <v>36</v>
      </c>
      <c r="X1141">
        <v>923.48</v>
      </c>
    </row>
    <row r="1142" spans="1:24" x14ac:dyDescent="0.25">
      <c r="A1142" s="2">
        <v>101140</v>
      </c>
      <c r="B1142" s="1">
        <v>45683</v>
      </c>
      <c r="C1142" s="1">
        <v>45685</v>
      </c>
      <c r="D1142" s="1">
        <v>45687</v>
      </c>
      <c r="E1142" t="s">
        <v>2968</v>
      </c>
      <c r="F1142" t="s">
        <v>38</v>
      </c>
      <c r="G1142" t="s">
        <v>83</v>
      </c>
      <c r="H1142" t="s">
        <v>2969</v>
      </c>
      <c r="I1142" t="s">
        <v>207</v>
      </c>
      <c r="J1142" t="s">
        <v>80</v>
      </c>
      <c r="K1142" t="s">
        <v>1938</v>
      </c>
      <c r="L1142" t="s">
        <v>122</v>
      </c>
      <c r="M1142" t="s">
        <v>25</v>
      </c>
      <c r="N1142" t="s">
        <v>92</v>
      </c>
      <c r="O1142" t="s">
        <v>93</v>
      </c>
      <c r="P1142" t="s">
        <v>68</v>
      </c>
      <c r="Q1142">
        <v>239</v>
      </c>
      <c r="R1142">
        <v>333.8</v>
      </c>
      <c r="S1142">
        <v>79778.2</v>
      </c>
      <c r="T1142">
        <v>44</v>
      </c>
      <c r="U1142">
        <v>2</v>
      </c>
      <c r="V1142">
        <v>1552</v>
      </c>
      <c r="W1142" t="s">
        <v>36</v>
      </c>
      <c r="X1142">
        <v>19061.54</v>
      </c>
    </row>
    <row r="1143" spans="1:24" x14ac:dyDescent="0.25">
      <c r="A1143" s="2">
        <v>101141</v>
      </c>
      <c r="B1143" s="1">
        <v>45491</v>
      </c>
      <c r="C1143" s="1">
        <v>45492</v>
      </c>
      <c r="D1143" s="1">
        <v>45502</v>
      </c>
      <c r="E1143" t="s">
        <v>2353</v>
      </c>
      <c r="F1143" t="s">
        <v>54</v>
      </c>
      <c r="G1143" t="s">
        <v>193</v>
      </c>
      <c r="H1143" t="s">
        <v>2970</v>
      </c>
      <c r="I1143" t="s">
        <v>126</v>
      </c>
      <c r="J1143" t="s">
        <v>42</v>
      </c>
      <c r="K1143" t="s">
        <v>425</v>
      </c>
      <c r="L1143" t="s">
        <v>31</v>
      </c>
      <c r="M1143" t="s">
        <v>54</v>
      </c>
      <c r="N1143" t="s">
        <v>55</v>
      </c>
      <c r="O1143" t="s">
        <v>56</v>
      </c>
      <c r="P1143" t="s">
        <v>35</v>
      </c>
      <c r="Q1143">
        <v>348</v>
      </c>
      <c r="R1143">
        <v>132.84</v>
      </c>
      <c r="S1143">
        <v>46228.32</v>
      </c>
      <c r="T1143">
        <v>16.55</v>
      </c>
      <c r="U1143">
        <v>10</v>
      </c>
      <c r="V1143">
        <v>1339</v>
      </c>
      <c r="W1143" t="s">
        <v>36</v>
      </c>
      <c r="X1143">
        <v>4768.3100000000004</v>
      </c>
    </row>
    <row r="1144" spans="1:24" x14ac:dyDescent="0.25">
      <c r="A1144" s="2">
        <v>101142</v>
      </c>
      <c r="B1144" s="1">
        <v>45748</v>
      </c>
      <c r="C1144" s="1">
        <v>45749</v>
      </c>
      <c r="D1144" s="1">
        <v>45761</v>
      </c>
      <c r="E1144" t="s">
        <v>2971</v>
      </c>
      <c r="F1144" t="s">
        <v>32</v>
      </c>
      <c r="G1144" t="s">
        <v>137</v>
      </c>
      <c r="H1144" t="s">
        <v>2972</v>
      </c>
      <c r="I1144" t="s">
        <v>177</v>
      </c>
      <c r="J1144" t="s">
        <v>29</v>
      </c>
      <c r="K1144" t="s">
        <v>2311</v>
      </c>
      <c r="L1144" t="s">
        <v>31</v>
      </c>
      <c r="M1144" t="s">
        <v>54</v>
      </c>
      <c r="N1144" t="s">
        <v>66</v>
      </c>
      <c r="O1144" t="s">
        <v>67</v>
      </c>
      <c r="P1144" t="s">
        <v>76</v>
      </c>
      <c r="Q1144">
        <v>278</v>
      </c>
      <c r="R1144">
        <v>109.16</v>
      </c>
      <c r="S1144">
        <v>30346.48</v>
      </c>
      <c r="T1144">
        <v>13.09</v>
      </c>
      <c r="U1144">
        <v>12</v>
      </c>
      <c r="V1144">
        <v>2107</v>
      </c>
      <c r="W1144" t="s">
        <v>57</v>
      </c>
      <c r="X1144">
        <v>6791.35</v>
      </c>
    </row>
    <row r="1145" spans="1:24" x14ac:dyDescent="0.25">
      <c r="A1145" s="2">
        <v>101143</v>
      </c>
      <c r="B1145" s="1">
        <v>45369</v>
      </c>
      <c r="C1145" s="1">
        <v>45373</v>
      </c>
      <c r="D1145" s="1">
        <v>45382</v>
      </c>
      <c r="E1145" t="s">
        <v>2973</v>
      </c>
      <c r="F1145" t="s">
        <v>65</v>
      </c>
      <c r="G1145" t="s">
        <v>70</v>
      </c>
      <c r="H1145" t="s">
        <v>2974</v>
      </c>
      <c r="I1145" t="s">
        <v>139</v>
      </c>
      <c r="J1145" t="s">
        <v>42</v>
      </c>
      <c r="K1145" t="s">
        <v>2975</v>
      </c>
      <c r="L1145" t="s">
        <v>187</v>
      </c>
      <c r="M1145" t="s">
        <v>38</v>
      </c>
      <c r="N1145" t="s">
        <v>33</v>
      </c>
      <c r="O1145" t="s">
        <v>34</v>
      </c>
      <c r="P1145" t="s">
        <v>35</v>
      </c>
      <c r="Q1145">
        <v>479</v>
      </c>
      <c r="R1145">
        <v>233.4</v>
      </c>
      <c r="S1145">
        <v>111798.6</v>
      </c>
      <c r="T1145">
        <v>26.05</v>
      </c>
      <c r="U1145">
        <v>9</v>
      </c>
      <c r="V1145">
        <v>1124</v>
      </c>
      <c r="W1145" t="s">
        <v>36</v>
      </c>
      <c r="X1145">
        <v>8938.7099999999991</v>
      </c>
    </row>
    <row r="1146" spans="1:24" x14ac:dyDescent="0.25">
      <c r="A1146" s="2">
        <v>101144</v>
      </c>
      <c r="B1146" s="1">
        <v>45672</v>
      </c>
      <c r="C1146" s="1">
        <v>45672</v>
      </c>
      <c r="D1146" s="1">
        <v>45688</v>
      </c>
      <c r="E1146" t="s">
        <v>440</v>
      </c>
      <c r="F1146" t="s">
        <v>65</v>
      </c>
      <c r="G1146" t="s">
        <v>154</v>
      </c>
      <c r="H1146" t="s">
        <v>2976</v>
      </c>
      <c r="I1146" t="s">
        <v>116</v>
      </c>
      <c r="J1146" t="s">
        <v>62</v>
      </c>
      <c r="K1146" t="s">
        <v>2977</v>
      </c>
      <c r="L1146" t="s">
        <v>64</v>
      </c>
      <c r="M1146" t="s">
        <v>25</v>
      </c>
      <c r="N1146" t="s">
        <v>151</v>
      </c>
      <c r="O1146" t="s">
        <v>152</v>
      </c>
      <c r="P1146" t="s">
        <v>76</v>
      </c>
      <c r="Q1146">
        <v>19</v>
      </c>
      <c r="R1146">
        <v>28.26</v>
      </c>
      <c r="S1146">
        <v>536.94000000000005</v>
      </c>
      <c r="T1146">
        <v>8.3699999999999992</v>
      </c>
      <c r="U1146">
        <v>16</v>
      </c>
      <c r="V1146">
        <v>1635</v>
      </c>
      <c r="W1146" t="s">
        <v>36</v>
      </c>
      <c r="X1146">
        <v>34.85</v>
      </c>
    </row>
    <row r="1147" spans="1:24" x14ac:dyDescent="0.25">
      <c r="A1147" s="2">
        <v>101145</v>
      </c>
      <c r="B1147" s="1">
        <v>45807</v>
      </c>
      <c r="C1147" s="1">
        <v>45812</v>
      </c>
      <c r="D1147" s="1">
        <v>45823</v>
      </c>
      <c r="E1147" t="s">
        <v>2978</v>
      </c>
      <c r="F1147" t="s">
        <v>32</v>
      </c>
      <c r="G1147" t="s">
        <v>95</v>
      </c>
      <c r="H1147" t="s">
        <v>2979</v>
      </c>
      <c r="I1147" t="s">
        <v>191</v>
      </c>
      <c r="J1147" t="s">
        <v>62</v>
      </c>
      <c r="K1147" t="s">
        <v>1608</v>
      </c>
      <c r="L1147" t="s">
        <v>98</v>
      </c>
      <c r="M1147" t="s">
        <v>32</v>
      </c>
      <c r="N1147" t="s">
        <v>74</v>
      </c>
      <c r="O1147" t="s">
        <v>75</v>
      </c>
      <c r="P1147" t="s">
        <v>76</v>
      </c>
      <c r="Q1147">
        <v>133</v>
      </c>
      <c r="R1147">
        <v>25.68</v>
      </c>
      <c r="S1147">
        <v>3415.44</v>
      </c>
      <c r="T1147">
        <v>7.74</v>
      </c>
      <c r="U1147">
        <v>11</v>
      </c>
      <c r="V1147">
        <v>923</v>
      </c>
      <c r="W1147" t="s">
        <v>36</v>
      </c>
      <c r="X1147">
        <v>206.95</v>
      </c>
    </row>
    <row r="1148" spans="1:24" x14ac:dyDescent="0.25">
      <c r="A1148" s="2">
        <v>101146</v>
      </c>
      <c r="B1148" s="1">
        <v>45428</v>
      </c>
      <c r="C1148" s="1">
        <v>45428</v>
      </c>
      <c r="D1148" s="1">
        <v>45450</v>
      </c>
      <c r="E1148" t="s">
        <v>2980</v>
      </c>
      <c r="F1148" t="s">
        <v>32</v>
      </c>
      <c r="G1148" t="s">
        <v>273</v>
      </c>
      <c r="H1148" t="s">
        <v>2981</v>
      </c>
      <c r="I1148" t="s">
        <v>126</v>
      </c>
      <c r="J1148" t="s">
        <v>42</v>
      </c>
      <c r="K1148" t="s">
        <v>288</v>
      </c>
      <c r="L1148" t="s">
        <v>98</v>
      </c>
      <c r="M1148" t="s">
        <v>25</v>
      </c>
      <c r="N1148" t="s">
        <v>151</v>
      </c>
      <c r="O1148" t="s">
        <v>152</v>
      </c>
      <c r="P1148" t="s">
        <v>76</v>
      </c>
      <c r="Q1148">
        <v>306</v>
      </c>
      <c r="R1148">
        <v>322.77</v>
      </c>
      <c r="S1148">
        <v>98767.62</v>
      </c>
      <c r="T1148">
        <v>13.6</v>
      </c>
      <c r="U1148">
        <v>22</v>
      </c>
      <c r="V1148">
        <v>779</v>
      </c>
      <c r="W1148" t="s">
        <v>36</v>
      </c>
      <c r="X1148">
        <v>8587.14</v>
      </c>
    </row>
    <row r="1149" spans="1:24" x14ac:dyDescent="0.25">
      <c r="A1149" s="2">
        <v>101147</v>
      </c>
      <c r="B1149" s="1">
        <v>45332</v>
      </c>
      <c r="C1149" s="1">
        <v>45334</v>
      </c>
      <c r="D1149" s="1">
        <v>45345</v>
      </c>
      <c r="E1149" t="s">
        <v>2982</v>
      </c>
      <c r="F1149" t="s">
        <v>54</v>
      </c>
      <c r="G1149" t="s">
        <v>158</v>
      </c>
      <c r="H1149" t="s">
        <v>2983</v>
      </c>
      <c r="I1149" t="s">
        <v>28</v>
      </c>
      <c r="J1149" t="s">
        <v>29</v>
      </c>
      <c r="K1149" t="s">
        <v>2984</v>
      </c>
      <c r="L1149" t="s">
        <v>98</v>
      </c>
      <c r="M1149" t="s">
        <v>54</v>
      </c>
      <c r="N1149" t="s">
        <v>45</v>
      </c>
      <c r="O1149" t="s">
        <v>46</v>
      </c>
      <c r="P1149" t="s">
        <v>76</v>
      </c>
      <c r="Q1149">
        <v>156</v>
      </c>
      <c r="R1149">
        <v>66.09</v>
      </c>
      <c r="S1149">
        <v>10310.040000000001</v>
      </c>
      <c r="T1149">
        <v>8.0500000000000007</v>
      </c>
      <c r="U1149">
        <v>11</v>
      </c>
      <c r="V1149">
        <v>1574</v>
      </c>
      <c r="W1149" t="s">
        <v>36</v>
      </c>
      <c r="X1149">
        <v>2958.96</v>
      </c>
    </row>
    <row r="1150" spans="1:24" x14ac:dyDescent="0.25">
      <c r="A1150" s="2">
        <v>101148</v>
      </c>
      <c r="B1150" s="1">
        <v>45973</v>
      </c>
      <c r="C1150" s="1">
        <v>45978</v>
      </c>
      <c r="D1150" s="1">
        <v>45983</v>
      </c>
      <c r="E1150" t="s">
        <v>2985</v>
      </c>
      <c r="F1150" t="s">
        <v>65</v>
      </c>
      <c r="G1150" t="s">
        <v>142</v>
      </c>
      <c r="H1150" t="s">
        <v>2986</v>
      </c>
      <c r="I1150" t="s">
        <v>116</v>
      </c>
      <c r="J1150" t="s">
        <v>62</v>
      </c>
      <c r="K1150" t="s">
        <v>1788</v>
      </c>
      <c r="L1150" t="s">
        <v>212</v>
      </c>
      <c r="M1150" t="s">
        <v>54</v>
      </c>
      <c r="N1150" t="s">
        <v>33</v>
      </c>
      <c r="O1150" t="s">
        <v>34</v>
      </c>
      <c r="P1150" t="s">
        <v>68</v>
      </c>
      <c r="Q1150">
        <v>274</v>
      </c>
      <c r="R1150">
        <v>35.57</v>
      </c>
      <c r="S1150">
        <v>9746.18</v>
      </c>
      <c r="T1150">
        <v>46.27</v>
      </c>
      <c r="U1150">
        <v>5</v>
      </c>
      <c r="V1150">
        <v>2277</v>
      </c>
      <c r="W1150" t="s">
        <v>36</v>
      </c>
      <c r="X1150">
        <v>815.16</v>
      </c>
    </row>
    <row r="1151" spans="1:24" x14ac:dyDescent="0.25">
      <c r="A1151" s="2">
        <v>101149</v>
      </c>
      <c r="B1151" s="1">
        <v>45647</v>
      </c>
      <c r="C1151" s="1">
        <v>45648</v>
      </c>
      <c r="D1151" s="1">
        <v>45651</v>
      </c>
      <c r="E1151" t="s">
        <v>2987</v>
      </c>
      <c r="F1151" t="s">
        <v>32</v>
      </c>
      <c r="G1151" t="s">
        <v>273</v>
      </c>
      <c r="H1151" t="s">
        <v>2988</v>
      </c>
      <c r="I1151" t="s">
        <v>191</v>
      </c>
      <c r="J1151" t="s">
        <v>62</v>
      </c>
      <c r="K1151" t="s">
        <v>1683</v>
      </c>
      <c r="L1151" t="s">
        <v>118</v>
      </c>
      <c r="M1151" t="s">
        <v>54</v>
      </c>
      <c r="N1151" t="s">
        <v>74</v>
      </c>
      <c r="O1151" t="s">
        <v>75</v>
      </c>
      <c r="P1151" t="s">
        <v>35</v>
      </c>
      <c r="Q1151">
        <v>346</v>
      </c>
      <c r="R1151">
        <v>5.92</v>
      </c>
      <c r="S1151">
        <v>2048.3200000000002</v>
      </c>
      <c r="T1151">
        <v>22.28</v>
      </c>
      <c r="U1151">
        <v>3</v>
      </c>
      <c r="V1151">
        <v>4516</v>
      </c>
      <c r="W1151" t="s">
        <v>36</v>
      </c>
      <c r="X1151">
        <v>290.77</v>
      </c>
    </row>
    <row r="1152" spans="1:24" x14ac:dyDescent="0.25">
      <c r="A1152" s="2">
        <v>101150</v>
      </c>
      <c r="B1152" s="1">
        <v>45405</v>
      </c>
      <c r="C1152" s="1">
        <v>45407</v>
      </c>
      <c r="D1152" s="1">
        <v>45409</v>
      </c>
      <c r="E1152" t="s">
        <v>2989</v>
      </c>
      <c r="F1152" t="s">
        <v>38</v>
      </c>
      <c r="G1152" t="s">
        <v>39</v>
      </c>
      <c r="H1152" t="s">
        <v>2990</v>
      </c>
      <c r="I1152" t="s">
        <v>89</v>
      </c>
      <c r="J1152" t="s">
        <v>62</v>
      </c>
      <c r="K1152" t="s">
        <v>117</v>
      </c>
      <c r="L1152" t="s">
        <v>212</v>
      </c>
      <c r="M1152" t="s">
        <v>38</v>
      </c>
      <c r="N1152" t="s">
        <v>45</v>
      </c>
      <c r="O1152" t="s">
        <v>46</v>
      </c>
      <c r="P1152" t="s">
        <v>68</v>
      </c>
      <c r="Q1152">
        <v>221</v>
      </c>
      <c r="R1152">
        <v>19.32</v>
      </c>
      <c r="S1152">
        <v>4269.72</v>
      </c>
      <c r="T1152">
        <v>31.73</v>
      </c>
      <c r="U1152">
        <v>2</v>
      </c>
      <c r="V1152">
        <v>1347</v>
      </c>
      <c r="W1152" t="s">
        <v>36</v>
      </c>
      <c r="X1152">
        <v>651.33000000000004</v>
      </c>
    </row>
    <row r="1153" spans="1:24" x14ac:dyDescent="0.25">
      <c r="A1153" s="2">
        <v>101151</v>
      </c>
      <c r="B1153" s="1">
        <v>45720</v>
      </c>
      <c r="C1153" s="1">
        <v>45724</v>
      </c>
      <c r="D1153" s="1">
        <v>45726</v>
      </c>
      <c r="E1153" t="s">
        <v>2991</v>
      </c>
      <c r="F1153" t="s">
        <v>32</v>
      </c>
      <c r="G1153" t="s">
        <v>95</v>
      </c>
      <c r="H1153" t="s">
        <v>2992</v>
      </c>
      <c r="I1153" t="s">
        <v>89</v>
      </c>
      <c r="J1153" t="s">
        <v>62</v>
      </c>
      <c r="K1153" t="s">
        <v>1292</v>
      </c>
      <c r="L1153" t="s">
        <v>98</v>
      </c>
      <c r="M1153" t="s">
        <v>32</v>
      </c>
      <c r="N1153" t="s">
        <v>102</v>
      </c>
      <c r="O1153" t="s">
        <v>103</v>
      </c>
      <c r="P1153" t="s">
        <v>68</v>
      </c>
      <c r="Q1153">
        <v>273</v>
      </c>
      <c r="R1153">
        <v>15.47</v>
      </c>
      <c r="S1153">
        <v>4223.3100000000004</v>
      </c>
      <c r="T1153">
        <v>34.22</v>
      </c>
      <c r="U1153">
        <v>2</v>
      </c>
      <c r="V1153">
        <v>4674</v>
      </c>
      <c r="W1153" t="s">
        <v>36</v>
      </c>
      <c r="X1153">
        <v>525.28</v>
      </c>
    </row>
    <row r="1154" spans="1:24" x14ac:dyDescent="0.25">
      <c r="A1154" s="2">
        <v>101152</v>
      </c>
      <c r="B1154" s="1">
        <v>45355</v>
      </c>
      <c r="C1154" s="1">
        <v>45356</v>
      </c>
      <c r="D1154" s="1">
        <v>45361</v>
      </c>
      <c r="E1154" t="s">
        <v>2993</v>
      </c>
      <c r="F1154" t="s">
        <v>32</v>
      </c>
      <c r="G1154" t="s">
        <v>255</v>
      </c>
      <c r="H1154" t="s">
        <v>2994</v>
      </c>
      <c r="I1154" t="s">
        <v>72</v>
      </c>
      <c r="J1154" t="s">
        <v>42</v>
      </c>
      <c r="K1154" t="s">
        <v>371</v>
      </c>
      <c r="L1154" t="s">
        <v>212</v>
      </c>
      <c r="M1154" t="s">
        <v>25</v>
      </c>
      <c r="N1154" t="s">
        <v>66</v>
      </c>
      <c r="O1154" t="s">
        <v>67</v>
      </c>
      <c r="P1154" t="s">
        <v>123</v>
      </c>
      <c r="Q1154">
        <v>452</v>
      </c>
      <c r="R1154">
        <v>400.26</v>
      </c>
      <c r="S1154">
        <v>180917.52</v>
      </c>
      <c r="T1154">
        <v>21.68</v>
      </c>
      <c r="U1154">
        <v>5</v>
      </c>
      <c r="V1154">
        <v>493</v>
      </c>
      <c r="W1154" t="s">
        <v>36</v>
      </c>
      <c r="X1154">
        <v>4814.76</v>
      </c>
    </row>
    <row r="1155" spans="1:24" x14ac:dyDescent="0.25">
      <c r="A1155" s="2">
        <v>101153</v>
      </c>
      <c r="B1155" s="1">
        <v>45452</v>
      </c>
      <c r="C1155" s="1">
        <v>45455</v>
      </c>
      <c r="D1155" s="1">
        <v>45461</v>
      </c>
      <c r="E1155" t="s">
        <v>2995</v>
      </c>
      <c r="F1155" t="s">
        <v>38</v>
      </c>
      <c r="G1155" t="s">
        <v>83</v>
      </c>
      <c r="H1155" t="s">
        <v>2996</v>
      </c>
      <c r="I1155" t="s">
        <v>79</v>
      </c>
      <c r="J1155" t="s">
        <v>80</v>
      </c>
      <c r="K1155" t="s">
        <v>553</v>
      </c>
      <c r="L1155" t="s">
        <v>113</v>
      </c>
      <c r="M1155" t="s">
        <v>32</v>
      </c>
      <c r="N1155" t="s">
        <v>74</v>
      </c>
      <c r="O1155" t="s">
        <v>75</v>
      </c>
      <c r="P1155" t="s">
        <v>123</v>
      </c>
      <c r="Q1155">
        <v>304</v>
      </c>
      <c r="R1155">
        <v>266.44</v>
      </c>
      <c r="S1155">
        <v>80997.759999999995</v>
      </c>
      <c r="T1155">
        <v>18.079999999999998</v>
      </c>
      <c r="U1155">
        <v>6</v>
      </c>
      <c r="V1155">
        <v>1085</v>
      </c>
      <c r="W1155" t="s">
        <v>36</v>
      </c>
      <c r="X1155">
        <v>14437.18</v>
      </c>
    </row>
    <row r="1156" spans="1:24" x14ac:dyDescent="0.25">
      <c r="A1156" s="2">
        <v>101154</v>
      </c>
      <c r="B1156" s="1">
        <v>45541</v>
      </c>
      <c r="C1156" s="1">
        <v>45544</v>
      </c>
      <c r="D1156" s="1">
        <v>45545</v>
      </c>
      <c r="E1156" t="s">
        <v>2997</v>
      </c>
      <c r="F1156" t="s">
        <v>38</v>
      </c>
      <c r="G1156" t="s">
        <v>39</v>
      </c>
      <c r="H1156" t="s">
        <v>2998</v>
      </c>
      <c r="I1156" t="s">
        <v>182</v>
      </c>
      <c r="J1156" t="s">
        <v>80</v>
      </c>
      <c r="K1156" t="s">
        <v>2999</v>
      </c>
      <c r="L1156" t="s">
        <v>98</v>
      </c>
      <c r="M1156" t="s">
        <v>38</v>
      </c>
      <c r="N1156" t="s">
        <v>203</v>
      </c>
      <c r="O1156" t="s">
        <v>204</v>
      </c>
      <c r="P1156" t="s">
        <v>68</v>
      </c>
      <c r="Q1156">
        <v>247</v>
      </c>
      <c r="R1156">
        <v>284.19</v>
      </c>
      <c r="S1156">
        <v>70194.929999999993</v>
      </c>
      <c r="T1156">
        <v>32.979999999999997</v>
      </c>
      <c r="U1156">
        <v>1</v>
      </c>
      <c r="V1156">
        <v>146</v>
      </c>
      <c r="W1156" t="s">
        <v>36</v>
      </c>
      <c r="X1156">
        <v>18692.82</v>
      </c>
    </row>
    <row r="1157" spans="1:24" x14ac:dyDescent="0.25">
      <c r="A1157" s="2">
        <v>101155</v>
      </c>
      <c r="B1157" s="1">
        <v>45536</v>
      </c>
      <c r="C1157" s="1">
        <v>45538</v>
      </c>
      <c r="D1157" s="1">
        <v>45544</v>
      </c>
      <c r="E1157" t="s">
        <v>3000</v>
      </c>
      <c r="F1157" t="s">
        <v>32</v>
      </c>
      <c r="G1157" t="s">
        <v>273</v>
      </c>
      <c r="H1157" t="s">
        <v>3001</v>
      </c>
      <c r="I1157" t="s">
        <v>61</v>
      </c>
      <c r="J1157" t="s">
        <v>62</v>
      </c>
      <c r="K1157" t="s">
        <v>731</v>
      </c>
      <c r="L1157" t="s">
        <v>31</v>
      </c>
      <c r="M1157" t="s">
        <v>54</v>
      </c>
      <c r="N1157" t="s">
        <v>45</v>
      </c>
      <c r="O1157" t="s">
        <v>46</v>
      </c>
      <c r="P1157" t="s">
        <v>35</v>
      </c>
      <c r="Q1157">
        <v>278</v>
      </c>
      <c r="R1157">
        <v>14.91</v>
      </c>
      <c r="S1157">
        <v>4144.9799999999996</v>
      </c>
      <c r="T1157">
        <v>20.36</v>
      </c>
      <c r="U1157">
        <v>6</v>
      </c>
      <c r="V1157">
        <v>3437</v>
      </c>
      <c r="W1157" t="s">
        <v>36</v>
      </c>
      <c r="X1157">
        <v>393.78</v>
      </c>
    </row>
    <row r="1158" spans="1:24" x14ac:dyDescent="0.25">
      <c r="A1158" s="2">
        <v>101156</v>
      </c>
      <c r="B1158" s="1">
        <v>45527</v>
      </c>
      <c r="C1158" s="1">
        <v>45528</v>
      </c>
      <c r="D1158" s="1">
        <v>45530</v>
      </c>
      <c r="E1158" t="s">
        <v>3002</v>
      </c>
      <c r="F1158" t="s">
        <v>54</v>
      </c>
      <c r="G1158" t="s">
        <v>129</v>
      </c>
      <c r="H1158" t="s">
        <v>3003</v>
      </c>
      <c r="I1158" t="s">
        <v>85</v>
      </c>
      <c r="J1158" t="s">
        <v>52</v>
      </c>
      <c r="K1158" t="s">
        <v>524</v>
      </c>
      <c r="L1158" t="s">
        <v>64</v>
      </c>
      <c r="M1158" t="s">
        <v>65</v>
      </c>
      <c r="N1158" t="s">
        <v>102</v>
      </c>
      <c r="O1158" t="s">
        <v>103</v>
      </c>
      <c r="P1158" t="s">
        <v>68</v>
      </c>
      <c r="Q1158">
        <v>241</v>
      </c>
      <c r="R1158">
        <v>84.68</v>
      </c>
      <c r="S1158">
        <v>20407.88</v>
      </c>
      <c r="T1158">
        <v>44.13</v>
      </c>
      <c r="U1158">
        <v>2</v>
      </c>
      <c r="V1158">
        <v>1871</v>
      </c>
      <c r="W1158" t="s">
        <v>36</v>
      </c>
      <c r="X1158">
        <v>2422.64</v>
      </c>
    </row>
    <row r="1159" spans="1:24" x14ac:dyDescent="0.25">
      <c r="A1159" s="2">
        <v>101157</v>
      </c>
      <c r="B1159" s="1">
        <v>45382</v>
      </c>
      <c r="C1159" s="1">
        <v>45383</v>
      </c>
      <c r="D1159" s="1">
        <v>45390</v>
      </c>
      <c r="E1159" t="s">
        <v>2839</v>
      </c>
      <c r="F1159" t="s">
        <v>32</v>
      </c>
      <c r="G1159" t="s">
        <v>180</v>
      </c>
      <c r="H1159" t="s">
        <v>3004</v>
      </c>
      <c r="I1159" t="s">
        <v>139</v>
      </c>
      <c r="J1159" t="s">
        <v>42</v>
      </c>
      <c r="K1159" t="s">
        <v>1071</v>
      </c>
      <c r="L1159" t="s">
        <v>113</v>
      </c>
      <c r="M1159" t="s">
        <v>38</v>
      </c>
      <c r="N1159" t="s">
        <v>74</v>
      </c>
      <c r="O1159" t="s">
        <v>75</v>
      </c>
      <c r="P1159" t="s">
        <v>35</v>
      </c>
      <c r="Q1159">
        <v>142</v>
      </c>
      <c r="R1159">
        <v>416.03</v>
      </c>
      <c r="S1159">
        <v>59076.26</v>
      </c>
      <c r="T1159">
        <v>16.5</v>
      </c>
      <c r="U1159">
        <v>7</v>
      </c>
      <c r="V1159">
        <v>1271</v>
      </c>
      <c r="W1159" t="s">
        <v>47</v>
      </c>
      <c r="X1159">
        <v>-206.28</v>
      </c>
    </row>
    <row r="1160" spans="1:24" x14ac:dyDescent="0.25">
      <c r="A1160" s="2">
        <v>101158</v>
      </c>
      <c r="B1160" s="1">
        <v>45434</v>
      </c>
      <c r="C1160" s="1">
        <v>45435</v>
      </c>
      <c r="D1160" s="1">
        <v>45454</v>
      </c>
      <c r="E1160" t="s">
        <v>3005</v>
      </c>
      <c r="F1160" t="s">
        <v>38</v>
      </c>
      <c r="G1160" t="s">
        <v>217</v>
      </c>
      <c r="H1160" t="s">
        <v>3006</v>
      </c>
      <c r="I1160" t="s">
        <v>79</v>
      </c>
      <c r="J1160" t="s">
        <v>80</v>
      </c>
      <c r="K1160" t="s">
        <v>1530</v>
      </c>
      <c r="L1160" t="s">
        <v>212</v>
      </c>
      <c r="M1160" t="s">
        <v>65</v>
      </c>
      <c r="N1160" t="s">
        <v>203</v>
      </c>
      <c r="O1160" t="s">
        <v>204</v>
      </c>
      <c r="P1160" t="s">
        <v>76</v>
      </c>
      <c r="Q1160">
        <v>500</v>
      </c>
      <c r="R1160">
        <v>93.31</v>
      </c>
      <c r="S1160">
        <v>46655</v>
      </c>
      <c r="T1160">
        <v>17.13</v>
      </c>
      <c r="U1160">
        <v>19</v>
      </c>
      <c r="V1160">
        <v>1280</v>
      </c>
      <c r="W1160" t="s">
        <v>36</v>
      </c>
      <c r="X1160">
        <v>9638.86</v>
      </c>
    </row>
    <row r="1161" spans="1:24" x14ac:dyDescent="0.25">
      <c r="A1161" s="2">
        <v>101159</v>
      </c>
      <c r="B1161" s="1">
        <v>45715</v>
      </c>
      <c r="C1161" s="1">
        <v>45717</v>
      </c>
      <c r="D1161" s="1">
        <v>45723</v>
      </c>
      <c r="E1161" t="s">
        <v>3007</v>
      </c>
      <c r="F1161" t="s">
        <v>54</v>
      </c>
      <c r="G1161" t="s">
        <v>129</v>
      </c>
      <c r="H1161" t="s">
        <v>3008</v>
      </c>
      <c r="I1161" t="s">
        <v>207</v>
      </c>
      <c r="J1161" t="s">
        <v>80</v>
      </c>
      <c r="K1161" t="s">
        <v>167</v>
      </c>
      <c r="L1161" t="s">
        <v>113</v>
      </c>
      <c r="M1161" t="s">
        <v>65</v>
      </c>
      <c r="N1161" t="s">
        <v>107</v>
      </c>
      <c r="O1161" t="s">
        <v>108</v>
      </c>
      <c r="P1161" t="s">
        <v>123</v>
      </c>
      <c r="Q1161">
        <v>26</v>
      </c>
      <c r="R1161">
        <v>104.6</v>
      </c>
      <c r="S1161">
        <v>2719.6</v>
      </c>
      <c r="T1161">
        <v>11.32</v>
      </c>
      <c r="U1161">
        <v>6</v>
      </c>
      <c r="V1161">
        <v>701</v>
      </c>
      <c r="W1161" t="s">
        <v>36</v>
      </c>
      <c r="X1161">
        <v>507.57</v>
      </c>
    </row>
    <row r="1162" spans="1:24" x14ac:dyDescent="0.25">
      <c r="A1162" s="2">
        <v>101160</v>
      </c>
      <c r="B1162" s="1">
        <v>45496</v>
      </c>
      <c r="C1162" s="1">
        <v>45499</v>
      </c>
      <c r="D1162" s="1">
        <v>45511</v>
      </c>
      <c r="E1162" t="s">
        <v>2973</v>
      </c>
      <c r="F1162" t="s">
        <v>25</v>
      </c>
      <c r="G1162" t="s">
        <v>244</v>
      </c>
      <c r="H1162" t="s">
        <v>3009</v>
      </c>
      <c r="I1162" t="s">
        <v>230</v>
      </c>
      <c r="J1162" t="s">
        <v>80</v>
      </c>
      <c r="K1162" t="s">
        <v>596</v>
      </c>
      <c r="L1162" t="s">
        <v>98</v>
      </c>
      <c r="M1162" t="s">
        <v>25</v>
      </c>
      <c r="N1162" t="s">
        <v>74</v>
      </c>
      <c r="O1162" t="s">
        <v>75</v>
      </c>
      <c r="P1162" t="s">
        <v>123</v>
      </c>
      <c r="Q1162">
        <v>162</v>
      </c>
      <c r="R1162">
        <v>311.64999999999998</v>
      </c>
      <c r="S1162">
        <v>50487.3</v>
      </c>
      <c r="T1162">
        <v>10.84</v>
      </c>
      <c r="U1162">
        <v>12</v>
      </c>
      <c r="V1162">
        <v>1155</v>
      </c>
      <c r="W1162" t="s">
        <v>36</v>
      </c>
      <c r="X1162">
        <v>8893.43</v>
      </c>
    </row>
    <row r="1163" spans="1:24" x14ac:dyDescent="0.25">
      <c r="A1163" s="2">
        <v>101161</v>
      </c>
      <c r="B1163" s="1">
        <v>45881</v>
      </c>
      <c r="C1163" s="1">
        <v>45883</v>
      </c>
      <c r="D1163" s="1">
        <v>45885</v>
      </c>
      <c r="E1163" t="s">
        <v>3010</v>
      </c>
      <c r="F1163" t="s">
        <v>65</v>
      </c>
      <c r="G1163" t="s">
        <v>142</v>
      </c>
      <c r="H1163" t="s">
        <v>3011</v>
      </c>
      <c r="I1163" t="s">
        <v>144</v>
      </c>
      <c r="J1163" t="s">
        <v>52</v>
      </c>
      <c r="K1163" t="s">
        <v>271</v>
      </c>
      <c r="L1163" t="s">
        <v>44</v>
      </c>
      <c r="M1163" t="s">
        <v>65</v>
      </c>
      <c r="N1163" t="s">
        <v>45</v>
      </c>
      <c r="O1163" t="s">
        <v>46</v>
      </c>
      <c r="P1163" t="s">
        <v>35</v>
      </c>
      <c r="Q1163">
        <v>255</v>
      </c>
      <c r="R1163">
        <v>48.8</v>
      </c>
      <c r="S1163">
        <v>12444</v>
      </c>
      <c r="T1163">
        <v>14.6</v>
      </c>
      <c r="U1163">
        <v>2</v>
      </c>
      <c r="V1163">
        <v>4366</v>
      </c>
      <c r="W1163" t="s">
        <v>36</v>
      </c>
      <c r="X1163">
        <v>1970.41</v>
      </c>
    </row>
    <row r="1164" spans="1:24" x14ac:dyDescent="0.25">
      <c r="A1164" s="2">
        <v>101162</v>
      </c>
      <c r="B1164" s="1">
        <v>45892</v>
      </c>
      <c r="C1164" s="1">
        <v>45892</v>
      </c>
      <c r="D1164" s="1">
        <v>45905</v>
      </c>
      <c r="E1164" t="s">
        <v>2012</v>
      </c>
      <c r="F1164" t="s">
        <v>25</v>
      </c>
      <c r="G1164" t="s">
        <v>172</v>
      </c>
      <c r="H1164" t="s">
        <v>3012</v>
      </c>
      <c r="I1164" t="s">
        <v>246</v>
      </c>
      <c r="J1164" t="s">
        <v>29</v>
      </c>
      <c r="K1164" t="s">
        <v>2506</v>
      </c>
      <c r="L1164" t="s">
        <v>118</v>
      </c>
      <c r="M1164" t="s">
        <v>32</v>
      </c>
      <c r="N1164" t="s">
        <v>74</v>
      </c>
      <c r="O1164" t="s">
        <v>75</v>
      </c>
      <c r="P1164" t="s">
        <v>35</v>
      </c>
      <c r="Q1164">
        <v>193</v>
      </c>
      <c r="R1164">
        <v>82.21</v>
      </c>
      <c r="S1164">
        <v>15866.53</v>
      </c>
      <c r="T1164">
        <v>17.95</v>
      </c>
      <c r="U1164">
        <v>13</v>
      </c>
      <c r="V1164">
        <v>2192</v>
      </c>
      <c r="W1164" t="s">
        <v>188</v>
      </c>
      <c r="X1164">
        <v>1952.72</v>
      </c>
    </row>
    <row r="1165" spans="1:24" x14ac:dyDescent="0.25">
      <c r="A1165" s="2">
        <v>101163</v>
      </c>
      <c r="B1165" s="1">
        <v>45545</v>
      </c>
      <c r="C1165" s="1">
        <v>45547</v>
      </c>
      <c r="D1165" s="1">
        <v>45568</v>
      </c>
      <c r="E1165" t="s">
        <v>3013</v>
      </c>
      <c r="F1165" t="s">
        <v>65</v>
      </c>
      <c r="G1165" t="s">
        <v>154</v>
      </c>
      <c r="H1165" t="s">
        <v>3014</v>
      </c>
      <c r="I1165" t="s">
        <v>278</v>
      </c>
      <c r="J1165" t="s">
        <v>29</v>
      </c>
      <c r="K1165" t="s">
        <v>3015</v>
      </c>
      <c r="L1165" t="s">
        <v>31</v>
      </c>
      <c r="M1165" t="s">
        <v>38</v>
      </c>
      <c r="N1165" t="s">
        <v>66</v>
      </c>
      <c r="O1165" t="s">
        <v>67</v>
      </c>
      <c r="P1165" t="s">
        <v>76</v>
      </c>
      <c r="Q1165">
        <v>414</v>
      </c>
      <c r="R1165">
        <v>32.729999999999997</v>
      </c>
      <c r="S1165">
        <v>13550.22</v>
      </c>
      <c r="T1165">
        <v>15.56</v>
      </c>
      <c r="U1165">
        <v>21</v>
      </c>
      <c r="V1165">
        <v>1390</v>
      </c>
      <c r="W1165" t="s">
        <v>36</v>
      </c>
      <c r="X1165">
        <v>3853.96</v>
      </c>
    </row>
    <row r="1166" spans="1:24" x14ac:dyDescent="0.25">
      <c r="A1166" s="2">
        <v>101164</v>
      </c>
      <c r="B1166" s="1">
        <v>45867</v>
      </c>
      <c r="C1166" s="1">
        <v>45870</v>
      </c>
      <c r="D1166" s="1">
        <v>45873</v>
      </c>
      <c r="E1166" t="s">
        <v>3016</v>
      </c>
      <c r="F1166" t="s">
        <v>25</v>
      </c>
      <c r="G1166" t="s">
        <v>59</v>
      </c>
      <c r="H1166" t="s">
        <v>3017</v>
      </c>
      <c r="I1166" t="s">
        <v>278</v>
      </c>
      <c r="J1166" t="s">
        <v>29</v>
      </c>
      <c r="K1166" t="s">
        <v>3018</v>
      </c>
      <c r="L1166" t="s">
        <v>64</v>
      </c>
      <c r="M1166" t="s">
        <v>54</v>
      </c>
      <c r="N1166" t="s">
        <v>203</v>
      </c>
      <c r="O1166" t="s">
        <v>204</v>
      </c>
      <c r="P1166" t="s">
        <v>68</v>
      </c>
      <c r="Q1166">
        <v>432</v>
      </c>
      <c r="R1166">
        <v>104.75</v>
      </c>
      <c r="S1166">
        <v>45252</v>
      </c>
      <c r="T1166">
        <v>56.51</v>
      </c>
      <c r="U1166">
        <v>3</v>
      </c>
      <c r="V1166">
        <v>2773</v>
      </c>
      <c r="W1166" t="s">
        <v>57</v>
      </c>
      <c r="X1166">
        <v>12752.09</v>
      </c>
    </row>
    <row r="1167" spans="1:24" x14ac:dyDescent="0.25">
      <c r="A1167" s="2">
        <v>101165</v>
      </c>
      <c r="B1167" s="1">
        <v>45895</v>
      </c>
      <c r="C1167" s="1">
        <v>45896</v>
      </c>
      <c r="D1167" s="1">
        <v>45902</v>
      </c>
      <c r="E1167" t="s">
        <v>3019</v>
      </c>
      <c r="F1167" t="s">
        <v>54</v>
      </c>
      <c r="G1167" t="s">
        <v>225</v>
      </c>
      <c r="H1167" t="s">
        <v>3020</v>
      </c>
      <c r="I1167" t="s">
        <v>61</v>
      </c>
      <c r="J1167" t="s">
        <v>62</v>
      </c>
      <c r="K1167" t="s">
        <v>3021</v>
      </c>
      <c r="L1167" t="s">
        <v>31</v>
      </c>
      <c r="M1167" t="s">
        <v>32</v>
      </c>
      <c r="N1167" t="s">
        <v>45</v>
      </c>
      <c r="O1167" t="s">
        <v>46</v>
      </c>
      <c r="P1167" t="s">
        <v>35</v>
      </c>
      <c r="Q1167">
        <v>120</v>
      </c>
      <c r="R1167">
        <v>22.16</v>
      </c>
      <c r="S1167">
        <v>2659.2</v>
      </c>
      <c r="T1167">
        <v>15.88</v>
      </c>
      <c r="U1167">
        <v>6</v>
      </c>
      <c r="V1167">
        <v>2066</v>
      </c>
      <c r="W1167" t="s">
        <v>36</v>
      </c>
      <c r="X1167">
        <v>357.34</v>
      </c>
    </row>
    <row r="1168" spans="1:24" x14ac:dyDescent="0.25">
      <c r="A1168" s="2">
        <v>101166</v>
      </c>
      <c r="B1168" s="1">
        <v>45471</v>
      </c>
      <c r="C1168" s="1">
        <v>45475</v>
      </c>
      <c r="D1168" s="1">
        <v>45485</v>
      </c>
      <c r="E1168" t="s">
        <v>3022</v>
      </c>
      <c r="F1168" t="s">
        <v>32</v>
      </c>
      <c r="G1168" t="s">
        <v>110</v>
      </c>
      <c r="H1168" t="s">
        <v>3023</v>
      </c>
      <c r="I1168" t="s">
        <v>144</v>
      </c>
      <c r="J1168" t="s">
        <v>52</v>
      </c>
      <c r="K1168" t="s">
        <v>1057</v>
      </c>
      <c r="L1168" t="s">
        <v>113</v>
      </c>
      <c r="M1168" t="s">
        <v>54</v>
      </c>
      <c r="N1168" t="s">
        <v>74</v>
      </c>
      <c r="O1168" t="s">
        <v>75</v>
      </c>
      <c r="P1168" t="s">
        <v>123</v>
      </c>
      <c r="Q1168">
        <v>154</v>
      </c>
      <c r="R1168">
        <v>65.739999999999995</v>
      </c>
      <c r="S1168">
        <v>10123.959999999999</v>
      </c>
      <c r="T1168">
        <v>14.43</v>
      </c>
      <c r="U1168">
        <v>10</v>
      </c>
      <c r="V1168">
        <v>936</v>
      </c>
      <c r="W1168" t="s">
        <v>36</v>
      </c>
      <c r="X1168">
        <v>1220.22</v>
      </c>
    </row>
    <row r="1169" spans="1:24" x14ac:dyDescent="0.25">
      <c r="A1169" s="2">
        <v>101167</v>
      </c>
      <c r="B1169" s="1">
        <v>45959</v>
      </c>
      <c r="C1169" s="1">
        <v>45962</v>
      </c>
      <c r="D1169" s="1">
        <v>45971</v>
      </c>
      <c r="E1169" t="s">
        <v>3024</v>
      </c>
      <c r="F1169" t="s">
        <v>65</v>
      </c>
      <c r="G1169" t="s">
        <v>70</v>
      </c>
      <c r="H1169" t="s">
        <v>3025</v>
      </c>
      <c r="I1169" t="s">
        <v>182</v>
      </c>
      <c r="J1169" t="s">
        <v>80</v>
      </c>
      <c r="K1169" t="s">
        <v>2416</v>
      </c>
      <c r="L1169" t="s">
        <v>31</v>
      </c>
      <c r="M1169" t="s">
        <v>54</v>
      </c>
      <c r="N1169" t="s">
        <v>92</v>
      </c>
      <c r="O1169" t="s">
        <v>93</v>
      </c>
      <c r="P1169" t="s">
        <v>35</v>
      </c>
      <c r="Q1169">
        <v>351</v>
      </c>
      <c r="R1169">
        <v>138.01</v>
      </c>
      <c r="S1169">
        <v>48441.51</v>
      </c>
      <c r="T1169">
        <v>22.42</v>
      </c>
      <c r="U1169">
        <v>9</v>
      </c>
      <c r="V1169">
        <v>1704</v>
      </c>
      <c r="W1169" t="s">
        <v>36</v>
      </c>
      <c r="X1169">
        <v>9323.94</v>
      </c>
    </row>
    <row r="1170" spans="1:24" x14ac:dyDescent="0.25">
      <c r="A1170" s="2">
        <v>101168</v>
      </c>
      <c r="B1170" s="1">
        <v>45366</v>
      </c>
      <c r="C1170" s="1">
        <v>45369</v>
      </c>
      <c r="D1170" s="1">
        <v>45373</v>
      </c>
      <c r="E1170" t="s">
        <v>3026</v>
      </c>
      <c r="F1170" t="s">
        <v>65</v>
      </c>
      <c r="G1170" t="s">
        <v>70</v>
      </c>
      <c r="H1170" t="s">
        <v>3027</v>
      </c>
      <c r="I1170" t="s">
        <v>85</v>
      </c>
      <c r="J1170" t="s">
        <v>52</v>
      </c>
      <c r="K1170" t="s">
        <v>745</v>
      </c>
      <c r="L1170" t="s">
        <v>98</v>
      </c>
      <c r="M1170" t="s">
        <v>25</v>
      </c>
      <c r="N1170" t="s">
        <v>92</v>
      </c>
      <c r="O1170" t="s">
        <v>93</v>
      </c>
      <c r="P1170" t="s">
        <v>35</v>
      </c>
      <c r="Q1170">
        <v>352</v>
      </c>
      <c r="R1170">
        <v>61.76</v>
      </c>
      <c r="S1170">
        <v>21739.52</v>
      </c>
      <c r="T1170">
        <v>22.45</v>
      </c>
      <c r="U1170">
        <v>4</v>
      </c>
      <c r="V1170">
        <v>3082</v>
      </c>
      <c r="W1170" t="s">
        <v>36</v>
      </c>
      <c r="X1170">
        <v>3303.1</v>
      </c>
    </row>
    <row r="1171" spans="1:24" x14ac:dyDescent="0.25">
      <c r="A1171" s="2">
        <v>101169</v>
      </c>
      <c r="B1171" s="1">
        <v>45913</v>
      </c>
      <c r="C1171" s="1">
        <v>45914</v>
      </c>
      <c r="D1171" s="1">
        <v>45918</v>
      </c>
      <c r="E1171" t="s">
        <v>3028</v>
      </c>
      <c r="F1171" t="s">
        <v>65</v>
      </c>
      <c r="G1171" t="s">
        <v>70</v>
      </c>
      <c r="H1171" t="s">
        <v>3029</v>
      </c>
      <c r="I1171" t="s">
        <v>182</v>
      </c>
      <c r="J1171" t="s">
        <v>80</v>
      </c>
      <c r="K1171" t="s">
        <v>1576</v>
      </c>
      <c r="L1171" t="s">
        <v>91</v>
      </c>
      <c r="M1171" t="s">
        <v>38</v>
      </c>
      <c r="N1171" t="s">
        <v>107</v>
      </c>
      <c r="O1171" t="s">
        <v>108</v>
      </c>
      <c r="P1171" t="s">
        <v>68</v>
      </c>
      <c r="Q1171">
        <v>285</v>
      </c>
      <c r="R1171">
        <v>332.69</v>
      </c>
      <c r="S1171">
        <v>94816.65</v>
      </c>
      <c r="T1171">
        <v>46.98</v>
      </c>
      <c r="U1171">
        <v>4</v>
      </c>
      <c r="V1171">
        <v>1754</v>
      </c>
      <c r="W1171" t="s">
        <v>57</v>
      </c>
      <c r="X1171">
        <v>25119.47</v>
      </c>
    </row>
    <row r="1172" spans="1:24" x14ac:dyDescent="0.25">
      <c r="A1172" s="2">
        <v>101170</v>
      </c>
      <c r="B1172" s="1">
        <v>45484</v>
      </c>
      <c r="C1172" s="1">
        <v>45484</v>
      </c>
      <c r="D1172" s="1">
        <v>45488</v>
      </c>
      <c r="E1172" t="s">
        <v>1224</v>
      </c>
      <c r="F1172" t="s">
        <v>38</v>
      </c>
      <c r="G1172" t="s">
        <v>217</v>
      </c>
      <c r="H1172" t="s">
        <v>3030</v>
      </c>
      <c r="I1172" t="s">
        <v>198</v>
      </c>
      <c r="J1172" t="s">
        <v>52</v>
      </c>
      <c r="K1172" t="s">
        <v>2792</v>
      </c>
      <c r="L1172" t="s">
        <v>122</v>
      </c>
      <c r="M1172" t="s">
        <v>32</v>
      </c>
      <c r="N1172" t="s">
        <v>74</v>
      </c>
      <c r="O1172" t="s">
        <v>75</v>
      </c>
      <c r="P1172" t="s">
        <v>68</v>
      </c>
      <c r="Q1172">
        <v>260</v>
      </c>
      <c r="R1172">
        <v>12.71</v>
      </c>
      <c r="S1172">
        <v>3304.6</v>
      </c>
      <c r="T1172">
        <v>45.36</v>
      </c>
      <c r="U1172">
        <v>4</v>
      </c>
      <c r="V1172">
        <v>1060</v>
      </c>
      <c r="W1172" t="s">
        <v>36</v>
      </c>
      <c r="X1172">
        <v>388.93</v>
      </c>
    </row>
    <row r="1173" spans="1:24" x14ac:dyDescent="0.25">
      <c r="A1173" s="2">
        <v>101171</v>
      </c>
      <c r="B1173" s="1">
        <v>45994</v>
      </c>
      <c r="C1173" s="1">
        <v>45994</v>
      </c>
      <c r="D1173" s="1">
        <v>46002</v>
      </c>
      <c r="E1173" t="s">
        <v>3031</v>
      </c>
      <c r="F1173" t="s">
        <v>54</v>
      </c>
      <c r="G1173" t="s">
        <v>193</v>
      </c>
      <c r="H1173" t="s">
        <v>3032</v>
      </c>
      <c r="I1173" t="s">
        <v>416</v>
      </c>
      <c r="J1173" t="s">
        <v>80</v>
      </c>
      <c r="K1173" t="s">
        <v>2475</v>
      </c>
      <c r="L1173" t="s">
        <v>118</v>
      </c>
      <c r="M1173" t="s">
        <v>54</v>
      </c>
      <c r="N1173" t="s">
        <v>45</v>
      </c>
      <c r="O1173" t="s">
        <v>46</v>
      </c>
      <c r="P1173" t="s">
        <v>123</v>
      </c>
      <c r="Q1173">
        <v>452</v>
      </c>
      <c r="R1173">
        <v>212.78</v>
      </c>
      <c r="S1173">
        <v>96176.56</v>
      </c>
      <c r="T1173">
        <v>16.059999999999999</v>
      </c>
      <c r="U1173">
        <v>8</v>
      </c>
      <c r="V1173">
        <v>1828</v>
      </c>
      <c r="W1173" t="s">
        <v>36</v>
      </c>
      <c r="X1173">
        <v>19054.169999999998</v>
      </c>
    </row>
    <row r="1174" spans="1:24" x14ac:dyDescent="0.25">
      <c r="A1174" s="2">
        <v>101172</v>
      </c>
      <c r="B1174" s="1">
        <v>45503</v>
      </c>
      <c r="C1174" s="1">
        <v>45503</v>
      </c>
      <c r="D1174" s="1">
        <v>45518</v>
      </c>
      <c r="E1174" t="s">
        <v>3033</v>
      </c>
      <c r="F1174" t="s">
        <v>25</v>
      </c>
      <c r="G1174" t="s">
        <v>169</v>
      </c>
      <c r="H1174" t="s">
        <v>3034</v>
      </c>
      <c r="I1174" t="s">
        <v>51</v>
      </c>
      <c r="J1174" t="s">
        <v>52</v>
      </c>
      <c r="K1174" t="s">
        <v>3035</v>
      </c>
      <c r="L1174" t="s">
        <v>98</v>
      </c>
      <c r="M1174" t="s">
        <v>25</v>
      </c>
      <c r="N1174" t="s">
        <v>66</v>
      </c>
      <c r="O1174" t="s">
        <v>67</v>
      </c>
      <c r="P1174" t="s">
        <v>123</v>
      </c>
      <c r="Q1174">
        <v>457</v>
      </c>
      <c r="R1174">
        <v>56.28</v>
      </c>
      <c r="S1174">
        <v>25719.96</v>
      </c>
      <c r="T1174">
        <v>16.149999999999999</v>
      </c>
      <c r="U1174">
        <v>15</v>
      </c>
      <c r="V1174">
        <v>2145</v>
      </c>
      <c r="W1174" t="s">
        <v>188</v>
      </c>
      <c r="X1174">
        <v>3148.22</v>
      </c>
    </row>
    <row r="1175" spans="1:24" x14ac:dyDescent="0.25">
      <c r="A1175" s="2">
        <v>101173</v>
      </c>
      <c r="B1175" s="1">
        <v>45331</v>
      </c>
      <c r="C1175" s="1">
        <v>45334</v>
      </c>
      <c r="D1175" s="1">
        <v>45343</v>
      </c>
      <c r="E1175" t="s">
        <v>3036</v>
      </c>
      <c r="F1175" t="s">
        <v>38</v>
      </c>
      <c r="G1175" t="s">
        <v>49</v>
      </c>
      <c r="H1175" t="s">
        <v>3037</v>
      </c>
      <c r="I1175" t="s">
        <v>149</v>
      </c>
      <c r="J1175" t="s">
        <v>42</v>
      </c>
      <c r="K1175" t="s">
        <v>613</v>
      </c>
      <c r="L1175" t="s">
        <v>113</v>
      </c>
      <c r="M1175" t="s">
        <v>25</v>
      </c>
      <c r="N1175" t="s">
        <v>66</v>
      </c>
      <c r="O1175" t="s">
        <v>67</v>
      </c>
      <c r="P1175" t="s">
        <v>35</v>
      </c>
      <c r="Q1175">
        <v>221</v>
      </c>
      <c r="R1175">
        <v>285.14999999999998</v>
      </c>
      <c r="S1175">
        <v>63018.15</v>
      </c>
      <c r="T1175">
        <v>18.739999999999998</v>
      </c>
      <c r="U1175">
        <v>9</v>
      </c>
      <c r="V1175">
        <v>577</v>
      </c>
      <c r="W1175" t="s">
        <v>36</v>
      </c>
      <c r="X1175">
        <v>11095.13</v>
      </c>
    </row>
    <row r="1176" spans="1:24" x14ac:dyDescent="0.25">
      <c r="A1176" s="2">
        <v>101174</v>
      </c>
      <c r="B1176" s="1">
        <v>45361</v>
      </c>
      <c r="C1176" s="1">
        <v>45363</v>
      </c>
      <c r="D1176" s="1">
        <v>45376</v>
      </c>
      <c r="E1176" t="s">
        <v>3038</v>
      </c>
      <c r="F1176" t="s">
        <v>25</v>
      </c>
      <c r="G1176" t="s">
        <v>233</v>
      </c>
      <c r="H1176" t="s">
        <v>3039</v>
      </c>
      <c r="I1176" t="s">
        <v>28</v>
      </c>
      <c r="J1176" t="s">
        <v>29</v>
      </c>
      <c r="K1176" t="s">
        <v>117</v>
      </c>
      <c r="L1176" t="s">
        <v>31</v>
      </c>
      <c r="M1176" t="s">
        <v>65</v>
      </c>
      <c r="N1176" t="s">
        <v>102</v>
      </c>
      <c r="O1176" t="s">
        <v>103</v>
      </c>
      <c r="P1176" t="s">
        <v>76</v>
      </c>
      <c r="Q1176">
        <v>245</v>
      </c>
      <c r="R1176">
        <v>80.709999999999994</v>
      </c>
      <c r="S1176">
        <v>19773.95</v>
      </c>
      <c r="T1176">
        <v>12.48</v>
      </c>
      <c r="U1176">
        <v>13</v>
      </c>
      <c r="V1176">
        <v>2167</v>
      </c>
      <c r="W1176" t="s">
        <v>36</v>
      </c>
      <c r="X1176">
        <v>2535.0500000000002</v>
      </c>
    </row>
    <row r="1177" spans="1:24" x14ac:dyDescent="0.25">
      <c r="A1177" s="2">
        <v>101175</v>
      </c>
      <c r="B1177" s="1">
        <v>45467</v>
      </c>
      <c r="C1177" s="1">
        <v>45467</v>
      </c>
      <c r="D1177" s="1">
        <v>45476</v>
      </c>
      <c r="E1177" t="s">
        <v>3040</v>
      </c>
      <c r="F1177" t="s">
        <v>54</v>
      </c>
      <c r="G1177" t="s">
        <v>158</v>
      </c>
      <c r="H1177" t="s">
        <v>3041</v>
      </c>
      <c r="I1177" t="s">
        <v>368</v>
      </c>
      <c r="J1177" t="s">
        <v>29</v>
      </c>
      <c r="K1177" t="s">
        <v>858</v>
      </c>
      <c r="L1177" t="s">
        <v>187</v>
      </c>
      <c r="M1177" t="s">
        <v>32</v>
      </c>
      <c r="N1177" t="s">
        <v>74</v>
      </c>
      <c r="O1177" t="s">
        <v>75</v>
      </c>
      <c r="P1177" t="s">
        <v>35</v>
      </c>
      <c r="Q1177">
        <v>323</v>
      </c>
      <c r="R1177">
        <v>32.200000000000003</v>
      </c>
      <c r="S1177">
        <v>10400.6</v>
      </c>
      <c r="T1177">
        <v>21.63</v>
      </c>
      <c r="U1177">
        <v>9</v>
      </c>
      <c r="V1177">
        <v>2480</v>
      </c>
      <c r="W1177" t="s">
        <v>36</v>
      </c>
      <c r="X1177">
        <v>435.73</v>
      </c>
    </row>
    <row r="1178" spans="1:24" x14ac:dyDescent="0.25">
      <c r="A1178" s="2">
        <v>101176</v>
      </c>
      <c r="B1178" s="1">
        <v>45749</v>
      </c>
      <c r="C1178" s="1">
        <v>45751</v>
      </c>
      <c r="D1178" s="1">
        <v>45756</v>
      </c>
      <c r="E1178" t="s">
        <v>3042</v>
      </c>
      <c r="F1178" t="s">
        <v>54</v>
      </c>
      <c r="G1178" t="s">
        <v>193</v>
      </c>
      <c r="H1178" t="s">
        <v>3043</v>
      </c>
      <c r="I1178" t="s">
        <v>126</v>
      </c>
      <c r="J1178" t="s">
        <v>42</v>
      </c>
      <c r="K1178" t="s">
        <v>1653</v>
      </c>
      <c r="L1178" t="s">
        <v>118</v>
      </c>
      <c r="M1178" t="s">
        <v>54</v>
      </c>
      <c r="N1178" t="s">
        <v>92</v>
      </c>
      <c r="O1178" t="s">
        <v>93</v>
      </c>
      <c r="P1178" t="s">
        <v>123</v>
      </c>
      <c r="Q1178">
        <v>17</v>
      </c>
      <c r="R1178">
        <v>355.61</v>
      </c>
      <c r="S1178">
        <v>6045.37</v>
      </c>
      <c r="T1178">
        <v>8.23</v>
      </c>
      <c r="U1178">
        <v>5</v>
      </c>
      <c r="V1178">
        <v>1272</v>
      </c>
      <c r="W1178" t="s">
        <v>47</v>
      </c>
      <c r="X1178">
        <v>-243.34</v>
      </c>
    </row>
    <row r="1179" spans="1:24" x14ac:dyDescent="0.25">
      <c r="A1179" s="2">
        <v>101177</v>
      </c>
      <c r="B1179" s="1">
        <v>45849</v>
      </c>
      <c r="C1179" s="1">
        <v>45850</v>
      </c>
      <c r="D1179" s="1">
        <v>45860</v>
      </c>
      <c r="E1179" t="s">
        <v>3044</v>
      </c>
      <c r="F1179" t="s">
        <v>54</v>
      </c>
      <c r="G1179" t="s">
        <v>193</v>
      </c>
      <c r="H1179" t="s">
        <v>3045</v>
      </c>
      <c r="I1179" t="s">
        <v>191</v>
      </c>
      <c r="J1179" t="s">
        <v>62</v>
      </c>
      <c r="K1179" t="s">
        <v>882</v>
      </c>
      <c r="L1179" t="s">
        <v>98</v>
      </c>
      <c r="M1179" t="s">
        <v>54</v>
      </c>
      <c r="N1179" t="s">
        <v>92</v>
      </c>
      <c r="O1179" t="s">
        <v>93</v>
      </c>
      <c r="P1179" t="s">
        <v>35</v>
      </c>
      <c r="Q1179">
        <v>475</v>
      </c>
      <c r="R1179">
        <v>18.559999999999999</v>
      </c>
      <c r="S1179">
        <v>8816</v>
      </c>
      <c r="T1179">
        <v>19.22</v>
      </c>
      <c r="U1179">
        <v>10</v>
      </c>
      <c r="V1179">
        <v>3933</v>
      </c>
      <c r="W1179" t="s">
        <v>36</v>
      </c>
      <c r="X1179">
        <v>1549.15</v>
      </c>
    </row>
    <row r="1180" spans="1:24" x14ac:dyDescent="0.25">
      <c r="A1180" s="2">
        <v>101178</v>
      </c>
      <c r="B1180" s="1">
        <v>45445</v>
      </c>
      <c r="C1180" s="1">
        <v>45445</v>
      </c>
      <c r="D1180" s="1">
        <v>45462</v>
      </c>
      <c r="E1180" t="s">
        <v>3046</v>
      </c>
      <c r="F1180" t="s">
        <v>38</v>
      </c>
      <c r="G1180" t="s">
        <v>147</v>
      </c>
      <c r="H1180" t="s">
        <v>3047</v>
      </c>
      <c r="I1180" t="s">
        <v>368</v>
      </c>
      <c r="J1180" t="s">
        <v>29</v>
      </c>
      <c r="K1180" t="s">
        <v>322</v>
      </c>
      <c r="L1180" t="s">
        <v>31</v>
      </c>
      <c r="M1180" t="s">
        <v>38</v>
      </c>
      <c r="N1180" t="s">
        <v>92</v>
      </c>
      <c r="O1180" t="s">
        <v>93</v>
      </c>
      <c r="P1180" t="s">
        <v>76</v>
      </c>
      <c r="Q1180">
        <v>491</v>
      </c>
      <c r="R1180">
        <v>19.420000000000002</v>
      </c>
      <c r="S1180">
        <v>9535.2199999999993</v>
      </c>
      <c r="T1180">
        <v>12.57</v>
      </c>
      <c r="U1180">
        <v>17</v>
      </c>
      <c r="V1180">
        <v>1883</v>
      </c>
      <c r="W1180" t="s">
        <v>188</v>
      </c>
      <c r="X1180">
        <v>1590.64</v>
      </c>
    </row>
    <row r="1181" spans="1:24" x14ac:dyDescent="0.25">
      <c r="A1181" s="2">
        <v>101179</v>
      </c>
      <c r="B1181" s="1">
        <v>45946</v>
      </c>
      <c r="C1181" s="1">
        <v>45949</v>
      </c>
      <c r="D1181" s="1">
        <v>45952</v>
      </c>
      <c r="E1181" t="s">
        <v>3048</v>
      </c>
      <c r="F1181" t="s">
        <v>32</v>
      </c>
      <c r="G1181" t="s">
        <v>364</v>
      </c>
      <c r="H1181" t="s">
        <v>3049</v>
      </c>
      <c r="I1181" t="s">
        <v>61</v>
      </c>
      <c r="J1181" t="s">
        <v>62</v>
      </c>
      <c r="K1181" t="s">
        <v>2047</v>
      </c>
      <c r="L1181" t="s">
        <v>44</v>
      </c>
      <c r="M1181" t="s">
        <v>54</v>
      </c>
      <c r="N1181" t="s">
        <v>55</v>
      </c>
      <c r="O1181" t="s">
        <v>56</v>
      </c>
      <c r="P1181" t="s">
        <v>68</v>
      </c>
      <c r="Q1181">
        <v>160</v>
      </c>
      <c r="R1181">
        <v>39.090000000000003</v>
      </c>
      <c r="S1181">
        <v>6254.4</v>
      </c>
      <c r="T1181">
        <v>38.880000000000003</v>
      </c>
      <c r="U1181">
        <v>3</v>
      </c>
      <c r="V1181">
        <v>762</v>
      </c>
      <c r="W1181" t="s">
        <v>36</v>
      </c>
      <c r="X1181">
        <v>921.52</v>
      </c>
    </row>
    <row r="1182" spans="1:24" x14ac:dyDescent="0.25">
      <c r="A1182" s="2">
        <v>101180</v>
      </c>
      <c r="B1182" s="1">
        <v>45529</v>
      </c>
      <c r="C1182" s="1">
        <v>45532</v>
      </c>
      <c r="D1182" s="1">
        <v>45555</v>
      </c>
      <c r="E1182" t="s">
        <v>3050</v>
      </c>
      <c r="F1182" t="s">
        <v>38</v>
      </c>
      <c r="G1182" t="s">
        <v>83</v>
      </c>
      <c r="H1182" t="s">
        <v>3051</v>
      </c>
      <c r="I1182" t="s">
        <v>51</v>
      </c>
      <c r="J1182" t="s">
        <v>52</v>
      </c>
      <c r="K1182" t="s">
        <v>242</v>
      </c>
      <c r="L1182" t="s">
        <v>113</v>
      </c>
      <c r="M1182" t="s">
        <v>54</v>
      </c>
      <c r="N1182" t="s">
        <v>55</v>
      </c>
      <c r="O1182" t="s">
        <v>56</v>
      </c>
      <c r="P1182" t="s">
        <v>76</v>
      </c>
      <c r="Q1182">
        <v>145</v>
      </c>
      <c r="R1182">
        <v>25.51</v>
      </c>
      <c r="S1182">
        <v>3698.95</v>
      </c>
      <c r="T1182">
        <v>10.66</v>
      </c>
      <c r="U1182">
        <v>23</v>
      </c>
      <c r="V1182">
        <v>2683</v>
      </c>
      <c r="W1182" t="s">
        <v>57</v>
      </c>
      <c r="X1182">
        <v>471.65</v>
      </c>
    </row>
    <row r="1183" spans="1:24" x14ac:dyDescent="0.25">
      <c r="A1183" s="2">
        <v>101181</v>
      </c>
      <c r="B1183" s="1">
        <v>45851</v>
      </c>
      <c r="C1183" s="1">
        <v>45855</v>
      </c>
      <c r="D1183" s="1">
        <v>45862</v>
      </c>
      <c r="E1183" t="s">
        <v>3052</v>
      </c>
      <c r="F1183" t="s">
        <v>25</v>
      </c>
      <c r="G1183" t="s">
        <v>169</v>
      </c>
      <c r="H1183" t="s">
        <v>3053</v>
      </c>
      <c r="I1183" t="s">
        <v>207</v>
      </c>
      <c r="J1183" t="s">
        <v>80</v>
      </c>
      <c r="K1183" t="s">
        <v>223</v>
      </c>
      <c r="L1183" t="s">
        <v>98</v>
      </c>
      <c r="M1183" t="s">
        <v>54</v>
      </c>
      <c r="N1183" t="s">
        <v>55</v>
      </c>
      <c r="O1183" t="s">
        <v>56</v>
      </c>
      <c r="P1183" t="s">
        <v>35</v>
      </c>
      <c r="Q1183">
        <v>409</v>
      </c>
      <c r="R1183">
        <v>263.43</v>
      </c>
      <c r="S1183">
        <v>107742.87</v>
      </c>
      <c r="T1183">
        <v>24.07</v>
      </c>
      <c r="U1183">
        <v>7</v>
      </c>
      <c r="V1183">
        <v>137</v>
      </c>
      <c r="W1183" t="s">
        <v>36</v>
      </c>
      <c r="X1183">
        <v>17218.310000000001</v>
      </c>
    </row>
    <row r="1184" spans="1:24" x14ac:dyDescent="0.25">
      <c r="A1184" s="2">
        <v>101182</v>
      </c>
      <c r="B1184" s="1">
        <v>45461</v>
      </c>
      <c r="C1184" s="1">
        <v>45465</v>
      </c>
      <c r="D1184" s="1">
        <v>45480</v>
      </c>
      <c r="E1184" t="s">
        <v>3054</v>
      </c>
      <c r="F1184" t="s">
        <v>54</v>
      </c>
      <c r="G1184" t="s">
        <v>193</v>
      </c>
      <c r="H1184" t="s">
        <v>3055</v>
      </c>
      <c r="I1184" t="s">
        <v>116</v>
      </c>
      <c r="J1184" t="s">
        <v>62</v>
      </c>
      <c r="K1184" t="s">
        <v>150</v>
      </c>
      <c r="L1184" t="s">
        <v>91</v>
      </c>
      <c r="M1184" t="s">
        <v>54</v>
      </c>
      <c r="N1184" t="s">
        <v>203</v>
      </c>
      <c r="O1184" t="s">
        <v>204</v>
      </c>
      <c r="P1184" t="s">
        <v>76</v>
      </c>
      <c r="Q1184">
        <v>417</v>
      </c>
      <c r="R1184">
        <v>44.2</v>
      </c>
      <c r="S1184">
        <v>18431.400000000001</v>
      </c>
      <c r="T1184">
        <v>11.57</v>
      </c>
      <c r="U1184">
        <v>15</v>
      </c>
      <c r="V1184">
        <v>1229</v>
      </c>
      <c r="W1184" t="s">
        <v>36</v>
      </c>
      <c r="X1184">
        <v>2539.4699999999998</v>
      </c>
    </row>
    <row r="1185" spans="1:24" x14ac:dyDescent="0.25">
      <c r="A1185" s="2">
        <v>101183</v>
      </c>
      <c r="B1185" s="1">
        <v>45554</v>
      </c>
      <c r="C1185" s="1">
        <v>45555</v>
      </c>
      <c r="D1185" s="1">
        <v>45570</v>
      </c>
      <c r="E1185" t="s">
        <v>3056</v>
      </c>
      <c r="F1185" t="s">
        <v>38</v>
      </c>
      <c r="G1185" t="s">
        <v>217</v>
      </c>
      <c r="H1185" t="s">
        <v>3057</v>
      </c>
      <c r="I1185" t="s">
        <v>416</v>
      </c>
      <c r="J1185" t="s">
        <v>80</v>
      </c>
      <c r="K1185" t="s">
        <v>3058</v>
      </c>
      <c r="L1185" t="s">
        <v>31</v>
      </c>
      <c r="M1185" t="s">
        <v>32</v>
      </c>
      <c r="N1185" t="s">
        <v>107</v>
      </c>
      <c r="O1185" t="s">
        <v>108</v>
      </c>
      <c r="P1185" t="s">
        <v>76</v>
      </c>
      <c r="Q1185">
        <v>361</v>
      </c>
      <c r="R1185">
        <v>140.97999999999999</v>
      </c>
      <c r="S1185">
        <v>50893.78</v>
      </c>
      <c r="T1185">
        <v>14.6</v>
      </c>
      <c r="U1185">
        <v>15</v>
      </c>
      <c r="V1185">
        <v>147</v>
      </c>
      <c r="W1185" t="s">
        <v>36</v>
      </c>
      <c r="X1185">
        <v>8002.55</v>
      </c>
    </row>
    <row r="1186" spans="1:24" x14ac:dyDescent="0.25">
      <c r="A1186" s="2">
        <v>101184</v>
      </c>
      <c r="B1186" s="1">
        <v>45386</v>
      </c>
      <c r="C1186" s="1">
        <v>45387</v>
      </c>
      <c r="D1186" s="1">
        <v>45391</v>
      </c>
      <c r="E1186" t="s">
        <v>3059</v>
      </c>
      <c r="F1186" t="s">
        <v>25</v>
      </c>
      <c r="G1186" t="s">
        <v>26</v>
      </c>
      <c r="H1186" t="s">
        <v>3060</v>
      </c>
      <c r="I1186" t="s">
        <v>61</v>
      </c>
      <c r="J1186" t="s">
        <v>62</v>
      </c>
      <c r="K1186" t="s">
        <v>300</v>
      </c>
      <c r="L1186" t="s">
        <v>91</v>
      </c>
      <c r="M1186" t="s">
        <v>38</v>
      </c>
      <c r="N1186" t="s">
        <v>33</v>
      </c>
      <c r="O1186" t="s">
        <v>34</v>
      </c>
      <c r="P1186" t="s">
        <v>68</v>
      </c>
      <c r="Q1186">
        <v>96</v>
      </c>
      <c r="R1186">
        <v>47.2</v>
      </c>
      <c r="S1186">
        <v>4531.2</v>
      </c>
      <c r="T1186">
        <v>34.729999999999997</v>
      </c>
      <c r="U1186">
        <v>4</v>
      </c>
      <c r="V1186">
        <v>4621</v>
      </c>
      <c r="W1186" t="s">
        <v>36</v>
      </c>
      <c r="X1186">
        <v>480.53</v>
      </c>
    </row>
    <row r="1187" spans="1:24" x14ac:dyDescent="0.25">
      <c r="A1187" s="2">
        <v>101185</v>
      </c>
      <c r="B1187" s="1">
        <v>45587</v>
      </c>
      <c r="C1187" s="1">
        <v>45592</v>
      </c>
      <c r="D1187" s="1">
        <v>45597</v>
      </c>
      <c r="E1187" t="s">
        <v>3061</v>
      </c>
      <c r="F1187" t="s">
        <v>25</v>
      </c>
      <c r="G1187" t="s">
        <v>59</v>
      </c>
      <c r="H1187" t="s">
        <v>3062</v>
      </c>
      <c r="I1187" t="s">
        <v>149</v>
      </c>
      <c r="J1187" t="s">
        <v>42</v>
      </c>
      <c r="K1187" t="s">
        <v>3063</v>
      </c>
      <c r="L1187" t="s">
        <v>64</v>
      </c>
      <c r="M1187" t="s">
        <v>54</v>
      </c>
      <c r="N1187" t="s">
        <v>92</v>
      </c>
      <c r="O1187" t="s">
        <v>93</v>
      </c>
      <c r="P1187" t="s">
        <v>68</v>
      </c>
      <c r="Q1187">
        <v>187</v>
      </c>
      <c r="R1187">
        <v>359.62</v>
      </c>
      <c r="S1187">
        <v>67248.94</v>
      </c>
      <c r="T1187">
        <v>40.630000000000003</v>
      </c>
      <c r="U1187">
        <v>5</v>
      </c>
      <c r="V1187">
        <v>701</v>
      </c>
      <c r="W1187" t="s">
        <v>36</v>
      </c>
      <c r="X1187">
        <v>8522.52</v>
      </c>
    </row>
    <row r="1188" spans="1:24" x14ac:dyDescent="0.25">
      <c r="A1188" s="2">
        <v>101186</v>
      </c>
      <c r="B1188" s="1">
        <v>45503</v>
      </c>
      <c r="C1188" s="1">
        <v>45505</v>
      </c>
      <c r="D1188" s="1">
        <v>45515</v>
      </c>
      <c r="E1188" t="s">
        <v>3064</v>
      </c>
      <c r="F1188" t="s">
        <v>65</v>
      </c>
      <c r="G1188" t="s">
        <v>70</v>
      </c>
      <c r="H1188" t="s">
        <v>3065</v>
      </c>
      <c r="I1188" t="s">
        <v>198</v>
      </c>
      <c r="J1188" t="s">
        <v>52</v>
      </c>
      <c r="K1188" t="s">
        <v>1388</v>
      </c>
      <c r="L1188" t="s">
        <v>113</v>
      </c>
      <c r="M1188" t="s">
        <v>25</v>
      </c>
      <c r="N1188" t="s">
        <v>33</v>
      </c>
      <c r="O1188" t="s">
        <v>34</v>
      </c>
      <c r="P1188" t="s">
        <v>76</v>
      </c>
      <c r="Q1188">
        <v>59</v>
      </c>
      <c r="R1188">
        <v>71.02</v>
      </c>
      <c r="S1188">
        <v>4190.18</v>
      </c>
      <c r="T1188">
        <v>9.09</v>
      </c>
      <c r="U1188">
        <v>10</v>
      </c>
      <c r="V1188">
        <v>2744</v>
      </c>
      <c r="W1188" t="s">
        <v>57</v>
      </c>
      <c r="X1188">
        <v>688.19</v>
      </c>
    </row>
    <row r="1189" spans="1:24" x14ac:dyDescent="0.25">
      <c r="A1189" s="2">
        <v>101187</v>
      </c>
      <c r="B1189" s="1">
        <v>45514</v>
      </c>
      <c r="C1189" s="1">
        <v>45517</v>
      </c>
      <c r="D1189" s="1">
        <v>45529</v>
      </c>
      <c r="E1189" t="s">
        <v>2040</v>
      </c>
      <c r="F1189" t="s">
        <v>54</v>
      </c>
      <c r="G1189" t="s">
        <v>165</v>
      </c>
      <c r="H1189" t="s">
        <v>3066</v>
      </c>
      <c r="I1189" t="s">
        <v>230</v>
      </c>
      <c r="J1189" t="s">
        <v>80</v>
      </c>
      <c r="K1189" t="s">
        <v>2652</v>
      </c>
      <c r="L1189" t="s">
        <v>91</v>
      </c>
      <c r="M1189" t="s">
        <v>25</v>
      </c>
      <c r="N1189" t="s">
        <v>151</v>
      </c>
      <c r="O1189" t="s">
        <v>152</v>
      </c>
      <c r="P1189" t="s">
        <v>123</v>
      </c>
      <c r="Q1189">
        <v>421</v>
      </c>
      <c r="R1189">
        <v>101.83</v>
      </c>
      <c r="S1189">
        <v>42870.43</v>
      </c>
      <c r="T1189">
        <v>20.92</v>
      </c>
      <c r="U1189">
        <v>12</v>
      </c>
      <c r="V1189">
        <v>1325</v>
      </c>
      <c r="W1189" t="s">
        <v>36</v>
      </c>
      <c r="X1189">
        <v>10669.34</v>
      </c>
    </row>
    <row r="1190" spans="1:24" x14ac:dyDescent="0.25">
      <c r="A1190" s="2">
        <v>101188</v>
      </c>
      <c r="B1190" s="1">
        <v>45828</v>
      </c>
      <c r="C1190" s="1">
        <v>45833</v>
      </c>
      <c r="D1190" s="1">
        <v>45837</v>
      </c>
      <c r="E1190" t="s">
        <v>3067</v>
      </c>
      <c r="F1190" t="s">
        <v>25</v>
      </c>
      <c r="G1190" t="s">
        <v>26</v>
      </c>
      <c r="H1190" t="s">
        <v>3068</v>
      </c>
      <c r="I1190" t="s">
        <v>238</v>
      </c>
      <c r="J1190" t="s">
        <v>62</v>
      </c>
      <c r="K1190" t="s">
        <v>2498</v>
      </c>
      <c r="L1190" t="s">
        <v>113</v>
      </c>
      <c r="M1190" t="s">
        <v>54</v>
      </c>
      <c r="N1190" t="s">
        <v>92</v>
      </c>
      <c r="O1190" t="s">
        <v>93</v>
      </c>
      <c r="P1190" t="s">
        <v>68</v>
      </c>
      <c r="Q1190">
        <v>76</v>
      </c>
      <c r="R1190">
        <v>25.9</v>
      </c>
      <c r="S1190">
        <v>1968.4</v>
      </c>
      <c r="T1190">
        <v>33.44</v>
      </c>
      <c r="U1190">
        <v>4</v>
      </c>
      <c r="V1190">
        <v>3209</v>
      </c>
      <c r="W1190" t="s">
        <v>36</v>
      </c>
      <c r="X1190">
        <v>274.16000000000003</v>
      </c>
    </row>
    <row r="1191" spans="1:24" x14ac:dyDescent="0.25">
      <c r="A1191" s="2">
        <v>101189</v>
      </c>
      <c r="B1191" s="1">
        <v>45982</v>
      </c>
      <c r="C1191" s="1">
        <v>45986</v>
      </c>
      <c r="D1191" s="1">
        <v>45989</v>
      </c>
      <c r="E1191" t="s">
        <v>3069</v>
      </c>
      <c r="F1191" t="s">
        <v>25</v>
      </c>
      <c r="G1191" t="s">
        <v>221</v>
      </c>
      <c r="H1191" t="s">
        <v>3070</v>
      </c>
      <c r="I1191" t="s">
        <v>61</v>
      </c>
      <c r="J1191" t="s">
        <v>62</v>
      </c>
      <c r="K1191" t="s">
        <v>135</v>
      </c>
      <c r="L1191" t="s">
        <v>122</v>
      </c>
      <c r="M1191" t="s">
        <v>54</v>
      </c>
      <c r="N1191" t="s">
        <v>107</v>
      </c>
      <c r="O1191" t="s">
        <v>108</v>
      </c>
      <c r="P1191" t="s">
        <v>35</v>
      </c>
      <c r="Q1191">
        <v>429</v>
      </c>
      <c r="R1191">
        <v>48.82</v>
      </c>
      <c r="S1191">
        <v>20943.78</v>
      </c>
      <c r="T1191">
        <v>24.64</v>
      </c>
      <c r="U1191">
        <v>3</v>
      </c>
      <c r="V1191">
        <v>2695</v>
      </c>
      <c r="W1191" t="s">
        <v>57</v>
      </c>
      <c r="X1191">
        <v>2485.91</v>
      </c>
    </row>
    <row r="1192" spans="1:24" x14ac:dyDescent="0.25">
      <c r="A1192" s="2">
        <v>101190</v>
      </c>
      <c r="B1192" s="1">
        <v>45518</v>
      </c>
      <c r="C1192" s="1">
        <v>45523</v>
      </c>
      <c r="D1192" s="1">
        <v>45544</v>
      </c>
      <c r="E1192" t="s">
        <v>3071</v>
      </c>
      <c r="F1192" t="s">
        <v>32</v>
      </c>
      <c r="G1192" t="s">
        <v>180</v>
      </c>
      <c r="H1192" t="s">
        <v>3072</v>
      </c>
      <c r="I1192" t="s">
        <v>149</v>
      </c>
      <c r="J1192" t="s">
        <v>42</v>
      </c>
      <c r="K1192" t="s">
        <v>300</v>
      </c>
      <c r="L1192" t="s">
        <v>44</v>
      </c>
      <c r="M1192" t="s">
        <v>32</v>
      </c>
      <c r="N1192" t="s">
        <v>107</v>
      </c>
      <c r="O1192" t="s">
        <v>108</v>
      </c>
      <c r="P1192" t="s">
        <v>76</v>
      </c>
      <c r="Q1192">
        <v>224</v>
      </c>
      <c r="R1192">
        <v>328.16</v>
      </c>
      <c r="S1192">
        <v>73507.839999999997</v>
      </c>
      <c r="T1192">
        <v>8.9600000000000009</v>
      </c>
      <c r="U1192">
        <v>21</v>
      </c>
      <c r="V1192">
        <v>1154</v>
      </c>
      <c r="W1192" t="s">
        <v>36</v>
      </c>
      <c r="X1192">
        <v>7061.44</v>
      </c>
    </row>
    <row r="1193" spans="1:24" x14ac:dyDescent="0.25">
      <c r="A1193" s="2">
        <v>101191</v>
      </c>
      <c r="B1193" s="1">
        <v>45707</v>
      </c>
      <c r="C1193" s="1">
        <v>45709</v>
      </c>
      <c r="D1193" s="1">
        <v>45718</v>
      </c>
      <c r="E1193" t="s">
        <v>3073</v>
      </c>
      <c r="F1193" t="s">
        <v>38</v>
      </c>
      <c r="G1193" t="s">
        <v>39</v>
      </c>
      <c r="H1193" t="s">
        <v>3074</v>
      </c>
      <c r="I1193" t="s">
        <v>89</v>
      </c>
      <c r="J1193" t="s">
        <v>62</v>
      </c>
      <c r="K1193" t="s">
        <v>1543</v>
      </c>
      <c r="L1193" t="s">
        <v>187</v>
      </c>
      <c r="M1193" t="s">
        <v>65</v>
      </c>
      <c r="N1193" t="s">
        <v>66</v>
      </c>
      <c r="O1193" t="s">
        <v>67</v>
      </c>
      <c r="P1193" t="s">
        <v>35</v>
      </c>
      <c r="Q1193">
        <v>220</v>
      </c>
      <c r="R1193">
        <v>37.729999999999997</v>
      </c>
      <c r="S1193">
        <v>8300.6</v>
      </c>
      <c r="T1193">
        <v>18.71</v>
      </c>
      <c r="U1193">
        <v>9</v>
      </c>
      <c r="V1193">
        <v>4453</v>
      </c>
      <c r="W1193" t="s">
        <v>36</v>
      </c>
      <c r="X1193">
        <v>1283.56</v>
      </c>
    </row>
    <row r="1194" spans="1:24" x14ac:dyDescent="0.25">
      <c r="A1194" s="2">
        <v>101192</v>
      </c>
      <c r="B1194" s="1">
        <v>45456</v>
      </c>
      <c r="C1194" s="1">
        <v>45458</v>
      </c>
      <c r="D1194" s="1">
        <v>45471</v>
      </c>
      <c r="E1194" t="s">
        <v>3075</v>
      </c>
      <c r="F1194" t="s">
        <v>65</v>
      </c>
      <c r="G1194" t="s">
        <v>70</v>
      </c>
      <c r="H1194" t="s">
        <v>3076</v>
      </c>
      <c r="I1194" t="s">
        <v>89</v>
      </c>
      <c r="J1194" t="s">
        <v>62</v>
      </c>
      <c r="K1194" t="s">
        <v>3077</v>
      </c>
      <c r="L1194" t="s">
        <v>118</v>
      </c>
      <c r="M1194" t="s">
        <v>32</v>
      </c>
      <c r="N1194" t="s">
        <v>92</v>
      </c>
      <c r="O1194" t="s">
        <v>93</v>
      </c>
      <c r="P1194" t="s">
        <v>123</v>
      </c>
      <c r="Q1194">
        <v>413</v>
      </c>
      <c r="R1194">
        <v>8.25</v>
      </c>
      <c r="S1194">
        <v>3407.25</v>
      </c>
      <c r="T1194">
        <v>20.73</v>
      </c>
      <c r="U1194">
        <v>13</v>
      </c>
      <c r="V1194">
        <v>3342</v>
      </c>
      <c r="W1194" t="s">
        <v>36</v>
      </c>
      <c r="X1194">
        <v>510.32</v>
      </c>
    </row>
    <row r="1195" spans="1:24" x14ac:dyDescent="0.25">
      <c r="A1195" s="2">
        <v>101193</v>
      </c>
      <c r="B1195" s="1">
        <v>45512</v>
      </c>
      <c r="C1195" s="1">
        <v>45513</v>
      </c>
      <c r="D1195" s="1">
        <v>45522</v>
      </c>
      <c r="E1195" t="s">
        <v>3078</v>
      </c>
      <c r="F1195" t="s">
        <v>38</v>
      </c>
      <c r="G1195" t="s">
        <v>217</v>
      </c>
      <c r="H1195" t="s">
        <v>3079</v>
      </c>
      <c r="I1195" t="s">
        <v>207</v>
      </c>
      <c r="J1195" t="s">
        <v>80</v>
      </c>
      <c r="K1195" t="s">
        <v>1591</v>
      </c>
      <c r="L1195" t="s">
        <v>113</v>
      </c>
      <c r="M1195" t="s">
        <v>25</v>
      </c>
      <c r="N1195" t="s">
        <v>55</v>
      </c>
      <c r="O1195" t="s">
        <v>56</v>
      </c>
      <c r="P1195" t="s">
        <v>35</v>
      </c>
      <c r="Q1195">
        <v>270</v>
      </c>
      <c r="R1195">
        <v>44.42</v>
      </c>
      <c r="S1195">
        <v>11993.4</v>
      </c>
      <c r="T1195">
        <v>20.13</v>
      </c>
      <c r="U1195">
        <v>9</v>
      </c>
      <c r="V1195">
        <v>1201</v>
      </c>
      <c r="W1195" t="s">
        <v>36</v>
      </c>
      <c r="X1195">
        <v>2012.52</v>
      </c>
    </row>
    <row r="1196" spans="1:24" x14ac:dyDescent="0.25">
      <c r="A1196" s="2">
        <v>101194</v>
      </c>
      <c r="B1196" s="1">
        <v>45329</v>
      </c>
      <c r="C1196" s="1">
        <v>45331</v>
      </c>
      <c r="D1196" s="1">
        <v>45337</v>
      </c>
      <c r="E1196" t="s">
        <v>3080</v>
      </c>
      <c r="F1196" t="s">
        <v>25</v>
      </c>
      <c r="G1196" t="s">
        <v>59</v>
      </c>
      <c r="H1196" t="s">
        <v>3081</v>
      </c>
      <c r="I1196" t="s">
        <v>230</v>
      </c>
      <c r="J1196" t="s">
        <v>80</v>
      </c>
      <c r="K1196" t="s">
        <v>1416</v>
      </c>
      <c r="L1196" t="s">
        <v>31</v>
      </c>
      <c r="M1196" t="s">
        <v>65</v>
      </c>
      <c r="N1196" t="s">
        <v>45</v>
      </c>
      <c r="O1196" t="s">
        <v>46</v>
      </c>
      <c r="P1196" t="s">
        <v>35</v>
      </c>
      <c r="Q1196">
        <v>433</v>
      </c>
      <c r="R1196">
        <v>334.82</v>
      </c>
      <c r="S1196">
        <v>144977.06</v>
      </c>
      <c r="T1196">
        <v>24.75</v>
      </c>
      <c r="U1196">
        <v>6</v>
      </c>
      <c r="V1196">
        <v>1005</v>
      </c>
      <c r="W1196" t="s">
        <v>36</v>
      </c>
      <c r="X1196">
        <v>32798.79</v>
      </c>
    </row>
    <row r="1197" spans="1:24" x14ac:dyDescent="0.25">
      <c r="A1197" s="2">
        <v>101195</v>
      </c>
      <c r="B1197" s="1">
        <v>45653</v>
      </c>
      <c r="C1197" s="1">
        <v>45658</v>
      </c>
      <c r="D1197" s="1">
        <v>45683</v>
      </c>
      <c r="E1197" t="s">
        <v>2824</v>
      </c>
      <c r="F1197" t="s">
        <v>25</v>
      </c>
      <c r="G1197" t="s">
        <v>172</v>
      </c>
      <c r="H1197" t="s">
        <v>3082</v>
      </c>
      <c r="I1197" t="s">
        <v>416</v>
      </c>
      <c r="J1197" t="s">
        <v>80</v>
      </c>
      <c r="K1197" t="s">
        <v>3083</v>
      </c>
      <c r="L1197" t="s">
        <v>187</v>
      </c>
      <c r="M1197" t="s">
        <v>65</v>
      </c>
      <c r="N1197" t="s">
        <v>45</v>
      </c>
      <c r="O1197" t="s">
        <v>46</v>
      </c>
      <c r="P1197" t="s">
        <v>76</v>
      </c>
      <c r="Q1197">
        <v>221</v>
      </c>
      <c r="R1197">
        <v>251.68</v>
      </c>
      <c r="S1197">
        <v>55621.279999999999</v>
      </c>
      <c r="T1197">
        <v>12.05</v>
      </c>
      <c r="U1197">
        <v>25</v>
      </c>
      <c r="V1197">
        <v>1294</v>
      </c>
      <c r="W1197" t="s">
        <v>36</v>
      </c>
      <c r="X1197">
        <v>14948.1</v>
      </c>
    </row>
    <row r="1198" spans="1:24" x14ac:dyDescent="0.25">
      <c r="A1198" s="2">
        <v>101196</v>
      </c>
      <c r="B1198" s="1">
        <v>45708</v>
      </c>
      <c r="C1198" s="1">
        <v>45710</v>
      </c>
      <c r="D1198" s="1">
        <v>45718</v>
      </c>
      <c r="E1198" t="s">
        <v>3084</v>
      </c>
      <c r="F1198" t="s">
        <v>32</v>
      </c>
      <c r="G1198" t="s">
        <v>364</v>
      </c>
      <c r="H1198" t="s">
        <v>3085</v>
      </c>
      <c r="I1198" t="s">
        <v>191</v>
      </c>
      <c r="J1198" t="s">
        <v>62</v>
      </c>
      <c r="K1198" t="s">
        <v>1471</v>
      </c>
      <c r="L1198" t="s">
        <v>187</v>
      </c>
      <c r="M1198" t="s">
        <v>54</v>
      </c>
      <c r="N1198" t="s">
        <v>102</v>
      </c>
      <c r="O1198" t="s">
        <v>103</v>
      </c>
      <c r="P1198" t="s">
        <v>35</v>
      </c>
      <c r="Q1198">
        <v>498</v>
      </c>
      <c r="R1198">
        <v>16.47</v>
      </c>
      <c r="S1198">
        <v>8202.06</v>
      </c>
      <c r="T1198">
        <v>26.59</v>
      </c>
      <c r="U1198">
        <v>8</v>
      </c>
      <c r="V1198">
        <v>3046</v>
      </c>
      <c r="W1198" t="s">
        <v>36</v>
      </c>
      <c r="X1198">
        <v>1131.94</v>
      </c>
    </row>
    <row r="1199" spans="1:24" x14ac:dyDescent="0.25">
      <c r="A1199" s="2">
        <v>101197</v>
      </c>
      <c r="B1199" s="1">
        <v>45549</v>
      </c>
      <c r="C1199" s="1">
        <v>45549</v>
      </c>
      <c r="D1199" s="1">
        <v>45553</v>
      </c>
      <c r="E1199" t="s">
        <v>3086</v>
      </c>
      <c r="F1199" t="s">
        <v>65</v>
      </c>
      <c r="G1199" t="s">
        <v>154</v>
      </c>
      <c r="H1199" t="s">
        <v>3087</v>
      </c>
      <c r="I1199" t="s">
        <v>85</v>
      </c>
      <c r="J1199" t="s">
        <v>52</v>
      </c>
      <c r="K1199" t="s">
        <v>3088</v>
      </c>
      <c r="L1199" t="s">
        <v>212</v>
      </c>
      <c r="M1199" t="s">
        <v>32</v>
      </c>
      <c r="N1199" t="s">
        <v>102</v>
      </c>
      <c r="O1199" t="s">
        <v>103</v>
      </c>
      <c r="P1199" t="s">
        <v>35</v>
      </c>
      <c r="Q1199">
        <v>447</v>
      </c>
      <c r="R1199">
        <v>24.24</v>
      </c>
      <c r="S1199">
        <v>10835.28</v>
      </c>
      <c r="T1199">
        <v>25.15</v>
      </c>
      <c r="U1199">
        <v>4</v>
      </c>
      <c r="V1199">
        <v>2875</v>
      </c>
      <c r="W1199" t="s">
        <v>36</v>
      </c>
      <c r="X1199">
        <v>1801.6</v>
      </c>
    </row>
    <row r="1200" spans="1:24" x14ac:dyDescent="0.25">
      <c r="A1200" s="2">
        <v>101198</v>
      </c>
      <c r="B1200" s="1">
        <v>45504</v>
      </c>
      <c r="C1200" s="1">
        <v>45508</v>
      </c>
      <c r="D1200" s="1">
        <v>45519</v>
      </c>
      <c r="E1200" t="s">
        <v>1001</v>
      </c>
      <c r="F1200" t="s">
        <v>54</v>
      </c>
      <c r="G1200" t="s">
        <v>158</v>
      </c>
      <c r="H1200" t="s">
        <v>3089</v>
      </c>
      <c r="I1200" t="s">
        <v>191</v>
      </c>
      <c r="J1200" t="s">
        <v>62</v>
      </c>
      <c r="K1200" t="s">
        <v>3090</v>
      </c>
      <c r="L1200" t="s">
        <v>44</v>
      </c>
      <c r="M1200" t="s">
        <v>65</v>
      </c>
      <c r="N1200" t="s">
        <v>74</v>
      </c>
      <c r="O1200" t="s">
        <v>75</v>
      </c>
      <c r="P1200" t="s">
        <v>123</v>
      </c>
      <c r="Q1200">
        <v>147</v>
      </c>
      <c r="R1200">
        <v>23.71</v>
      </c>
      <c r="S1200">
        <v>3485.37</v>
      </c>
      <c r="T1200">
        <v>14.26</v>
      </c>
      <c r="U1200">
        <v>11</v>
      </c>
      <c r="V1200">
        <v>1760</v>
      </c>
      <c r="W1200" t="s">
        <v>57</v>
      </c>
      <c r="X1200">
        <v>536.79</v>
      </c>
    </row>
    <row r="1201" spans="1:24" x14ac:dyDescent="0.25">
      <c r="A1201" s="2">
        <v>101199</v>
      </c>
      <c r="B1201" s="1">
        <v>45925</v>
      </c>
      <c r="C1201" s="1">
        <v>45925</v>
      </c>
      <c r="D1201" s="1">
        <v>45941</v>
      </c>
      <c r="E1201" t="s">
        <v>3091</v>
      </c>
      <c r="F1201" t="s">
        <v>25</v>
      </c>
      <c r="G1201" t="s">
        <v>233</v>
      </c>
      <c r="H1201" t="s">
        <v>3092</v>
      </c>
      <c r="I1201" t="s">
        <v>246</v>
      </c>
      <c r="J1201" t="s">
        <v>29</v>
      </c>
      <c r="K1201" t="s">
        <v>3093</v>
      </c>
      <c r="L1201" t="s">
        <v>91</v>
      </c>
      <c r="M1201" t="s">
        <v>32</v>
      </c>
      <c r="N1201" t="s">
        <v>92</v>
      </c>
      <c r="O1201" t="s">
        <v>93</v>
      </c>
      <c r="P1201" t="s">
        <v>76</v>
      </c>
      <c r="Q1201">
        <v>49</v>
      </c>
      <c r="R1201">
        <v>84.7</v>
      </c>
      <c r="S1201">
        <v>4150.3</v>
      </c>
      <c r="T1201">
        <v>8.91</v>
      </c>
      <c r="U1201">
        <v>16</v>
      </c>
      <c r="V1201">
        <v>1262</v>
      </c>
      <c r="W1201" t="s">
        <v>36</v>
      </c>
      <c r="X1201">
        <v>1054.3900000000001</v>
      </c>
    </row>
    <row r="1202" spans="1:24" x14ac:dyDescent="0.25">
      <c r="A1202" s="2">
        <v>101200</v>
      </c>
      <c r="B1202" s="1">
        <v>45686</v>
      </c>
      <c r="C1202" s="1">
        <v>45686</v>
      </c>
      <c r="D1202" s="1">
        <v>45708</v>
      </c>
      <c r="E1202" t="s">
        <v>3094</v>
      </c>
      <c r="F1202" t="s">
        <v>25</v>
      </c>
      <c r="G1202" t="s">
        <v>26</v>
      </c>
      <c r="H1202" t="s">
        <v>3095</v>
      </c>
      <c r="I1202" t="s">
        <v>368</v>
      </c>
      <c r="J1202" t="s">
        <v>29</v>
      </c>
      <c r="K1202" t="s">
        <v>2131</v>
      </c>
      <c r="L1202" t="s">
        <v>64</v>
      </c>
      <c r="M1202" t="s">
        <v>25</v>
      </c>
      <c r="N1202" t="s">
        <v>33</v>
      </c>
      <c r="O1202" t="s">
        <v>34</v>
      </c>
      <c r="P1202" t="s">
        <v>76</v>
      </c>
      <c r="Q1202">
        <v>297</v>
      </c>
      <c r="R1202">
        <v>115.49</v>
      </c>
      <c r="S1202">
        <v>34300.53</v>
      </c>
      <c r="T1202">
        <v>9.9499999999999993</v>
      </c>
      <c r="U1202">
        <v>22</v>
      </c>
      <c r="V1202">
        <v>2140</v>
      </c>
      <c r="W1202" t="s">
        <v>36</v>
      </c>
      <c r="X1202">
        <v>8242.07</v>
      </c>
    </row>
    <row r="1203" spans="1:24" x14ac:dyDescent="0.25">
      <c r="A1203" s="2">
        <v>101201</v>
      </c>
      <c r="B1203" s="1">
        <v>45836</v>
      </c>
      <c r="C1203" s="1">
        <v>45840</v>
      </c>
      <c r="D1203" s="1">
        <v>45864</v>
      </c>
      <c r="E1203" t="s">
        <v>3096</v>
      </c>
      <c r="F1203" t="s">
        <v>54</v>
      </c>
      <c r="G1203" t="s">
        <v>165</v>
      </c>
      <c r="H1203" t="s">
        <v>3097</v>
      </c>
      <c r="I1203" t="s">
        <v>51</v>
      </c>
      <c r="J1203" t="s">
        <v>52</v>
      </c>
      <c r="K1203" t="s">
        <v>3098</v>
      </c>
      <c r="L1203" t="s">
        <v>44</v>
      </c>
      <c r="M1203" t="s">
        <v>38</v>
      </c>
      <c r="N1203" t="s">
        <v>55</v>
      </c>
      <c r="O1203" t="s">
        <v>56</v>
      </c>
      <c r="P1203" t="s">
        <v>76</v>
      </c>
      <c r="Q1203">
        <v>94</v>
      </c>
      <c r="R1203">
        <v>37.76</v>
      </c>
      <c r="S1203">
        <v>3549.44</v>
      </c>
      <c r="T1203">
        <v>9.73</v>
      </c>
      <c r="U1203">
        <v>24</v>
      </c>
      <c r="V1203">
        <v>4328</v>
      </c>
      <c r="W1203" t="s">
        <v>36</v>
      </c>
      <c r="X1203">
        <v>508.44</v>
      </c>
    </row>
    <row r="1204" spans="1:24" x14ac:dyDescent="0.25">
      <c r="A1204" s="2">
        <v>101202</v>
      </c>
      <c r="B1204" s="1">
        <v>45749</v>
      </c>
      <c r="C1204" s="1">
        <v>45752</v>
      </c>
      <c r="D1204" s="1">
        <v>45776</v>
      </c>
      <c r="E1204" t="s">
        <v>3099</v>
      </c>
      <c r="F1204" t="s">
        <v>65</v>
      </c>
      <c r="G1204" t="s">
        <v>70</v>
      </c>
      <c r="H1204" t="s">
        <v>3100</v>
      </c>
      <c r="I1204" t="s">
        <v>134</v>
      </c>
      <c r="J1204" t="s">
        <v>52</v>
      </c>
      <c r="K1204" t="s">
        <v>610</v>
      </c>
      <c r="L1204" t="s">
        <v>91</v>
      </c>
      <c r="M1204" t="s">
        <v>32</v>
      </c>
      <c r="N1204" t="s">
        <v>74</v>
      </c>
      <c r="O1204" t="s">
        <v>75</v>
      </c>
      <c r="P1204" t="s">
        <v>76</v>
      </c>
      <c r="Q1204">
        <v>428</v>
      </c>
      <c r="R1204">
        <v>52.71</v>
      </c>
      <c r="S1204">
        <v>22559.88</v>
      </c>
      <c r="T1204">
        <v>15.82</v>
      </c>
      <c r="U1204">
        <v>24</v>
      </c>
      <c r="V1204">
        <v>1670</v>
      </c>
      <c r="W1204" t="s">
        <v>36</v>
      </c>
      <c r="X1204">
        <v>2136.0500000000002</v>
      </c>
    </row>
    <row r="1205" spans="1:24" x14ac:dyDescent="0.25">
      <c r="A1205" s="2">
        <v>101203</v>
      </c>
      <c r="B1205" s="1">
        <v>45772</v>
      </c>
      <c r="C1205" s="1">
        <v>45776</v>
      </c>
      <c r="D1205" s="1">
        <v>45796</v>
      </c>
      <c r="E1205" t="s">
        <v>3101</v>
      </c>
      <c r="F1205" t="s">
        <v>65</v>
      </c>
      <c r="G1205" t="s">
        <v>142</v>
      </c>
      <c r="H1205" t="s">
        <v>3102</v>
      </c>
      <c r="I1205" t="s">
        <v>416</v>
      </c>
      <c r="J1205" t="s">
        <v>80</v>
      </c>
      <c r="K1205" t="s">
        <v>3103</v>
      </c>
      <c r="L1205" t="s">
        <v>64</v>
      </c>
      <c r="M1205" t="s">
        <v>25</v>
      </c>
      <c r="N1205" t="s">
        <v>55</v>
      </c>
      <c r="O1205" t="s">
        <v>56</v>
      </c>
      <c r="P1205" t="s">
        <v>76</v>
      </c>
      <c r="Q1205">
        <v>313</v>
      </c>
      <c r="R1205">
        <v>299.49</v>
      </c>
      <c r="S1205">
        <v>93740.37</v>
      </c>
      <c r="T1205">
        <v>13.72</v>
      </c>
      <c r="U1205">
        <v>20</v>
      </c>
      <c r="V1205">
        <v>1875</v>
      </c>
      <c r="W1205" t="s">
        <v>36</v>
      </c>
      <c r="X1205">
        <v>23857.919999999998</v>
      </c>
    </row>
    <row r="1206" spans="1:24" x14ac:dyDescent="0.25">
      <c r="A1206" s="2">
        <v>101204</v>
      </c>
      <c r="B1206" s="1">
        <v>45676</v>
      </c>
      <c r="C1206" s="1">
        <v>45680</v>
      </c>
      <c r="D1206" s="1">
        <v>45693</v>
      </c>
      <c r="E1206" t="s">
        <v>3104</v>
      </c>
      <c r="F1206" t="s">
        <v>54</v>
      </c>
      <c r="G1206" t="s">
        <v>225</v>
      </c>
      <c r="H1206" t="s">
        <v>3105</v>
      </c>
      <c r="I1206" t="s">
        <v>116</v>
      </c>
      <c r="J1206" t="s">
        <v>62</v>
      </c>
      <c r="K1206" t="s">
        <v>331</v>
      </c>
      <c r="L1206" t="s">
        <v>212</v>
      </c>
      <c r="M1206" t="s">
        <v>25</v>
      </c>
      <c r="N1206" t="s">
        <v>45</v>
      </c>
      <c r="O1206" t="s">
        <v>46</v>
      </c>
      <c r="P1206" t="s">
        <v>123</v>
      </c>
      <c r="Q1206">
        <v>392</v>
      </c>
      <c r="R1206">
        <v>20.96</v>
      </c>
      <c r="S1206">
        <v>8216.32</v>
      </c>
      <c r="T1206">
        <v>20.22</v>
      </c>
      <c r="U1206">
        <v>13</v>
      </c>
      <c r="V1206">
        <v>4125</v>
      </c>
      <c r="W1206" t="s">
        <v>188</v>
      </c>
      <c r="X1206">
        <v>816.6</v>
      </c>
    </row>
    <row r="1207" spans="1:24" x14ac:dyDescent="0.25">
      <c r="A1207" s="2">
        <v>101205</v>
      </c>
      <c r="B1207" s="1">
        <v>45921</v>
      </c>
      <c r="C1207" s="1">
        <v>45922</v>
      </c>
      <c r="D1207" s="1">
        <v>45926</v>
      </c>
      <c r="E1207" t="s">
        <v>3106</v>
      </c>
      <c r="F1207" t="s">
        <v>38</v>
      </c>
      <c r="G1207" t="s">
        <v>217</v>
      </c>
      <c r="H1207" t="s">
        <v>3107</v>
      </c>
      <c r="I1207" t="s">
        <v>28</v>
      </c>
      <c r="J1207" t="s">
        <v>29</v>
      </c>
      <c r="K1207" t="s">
        <v>3108</v>
      </c>
      <c r="L1207" t="s">
        <v>91</v>
      </c>
      <c r="M1207" t="s">
        <v>32</v>
      </c>
      <c r="N1207" t="s">
        <v>55</v>
      </c>
      <c r="O1207" t="s">
        <v>56</v>
      </c>
      <c r="P1207" t="s">
        <v>35</v>
      </c>
      <c r="Q1207">
        <v>255</v>
      </c>
      <c r="R1207">
        <v>114.67</v>
      </c>
      <c r="S1207">
        <v>29240.85</v>
      </c>
      <c r="T1207">
        <v>19.7</v>
      </c>
      <c r="U1207">
        <v>4</v>
      </c>
      <c r="V1207">
        <v>2274</v>
      </c>
      <c r="W1207" t="s">
        <v>36</v>
      </c>
      <c r="X1207">
        <v>7764.71</v>
      </c>
    </row>
    <row r="1208" spans="1:24" x14ac:dyDescent="0.25">
      <c r="A1208" s="2">
        <v>101206</v>
      </c>
      <c r="B1208" s="1">
        <v>45932</v>
      </c>
      <c r="C1208" s="1">
        <v>45936</v>
      </c>
      <c r="D1208" s="1">
        <v>45943</v>
      </c>
      <c r="E1208" t="s">
        <v>3109</v>
      </c>
      <c r="F1208" t="s">
        <v>25</v>
      </c>
      <c r="G1208" t="s">
        <v>244</v>
      </c>
      <c r="H1208" t="s">
        <v>3110</v>
      </c>
      <c r="I1208" t="s">
        <v>177</v>
      </c>
      <c r="J1208" t="s">
        <v>29</v>
      </c>
      <c r="K1208" t="s">
        <v>1562</v>
      </c>
      <c r="L1208" t="s">
        <v>98</v>
      </c>
      <c r="M1208" t="s">
        <v>32</v>
      </c>
      <c r="N1208" t="s">
        <v>66</v>
      </c>
      <c r="O1208" t="s">
        <v>67</v>
      </c>
      <c r="P1208" t="s">
        <v>35</v>
      </c>
      <c r="Q1208">
        <v>343</v>
      </c>
      <c r="R1208">
        <v>73.39</v>
      </c>
      <c r="S1208">
        <v>25172.77</v>
      </c>
      <c r="T1208">
        <v>22.2</v>
      </c>
      <c r="U1208">
        <v>7</v>
      </c>
      <c r="V1208">
        <v>820</v>
      </c>
      <c r="W1208" t="s">
        <v>36</v>
      </c>
      <c r="X1208">
        <v>6620.58</v>
      </c>
    </row>
    <row r="1209" spans="1:24" x14ac:dyDescent="0.25">
      <c r="A1209" s="2">
        <v>101207</v>
      </c>
      <c r="B1209" s="1">
        <v>45480</v>
      </c>
      <c r="C1209" s="1">
        <v>45482</v>
      </c>
      <c r="D1209" s="1">
        <v>45488</v>
      </c>
      <c r="E1209" t="s">
        <v>3111</v>
      </c>
      <c r="F1209" t="s">
        <v>32</v>
      </c>
      <c r="G1209" t="s">
        <v>255</v>
      </c>
      <c r="H1209" t="s">
        <v>3112</v>
      </c>
      <c r="I1209" t="s">
        <v>126</v>
      </c>
      <c r="J1209" t="s">
        <v>42</v>
      </c>
      <c r="K1209" t="s">
        <v>3035</v>
      </c>
      <c r="L1209" t="s">
        <v>212</v>
      </c>
      <c r="M1209" t="s">
        <v>54</v>
      </c>
      <c r="N1209" t="s">
        <v>74</v>
      </c>
      <c r="O1209" t="s">
        <v>75</v>
      </c>
      <c r="P1209" t="s">
        <v>123</v>
      </c>
      <c r="Q1209">
        <v>288</v>
      </c>
      <c r="R1209">
        <v>123.96</v>
      </c>
      <c r="S1209">
        <v>35700.480000000003</v>
      </c>
      <c r="T1209">
        <v>17.690000000000001</v>
      </c>
      <c r="U1209">
        <v>6</v>
      </c>
      <c r="V1209">
        <v>591</v>
      </c>
      <c r="W1209" t="s">
        <v>57</v>
      </c>
      <c r="X1209">
        <v>4932.51</v>
      </c>
    </row>
    <row r="1210" spans="1:24" x14ac:dyDescent="0.25">
      <c r="A1210" s="2">
        <v>101208</v>
      </c>
      <c r="B1210" s="1">
        <v>45461</v>
      </c>
      <c r="C1210" s="1">
        <v>45466</v>
      </c>
      <c r="D1210" s="1">
        <v>45485</v>
      </c>
      <c r="E1210" t="s">
        <v>2882</v>
      </c>
      <c r="F1210" t="s">
        <v>65</v>
      </c>
      <c r="G1210" t="s">
        <v>154</v>
      </c>
      <c r="H1210" t="s">
        <v>3113</v>
      </c>
      <c r="I1210" t="s">
        <v>149</v>
      </c>
      <c r="J1210" t="s">
        <v>42</v>
      </c>
      <c r="K1210" t="s">
        <v>1413</v>
      </c>
      <c r="L1210" t="s">
        <v>91</v>
      </c>
      <c r="M1210" t="s">
        <v>65</v>
      </c>
      <c r="N1210" t="s">
        <v>151</v>
      </c>
      <c r="O1210" t="s">
        <v>152</v>
      </c>
      <c r="P1210" t="s">
        <v>76</v>
      </c>
      <c r="Q1210">
        <v>334</v>
      </c>
      <c r="R1210">
        <v>219.51</v>
      </c>
      <c r="S1210">
        <v>73316.34</v>
      </c>
      <c r="T1210">
        <v>10.45</v>
      </c>
      <c r="U1210">
        <v>19</v>
      </c>
      <c r="V1210">
        <v>1179</v>
      </c>
      <c r="W1210" t="s">
        <v>47</v>
      </c>
      <c r="X1210">
        <v>-142.46</v>
      </c>
    </row>
    <row r="1211" spans="1:24" x14ac:dyDescent="0.25">
      <c r="A1211" s="2">
        <v>101209</v>
      </c>
      <c r="B1211" s="1">
        <v>45729</v>
      </c>
      <c r="C1211" s="1">
        <v>45731</v>
      </c>
      <c r="D1211" s="1">
        <v>45749</v>
      </c>
      <c r="E1211" t="s">
        <v>3114</v>
      </c>
      <c r="F1211" t="s">
        <v>65</v>
      </c>
      <c r="G1211" t="s">
        <v>154</v>
      </c>
      <c r="H1211" t="s">
        <v>3115</v>
      </c>
      <c r="I1211" t="s">
        <v>191</v>
      </c>
      <c r="J1211" t="s">
        <v>62</v>
      </c>
      <c r="K1211" t="s">
        <v>3116</v>
      </c>
      <c r="L1211" t="s">
        <v>118</v>
      </c>
      <c r="M1211" t="s">
        <v>25</v>
      </c>
      <c r="N1211" t="s">
        <v>45</v>
      </c>
      <c r="O1211" t="s">
        <v>46</v>
      </c>
      <c r="P1211" t="s">
        <v>76</v>
      </c>
      <c r="Q1211">
        <v>47</v>
      </c>
      <c r="R1211">
        <v>13.63</v>
      </c>
      <c r="S1211">
        <v>640.61</v>
      </c>
      <c r="T1211">
        <v>8.8800000000000008</v>
      </c>
      <c r="U1211">
        <v>18</v>
      </c>
      <c r="V1211">
        <v>4816</v>
      </c>
      <c r="W1211" t="s">
        <v>47</v>
      </c>
      <c r="X1211">
        <v>-171.44</v>
      </c>
    </row>
    <row r="1212" spans="1:24" x14ac:dyDescent="0.25">
      <c r="A1212" s="2">
        <v>101210</v>
      </c>
      <c r="B1212" s="1">
        <v>45324</v>
      </c>
      <c r="C1212" s="1">
        <v>45329</v>
      </c>
      <c r="D1212" s="1">
        <v>45343</v>
      </c>
      <c r="E1212" t="s">
        <v>3117</v>
      </c>
      <c r="F1212" t="s">
        <v>38</v>
      </c>
      <c r="G1212" t="s">
        <v>39</v>
      </c>
      <c r="H1212" t="s">
        <v>3118</v>
      </c>
      <c r="I1212" t="s">
        <v>134</v>
      </c>
      <c r="J1212" t="s">
        <v>52</v>
      </c>
      <c r="K1212" t="s">
        <v>1633</v>
      </c>
      <c r="L1212" t="s">
        <v>122</v>
      </c>
      <c r="M1212" t="s">
        <v>54</v>
      </c>
      <c r="N1212" t="s">
        <v>151</v>
      </c>
      <c r="O1212" t="s">
        <v>152</v>
      </c>
      <c r="P1212" t="s">
        <v>76</v>
      </c>
      <c r="Q1212">
        <v>59</v>
      </c>
      <c r="R1212">
        <v>76.959999999999994</v>
      </c>
      <c r="S1212">
        <v>4540.6400000000003</v>
      </c>
      <c r="T1212">
        <v>9.09</v>
      </c>
      <c r="U1212">
        <v>14</v>
      </c>
      <c r="V1212">
        <v>1601</v>
      </c>
      <c r="W1212" t="s">
        <v>36</v>
      </c>
      <c r="X1212">
        <v>588.37</v>
      </c>
    </row>
    <row r="1213" spans="1:24" x14ac:dyDescent="0.25">
      <c r="A1213" s="2">
        <v>101211</v>
      </c>
      <c r="B1213" s="1">
        <v>45478</v>
      </c>
      <c r="C1213" s="1">
        <v>45479</v>
      </c>
      <c r="D1213" s="1">
        <v>45488</v>
      </c>
      <c r="E1213" t="s">
        <v>674</v>
      </c>
      <c r="F1213" t="s">
        <v>54</v>
      </c>
      <c r="G1213" t="s">
        <v>158</v>
      </c>
      <c r="H1213" t="s">
        <v>3119</v>
      </c>
      <c r="I1213" t="s">
        <v>89</v>
      </c>
      <c r="J1213" t="s">
        <v>62</v>
      </c>
      <c r="K1213" t="s">
        <v>1946</v>
      </c>
      <c r="L1213" t="s">
        <v>122</v>
      </c>
      <c r="M1213" t="s">
        <v>32</v>
      </c>
      <c r="N1213" t="s">
        <v>66</v>
      </c>
      <c r="O1213" t="s">
        <v>67</v>
      </c>
      <c r="P1213" t="s">
        <v>35</v>
      </c>
      <c r="Q1213">
        <v>361</v>
      </c>
      <c r="R1213">
        <v>29.55</v>
      </c>
      <c r="S1213">
        <v>10667.55</v>
      </c>
      <c r="T1213">
        <v>22.71</v>
      </c>
      <c r="U1213">
        <v>9</v>
      </c>
      <c r="V1213">
        <v>2135</v>
      </c>
      <c r="W1213" t="s">
        <v>36</v>
      </c>
      <c r="X1213">
        <v>511</v>
      </c>
    </row>
    <row r="1214" spans="1:24" x14ac:dyDescent="0.25">
      <c r="A1214" s="2">
        <v>101212</v>
      </c>
      <c r="B1214" s="1">
        <v>45791</v>
      </c>
      <c r="C1214" s="1">
        <v>45791</v>
      </c>
      <c r="D1214" s="1">
        <v>45795</v>
      </c>
      <c r="E1214" t="s">
        <v>3120</v>
      </c>
      <c r="F1214" t="s">
        <v>32</v>
      </c>
      <c r="G1214" t="s">
        <v>110</v>
      </c>
      <c r="H1214" t="s">
        <v>3121</v>
      </c>
      <c r="I1214" t="s">
        <v>85</v>
      </c>
      <c r="J1214" t="s">
        <v>52</v>
      </c>
      <c r="K1214" t="s">
        <v>1127</v>
      </c>
      <c r="L1214" t="s">
        <v>31</v>
      </c>
      <c r="M1214" t="s">
        <v>38</v>
      </c>
      <c r="N1214" t="s">
        <v>33</v>
      </c>
      <c r="O1214" t="s">
        <v>34</v>
      </c>
      <c r="P1214" t="s">
        <v>35</v>
      </c>
      <c r="Q1214">
        <v>33</v>
      </c>
      <c r="R1214">
        <v>20.04</v>
      </c>
      <c r="S1214">
        <v>661.32</v>
      </c>
      <c r="T1214">
        <v>13.41</v>
      </c>
      <c r="U1214">
        <v>4</v>
      </c>
      <c r="V1214">
        <v>3172</v>
      </c>
      <c r="W1214" t="s">
        <v>36</v>
      </c>
      <c r="X1214">
        <v>28.56</v>
      </c>
    </row>
    <row r="1215" spans="1:24" x14ac:dyDescent="0.25">
      <c r="A1215" s="2">
        <v>101213</v>
      </c>
      <c r="B1215" s="1">
        <v>45756</v>
      </c>
      <c r="C1215" s="1">
        <v>45757</v>
      </c>
      <c r="D1215" s="1">
        <v>45767</v>
      </c>
      <c r="E1215" t="s">
        <v>3122</v>
      </c>
      <c r="F1215" t="s">
        <v>54</v>
      </c>
      <c r="G1215" t="s">
        <v>165</v>
      </c>
      <c r="H1215" t="s">
        <v>1632</v>
      </c>
      <c r="I1215" t="s">
        <v>191</v>
      </c>
      <c r="J1215" t="s">
        <v>62</v>
      </c>
      <c r="K1215" t="s">
        <v>2899</v>
      </c>
      <c r="L1215" t="s">
        <v>31</v>
      </c>
      <c r="M1215" t="s">
        <v>54</v>
      </c>
      <c r="N1215" t="s">
        <v>66</v>
      </c>
      <c r="O1215" t="s">
        <v>67</v>
      </c>
      <c r="P1215" t="s">
        <v>123</v>
      </c>
      <c r="Q1215">
        <v>276</v>
      </c>
      <c r="R1215">
        <v>30.32</v>
      </c>
      <c r="S1215">
        <v>8368.32</v>
      </c>
      <c r="T1215">
        <v>12.89</v>
      </c>
      <c r="U1215">
        <v>10</v>
      </c>
      <c r="V1215">
        <v>3891</v>
      </c>
      <c r="W1215" t="s">
        <v>36</v>
      </c>
      <c r="X1215">
        <v>1166.3699999999999</v>
      </c>
    </row>
    <row r="1216" spans="1:24" x14ac:dyDescent="0.25">
      <c r="A1216" s="2">
        <v>101214</v>
      </c>
      <c r="B1216" s="1">
        <v>45999</v>
      </c>
      <c r="C1216" s="1">
        <v>46002</v>
      </c>
      <c r="D1216" s="1">
        <v>46027</v>
      </c>
      <c r="E1216" t="s">
        <v>2802</v>
      </c>
      <c r="F1216" t="s">
        <v>65</v>
      </c>
      <c r="G1216" t="s">
        <v>154</v>
      </c>
      <c r="H1216" t="s">
        <v>3123</v>
      </c>
      <c r="I1216" t="s">
        <v>51</v>
      </c>
      <c r="J1216" t="s">
        <v>52</v>
      </c>
      <c r="K1216" t="s">
        <v>1659</v>
      </c>
      <c r="L1216" t="s">
        <v>31</v>
      </c>
      <c r="M1216" t="s">
        <v>65</v>
      </c>
      <c r="N1216" t="s">
        <v>92</v>
      </c>
      <c r="O1216" t="s">
        <v>93</v>
      </c>
      <c r="P1216" t="s">
        <v>76</v>
      </c>
      <c r="Q1216">
        <v>403</v>
      </c>
      <c r="R1216">
        <v>74.989999999999995</v>
      </c>
      <c r="S1216">
        <v>30220.97</v>
      </c>
      <c r="T1216">
        <v>11.38</v>
      </c>
      <c r="U1216">
        <v>25</v>
      </c>
      <c r="V1216">
        <v>4444</v>
      </c>
      <c r="W1216" t="s">
        <v>36</v>
      </c>
      <c r="X1216">
        <v>2838.4</v>
      </c>
    </row>
    <row r="1217" spans="1:24" x14ac:dyDescent="0.25">
      <c r="A1217" s="2">
        <v>101215</v>
      </c>
      <c r="B1217" s="1">
        <v>45308</v>
      </c>
      <c r="C1217" s="1">
        <v>45313</v>
      </c>
      <c r="D1217" s="1">
        <v>45317</v>
      </c>
      <c r="E1217" t="s">
        <v>3124</v>
      </c>
      <c r="F1217" t="s">
        <v>65</v>
      </c>
      <c r="G1217" t="s">
        <v>154</v>
      </c>
      <c r="H1217" t="s">
        <v>3125</v>
      </c>
      <c r="I1217" t="s">
        <v>230</v>
      </c>
      <c r="J1217" t="s">
        <v>80</v>
      </c>
      <c r="K1217" t="s">
        <v>3126</v>
      </c>
      <c r="L1217" t="s">
        <v>113</v>
      </c>
      <c r="M1217" t="s">
        <v>54</v>
      </c>
      <c r="N1217" t="s">
        <v>203</v>
      </c>
      <c r="O1217" t="s">
        <v>204</v>
      </c>
      <c r="P1217" t="s">
        <v>35</v>
      </c>
      <c r="Q1217">
        <v>303</v>
      </c>
      <c r="R1217">
        <v>49.78</v>
      </c>
      <c r="S1217">
        <v>15083.34</v>
      </c>
      <c r="T1217">
        <v>21.06</v>
      </c>
      <c r="U1217">
        <v>4</v>
      </c>
      <c r="V1217">
        <v>1372</v>
      </c>
      <c r="W1217" t="s">
        <v>36</v>
      </c>
      <c r="X1217">
        <v>3032.98</v>
      </c>
    </row>
    <row r="1218" spans="1:24" x14ac:dyDescent="0.25">
      <c r="A1218" s="2">
        <v>101216</v>
      </c>
      <c r="B1218" s="1">
        <v>45711</v>
      </c>
      <c r="C1218" s="1">
        <v>45712</v>
      </c>
      <c r="D1218" s="1">
        <v>45730</v>
      </c>
      <c r="E1218" t="s">
        <v>3127</v>
      </c>
      <c r="F1218" t="s">
        <v>32</v>
      </c>
      <c r="G1218" t="s">
        <v>180</v>
      </c>
      <c r="H1218" t="s">
        <v>3128</v>
      </c>
      <c r="I1218" t="s">
        <v>416</v>
      </c>
      <c r="J1218" t="s">
        <v>80</v>
      </c>
      <c r="K1218" t="s">
        <v>3129</v>
      </c>
      <c r="L1218" t="s">
        <v>91</v>
      </c>
      <c r="M1218" t="s">
        <v>54</v>
      </c>
      <c r="N1218" t="s">
        <v>33</v>
      </c>
      <c r="O1218" t="s">
        <v>34</v>
      </c>
      <c r="P1218" t="s">
        <v>123</v>
      </c>
      <c r="Q1218">
        <v>287</v>
      </c>
      <c r="R1218">
        <v>168.6</v>
      </c>
      <c r="S1218">
        <v>48388.2</v>
      </c>
      <c r="T1218">
        <v>17.670000000000002</v>
      </c>
      <c r="U1218">
        <v>18</v>
      </c>
      <c r="V1218">
        <v>1683</v>
      </c>
      <c r="W1218" t="s">
        <v>188</v>
      </c>
      <c r="X1218">
        <v>8180.02</v>
      </c>
    </row>
    <row r="1219" spans="1:24" x14ac:dyDescent="0.25">
      <c r="A1219" s="2">
        <v>101217</v>
      </c>
      <c r="B1219" s="1">
        <v>45883</v>
      </c>
      <c r="C1219" s="1">
        <v>45888</v>
      </c>
      <c r="D1219" s="1">
        <v>45892</v>
      </c>
      <c r="E1219" t="s">
        <v>3130</v>
      </c>
      <c r="F1219" t="s">
        <v>38</v>
      </c>
      <c r="G1219" t="s">
        <v>147</v>
      </c>
      <c r="H1219" t="s">
        <v>3131</v>
      </c>
      <c r="I1219" t="s">
        <v>116</v>
      </c>
      <c r="J1219" t="s">
        <v>62</v>
      </c>
      <c r="K1219" t="s">
        <v>2795</v>
      </c>
      <c r="L1219" t="s">
        <v>122</v>
      </c>
      <c r="M1219" t="s">
        <v>65</v>
      </c>
      <c r="N1219" t="s">
        <v>203</v>
      </c>
      <c r="O1219" t="s">
        <v>204</v>
      </c>
      <c r="P1219" t="s">
        <v>68</v>
      </c>
      <c r="Q1219">
        <v>291</v>
      </c>
      <c r="R1219">
        <v>15.1</v>
      </c>
      <c r="S1219">
        <v>4394.1000000000004</v>
      </c>
      <c r="T1219">
        <v>47.37</v>
      </c>
      <c r="U1219">
        <v>4</v>
      </c>
      <c r="V1219">
        <v>2934</v>
      </c>
      <c r="W1219" t="s">
        <v>36</v>
      </c>
      <c r="X1219">
        <v>206.66</v>
      </c>
    </row>
    <row r="1220" spans="1:24" x14ac:dyDescent="0.25">
      <c r="A1220" s="2">
        <v>101218</v>
      </c>
      <c r="B1220" s="1">
        <v>45859</v>
      </c>
      <c r="C1220" s="1">
        <v>45859</v>
      </c>
      <c r="D1220" s="1">
        <v>45870</v>
      </c>
      <c r="E1220" t="s">
        <v>236</v>
      </c>
      <c r="F1220" t="s">
        <v>65</v>
      </c>
      <c r="G1220" t="s">
        <v>154</v>
      </c>
      <c r="H1220" t="s">
        <v>3132</v>
      </c>
      <c r="I1220" t="s">
        <v>177</v>
      </c>
      <c r="J1220" t="s">
        <v>29</v>
      </c>
      <c r="K1220" t="s">
        <v>1492</v>
      </c>
      <c r="L1220" t="s">
        <v>118</v>
      </c>
      <c r="M1220" t="s">
        <v>38</v>
      </c>
      <c r="N1220" t="s">
        <v>92</v>
      </c>
      <c r="O1220" t="s">
        <v>93</v>
      </c>
      <c r="P1220" t="s">
        <v>123</v>
      </c>
      <c r="Q1220">
        <v>82</v>
      </c>
      <c r="R1220">
        <v>94.66</v>
      </c>
      <c r="S1220">
        <v>7762.12</v>
      </c>
      <c r="T1220">
        <v>12.68</v>
      </c>
      <c r="U1220">
        <v>11</v>
      </c>
      <c r="V1220">
        <v>1951</v>
      </c>
      <c r="W1220" t="s">
        <v>36</v>
      </c>
      <c r="X1220">
        <v>1705.59</v>
      </c>
    </row>
    <row r="1221" spans="1:24" x14ac:dyDescent="0.25">
      <c r="A1221" s="2">
        <v>101219</v>
      </c>
      <c r="B1221" s="1">
        <v>45310</v>
      </c>
      <c r="C1221" s="1">
        <v>45310</v>
      </c>
      <c r="D1221" s="1">
        <v>45318</v>
      </c>
      <c r="E1221" t="s">
        <v>3133</v>
      </c>
      <c r="F1221" t="s">
        <v>65</v>
      </c>
      <c r="G1221" t="s">
        <v>70</v>
      </c>
      <c r="H1221" t="s">
        <v>3134</v>
      </c>
      <c r="I1221" t="s">
        <v>230</v>
      </c>
      <c r="J1221" t="s">
        <v>80</v>
      </c>
      <c r="K1221" t="s">
        <v>1399</v>
      </c>
      <c r="L1221" t="s">
        <v>122</v>
      </c>
      <c r="M1221" t="s">
        <v>32</v>
      </c>
      <c r="N1221" t="s">
        <v>151</v>
      </c>
      <c r="O1221" t="s">
        <v>152</v>
      </c>
      <c r="P1221" t="s">
        <v>35</v>
      </c>
      <c r="Q1221">
        <v>90</v>
      </c>
      <c r="R1221">
        <v>143.1</v>
      </c>
      <c r="S1221">
        <v>12879</v>
      </c>
      <c r="T1221">
        <v>15.03</v>
      </c>
      <c r="U1221">
        <v>8</v>
      </c>
      <c r="V1221">
        <v>1116</v>
      </c>
      <c r="W1221" t="s">
        <v>47</v>
      </c>
      <c r="X1221">
        <v>-40.39</v>
      </c>
    </row>
    <row r="1222" spans="1:24" x14ac:dyDescent="0.25">
      <c r="A1222" s="2">
        <v>101220</v>
      </c>
      <c r="B1222" s="1">
        <v>45495</v>
      </c>
      <c r="C1222" s="1">
        <v>45498</v>
      </c>
      <c r="D1222" s="1">
        <v>45506</v>
      </c>
      <c r="E1222" t="s">
        <v>286</v>
      </c>
      <c r="F1222" t="s">
        <v>38</v>
      </c>
      <c r="G1222" t="s">
        <v>83</v>
      </c>
      <c r="H1222" t="s">
        <v>3135</v>
      </c>
      <c r="I1222" t="s">
        <v>182</v>
      </c>
      <c r="J1222" t="s">
        <v>80</v>
      </c>
      <c r="K1222" t="s">
        <v>2652</v>
      </c>
      <c r="L1222" t="s">
        <v>91</v>
      </c>
      <c r="M1222" t="s">
        <v>54</v>
      </c>
      <c r="N1222" t="s">
        <v>74</v>
      </c>
      <c r="O1222" t="s">
        <v>75</v>
      </c>
      <c r="P1222" t="s">
        <v>35</v>
      </c>
      <c r="Q1222">
        <v>153</v>
      </c>
      <c r="R1222">
        <v>139.01</v>
      </c>
      <c r="S1222">
        <v>21268.53</v>
      </c>
      <c r="T1222">
        <v>16.809999999999999</v>
      </c>
      <c r="U1222">
        <v>8</v>
      </c>
      <c r="V1222">
        <v>1551</v>
      </c>
      <c r="W1222" t="s">
        <v>57</v>
      </c>
      <c r="X1222">
        <v>5923.29</v>
      </c>
    </row>
    <row r="1223" spans="1:24" x14ac:dyDescent="0.25">
      <c r="A1223" s="2">
        <v>101221</v>
      </c>
      <c r="B1223" s="1">
        <v>45843</v>
      </c>
      <c r="C1223" s="1">
        <v>45848</v>
      </c>
      <c r="D1223" s="1">
        <v>45860</v>
      </c>
      <c r="E1223" t="s">
        <v>3136</v>
      </c>
      <c r="F1223" t="s">
        <v>54</v>
      </c>
      <c r="G1223" t="s">
        <v>165</v>
      </c>
      <c r="H1223" t="s">
        <v>3137</v>
      </c>
      <c r="I1223" t="s">
        <v>198</v>
      </c>
      <c r="J1223" t="s">
        <v>52</v>
      </c>
      <c r="K1223" t="s">
        <v>3138</v>
      </c>
      <c r="L1223" t="s">
        <v>91</v>
      </c>
      <c r="M1223" t="s">
        <v>25</v>
      </c>
      <c r="N1223" t="s">
        <v>33</v>
      </c>
      <c r="O1223" t="s">
        <v>34</v>
      </c>
      <c r="P1223" t="s">
        <v>123</v>
      </c>
      <c r="Q1223">
        <v>173</v>
      </c>
      <c r="R1223">
        <v>45.63</v>
      </c>
      <c r="S1223">
        <v>7893.99</v>
      </c>
      <c r="T1223">
        <v>14.9</v>
      </c>
      <c r="U1223">
        <v>12</v>
      </c>
      <c r="V1223">
        <v>2100</v>
      </c>
      <c r="W1223" t="s">
        <v>57</v>
      </c>
      <c r="X1223">
        <v>669.62</v>
      </c>
    </row>
    <row r="1224" spans="1:24" x14ac:dyDescent="0.25">
      <c r="A1224" s="2">
        <v>101222</v>
      </c>
      <c r="B1224" s="1">
        <v>45839</v>
      </c>
      <c r="C1224" s="1">
        <v>45841</v>
      </c>
      <c r="D1224" s="1">
        <v>45852</v>
      </c>
      <c r="E1224" t="s">
        <v>3139</v>
      </c>
      <c r="F1224" t="s">
        <v>38</v>
      </c>
      <c r="G1224" t="s">
        <v>49</v>
      </c>
      <c r="H1224" t="s">
        <v>3140</v>
      </c>
      <c r="I1224" t="s">
        <v>61</v>
      </c>
      <c r="J1224" t="s">
        <v>62</v>
      </c>
      <c r="K1224" t="s">
        <v>3141</v>
      </c>
      <c r="L1224" t="s">
        <v>98</v>
      </c>
      <c r="M1224" t="s">
        <v>65</v>
      </c>
      <c r="N1224" t="s">
        <v>102</v>
      </c>
      <c r="O1224" t="s">
        <v>103</v>
      </c>
      <c r="P1224" t="s">
        <v>123</v>
      </c>
      <c r="Q1224">
        <v>97</v>
      </c>
      <c r="R1224">
        <v>26.07</v>
      </c>
      <c r="S1224">
        <v>2528.79</v>
      </c>
      <c r="T1224">
        <v>13.05</v>
      </c>
      <c r="U1224">
        <v>11</v>
      </c>
      <c r="V1224">
        <v>4924</v>
      </c>
      <c r="W1224" t="s">
        <v>36</v>
      </c>
      <c r="X1224">
        <v>191.28</v>
      </c>
    </row>
    <row r="1225" spans="1:24" x14ac:dyDescent="0.25">
      <c r="A1225" s="2">
        <v>101223</v>
      </c>
      <c r="B1225" s="1">
        <v>45405</v>
      </c>
      <c r="C1225" s="1">
        <v>45408</v>
      </c>
      <c r="D1225" s="1">
        <v>45422</v>
      </c>
      <c r="E1225" t="s">
        <v>3142</v>
      </c>
      <c r="F1225" t="s">
        <v>65</v>
      </c>
      <c r="G1225" t="s">
        <v>142</v>
      </c>
      <c r="H1225" t="s">
        <v>3143</v>
      </c>
      <c r="I1225" t="s">
        <v>72</v>
      </c>
      <c r="J1225" t="s">
        <v>42</v>
      </c>
      <c r="K1225" t="s">
        <v>824</v>
      </c>
      <c r="L1225" t="s">
        <v>91</v>
      </c>
      <c r="M1225" t="s">
        <v>32</v>
      </c>
      <c r="N1225" t="s">
        <v>45</v>
      </c>
      <c r="O1225" t="s">
        <v>46</v>
      </c>
      <c r="P1225" t="s">
        <v>123</v>
      </c>
      <c r="Q1225">
        <v>320</v>
      </c>
      <c r="R1225">
        <v>433.28</v>
      </c>
      <c r="S1225">
        <v>138649.60000000001</v>
      </c>
      <c r="T1225">
        <v>18.47</v>
      </c>
      <c r="U1225">
        <v>14</v>
      </c>
      <c r="V1225">
        <v>989</v>
      </c>
      <c r="W1225" t="s">
        <v>36</v>
      </c>
      <c r="X1225">
        <v>13732.74</v>
      </c>
    </row>
    <row r="1226" spans="1:24" x14ac:dyDescent="0.25">
      <c r="A1226" s="2">
        <v>101224</v>
      </c>
      <c r="B1226" s="1">
        <v>45695</v>
      </c>
      <c r="C1226" s="1">
        <v>45695</v>
      </c>
      <c r="D1226" s="1">
        <v>45709</v>
      </c>
      <c r="E1226" t="s">
        <v>3144</v>
      </c>
      <c r="F1226" t="s">
        <v>25</v>
      </c>
      <c r="G1226" t="s">
        <v>59</v>
      </c>
      <c r="H1226" t="s">
        <v>3145</v>
      </c>
      <c r="I1226" t="s">
        <v>246</v>
      </c>
      <c r="J1226" t="s">
        <v>29</v>
      </c>
      <c r="K1226" t="s">
        <v>1195</v>
      </c>
      <c r="L1226" t="s">
        <v>122</v>
      </c>
      <c r="M1226" t="s">
        <v>65</v>
      </c>
      <c r="N1226" t="s">
        <v>55</v>
      </c>
      <c r="O1226" t="s">
        <v>56</v>
      </c>
      <c r="P1226" t="s">
        <v>123</v>
      </c>
      <c r="Q1226">
        <v>132</v>
      </c>
      <c r="R1226">
        <v>58.57</v>
      </c>
      <c r="S1226">
        <v>7731.24</v>
      </c>
      <c r="T1226">
        <v>13.9</v>
      </c>
      <c r="U1226">
        <v>14</v>
      </c>
      <c r="V1226">
        <v>1336</v>
      </c>
      <c r="W1226" t="s">
        <v>36</v>
      </c>
      <c r="X1226">
        <v>1685.02</v>
      </c>
    </row>
    <row r="1227" spans="1:24" x14ac:dyDescent="0.25">
      <c r="A1227" s="2">
        <v>101225</v>
      </c>
      <c r="B1227" s="1">
        <v>45404</v>
      </c>
      <c r="C1227" s="1">
        <v>45404</v>
      </c>
      <c r="D1227" s="1">
        <v>45417</v>
      </c>
      <c r="E1227" t="s">
        <v>3146</v>
      </c>
      <c r="F1227" t="s">
        <v>32</v>
      </c>
      <c r="G1227" t="s">
        <v>95</v>
      </c>
      <c r="H1227" t="s">
        <v>3147</v>
      </c>
      <c r="I1227" t="s">
        <v>116</v>
      </c>
      <c r="J1227" t="s">
        <v>62</v>
      </c>
      <c r="K1227" t="s">
        <v>734</v>
      </c>
      <c r="L1227" t="s">
        <v>212</v>
      </c>
      <c r="M1227" t="s">
        <v>32</v>
      </c>
      <c r="N1227" t="s">
        <v>151</v>
      </c>
      <c r="O1227" t="s">
        <v>152</v>
      </c>
      <c r="P1227" t="s">
        <v>123</v>
      </c>
      <c r="Q1227">
        <v>164</v>
      </c>
      <c r="R1227">
        <v>19.18</v>
      </c>
      <c r="S1227">
        <v>3145.52</v>
      </c>
      <c r="T1227">
        <v>10.87</v>
      </c>
      <c r="U1227">
        <v>13</v>
      </c>
      <c r="V1227">
        <v>3553</v>
      </c>
      <c r="W1227" t="s">
        <v>188</v>
      </c>
      <c r="X1227">
        <v>545.47</v>
      </c>
    </row>
    <row r="1228" spans="1:24" x14ac:dyDescent="0.25">
      <c r="A1228" s="2">
        <v>101226</v>
      </c>
      <c r="B1228" s="1">
        <v>45557</v>
      </c>
      <c r="C1228" s="1">
        <v>45559</v>
      </c>
      <c r="D1228" s="1">
        <v>45568</v>
      </c>
      <c r="E1228" t="s">
        <v>3148</v>
      </c>
      <c r="F1228" t="s">
        <v>25</v>
      </c>
      <c r="G1228" t="s">
        <v>26</v>
      </c>
      <c r="H1228" t="s">
        <v>3149</v>
      </c>
      <c r="I1228" t="s">
        <v>182</v>
      </c>
      <c r="J1228" t="s">
        <v>80</v>
      </c>
      <c r="K1228" t="s">
        <v>960</v>
      </c>
      <c r="L1228" t="s">
        <v>212</v>
      </c>
      <c r="M1228" t="s">
        <v>25</v>
      </c>
      <c r="N1228" t="s">
        <v>102</v>
      </c>
      <c r="O1228" t="s">
        <v>103</v>
      </c>
      <c r="P1228" t="s">
        <v>35</v>
      </c>
      <c r="Q1228">
        <v>213</v>
      </c>
      <c r="R1228">
        <v>303.89999999999998</v>
      </c>
      <c r="S1228">
        <v>64730.7</v>
      </c>
      <c r="T1228">
        <v>13.71</v>
      </c>
      <c r="U1228">
        <v>9</v>
      </c>
      <c r="V1228">
        <v>813</v>
      </c>
      <c r="W1228" t="s">
        <v>57</v>
      </c>
      <c r="X1228">
        <v>12317.78</v>
      </c>
    </row>
    <row r="1229" spans="1:24" x14ac:dyDescent="0.25">
      <c r="A1229" s="2">
        <v>101227</v>
      </c>
      <c r="B1229" s="1">
        <v>45353</v>
      </c>
      <c r="C1229" s="1">
        <v>45354</v>
      </c>
      <c r="D1229" s="1">
        <v>45372</v>
      </c>
      <c r="E1229" t="s">
        <v>3150</v>
      </c>
      <c r="F1229" t="s">
        <v>54</v>
      </c>
      <c r="G1229" t="s">
        <v>193</v>
      </c>
      <c r="H1229" t="s">
        <v>3151</v>
      </c>
      <c r="I1229" t="s">
        <v>207</v>
      </c>
      <c r="J1229" t="s">
        <v>80</v>
      </c>
      <c r="K1229" t="s">
        <v>3152</v>
      </c>
      <c r="L1229" t="s">
        <v>98</v>
      </c>
      <c r="M1229" t="s">
        <v>38</v>
      </c>
      <c r="N1229" t="s">
        <v>102</v>
      </c>
      <c r="O1229" t="s">
        <v>103</v>
      </c>
      <c r="P1229" t="s">
        <v>76</v>
      </c>
      <c r="Q1229">
        <v>385</v>
      </c>
      <c r="R1229">
        <v>336.14</v>
      </c>
      <c r="S1229">
        <v>129413.9</v>
      </c>
      <c r="T1229">
        <v>15.04</v>
      </c>
      <c r="U1229">
        <v>18</v>
      </c>
      <c r="V1229">
        <v>985</v>
      </c>
      <c r="W1229" t="s">
        <v>36</v>
      </c>
      <c r="X1229">
        <v>21261.41</v>
      </c>
    </row>
    <row r="1230" spans="1:24" x14ac:dyDescent="0.25">
      <c r="A1230" s="2">
        <v>101228</v>
      </c>
      <c r="B1230" s="1">
        <v>45700</v>
      </c>
      <c r="C1230" s="1">
        <v>45702</v>
      </c>
      <c r="D1230" s="1">
        <v>45715</v>
      </c>
      <c r="E1230" t="s">
        <v>3153</v>
      </c>
      <c r="F1230" t="s">
        <v>38</v>
      </c>
      <c r="G1230" t="s">
        <v>83</v>
      </c>
      <c r="H1230" t="s">
        <v>3154</v>
      </c>
      <c r="I1230" t="s">
        <v>416</v>
      </c>
      <c r="J1230" t="s">
        <v>80</v>
      </c>
      <c r="K1230" t="s">
        <v>827</v>
      </c>
      <c r="L1230" t="s">
        <v>44</v>
      </c>
      <c r="M1230" t="s">
        <v>38</v>
      </c>
      <c r="N1230" t="s">
        <v>74</v>
      </c>
      <c r="O1230" t="s">
        <v>75</v>
      </c>
      <c r="P1230" t="s">
        <v>123</v>
      </c>
      <c r="Q1230">
        <v>260</v>
      </c>
      <c r="R1230">
        <v>334.15</v>
      </c>
      <c r="S1230">
        <v>86879</v>
      </c>
      <c r="T1230">
        <v>12.6</v>
      </c>
      <c r="U1230">
        <v>13</v>
      </c>
      <c r="V1230">
        <v>1218</v>
      </c>
      <c r="W1230" t="s">
        <v>36</v>
      </c>
      <c r="X1230">
        <v>16283.84</v>
      </c>
    </row>
    <row r="1231" spans="1:24" x14ac:dyDescent="0.25">
      <c r="A1231" s="2">
        <v>101229</v>
      </c>
      <c r="B1231" s="1">
        <v>45292</v>
      </c>
      <c r="C1231" s="1">
        <v>45292</v>
      </c>
      <c r="D1231" s="1">
        <v>45305</v>
      </c>
      <c r="E1231" t="s">
        <v>3155</v>
      </c>
      <c r="F1231" t="s">
        <v>65</v>
      </c>
      <c r="G1231" t="s">
        <v>142</v>
      </c>
      <c r="H1231" t="s">
        <v>3156</v>
      </c>
      <c r="I1231" t="s">
        <v>61</v>
      </c>
      <c r="J1231" t="s">
        <v>62</v>
      </c>
      <c r="K1231" t="s">
        <v>3098</v>
      </c>
      <c r="L1231" t="s">
        <v>98</v>
      </c>
      <c r="M1231" t="s">
        <v>25</v>
      </c>
      <c r="N1231" t="s">
        <v>66</v>
      </c>
      <c r="O1231" t="s">
        <v>67</v>
      </c>
      <c r="P1231" t="s">
        <v>76</v>
      </c>
      <c r="Q1231">
        <v>474</v>
      </c>
      <c r="R1231">
        <v>45.19</v>
      </c>
      <c r="S1231">
        <v>21420.06</v>
      </c>
      <c r="T1231">
        <v>16.66</v>
      </c>
      <c r="U1231">
        <v>13</v>
      </c>
      <c r="V1231">
        <v>4178</v>
      </c>
      <c r="W1231" t="s">
        <v>36</v>
      </c>
      <c r="X1231">
        <v>2305.91</v>
      </c>
    </row>
    <row r="1232" spans="1:24" x14ac:dyDescent="0.25">
      <c r="A1232" s="2">
        <v>101230</v>
      </c>
      <c r="B1232" s="1">
        <v>45801</v>
      </c>
      <c r="C1232" s="1">
        <v>45801</v>
      </c>
      <c r="D1232" s="1">
        <v>45811</v>
      </c>
      <c r="E1232" t="s">
        <v>3157</v>
      </c>
      <c r="F1232" t="s">
        <v>25</v>
      </c>
      <c r="G1232" t="s">
        <v>172</v>
      </c>
      <c r="H1232" t="s">
        <v>3158</v>
      </c>
      <c r="I1232" t="s">
        <v>72</v>
      </c>
      <c r="J1232" t="s">
        <v>42</v>
      </c>
      <c r="K1232" t="s">
        <v>731</v>
      </c>
      <c r="L1232" t="s">
        <v>118</v>
      </c>
      <c r="M1232" t="s">
        <v>54</v>
      </c>
      <c r="N1232" t="s">
        <v>107</v>
      </c>
      <c r="O1232" t="s">
        <v>108</v>
      </c>
      <c r="P1232" t="s">
        <v>123</v>
      </c>
      <c r="Q1232">
        <v>176</v>
      </c>
      <c r="R1232">
        <v>205.93</v>
      </c>
      <c r="S1232">
        <v>36243.68</v>
      </c>
      <c r="T1232">
        <v>14.97</v>
      </c>
      <c r="U1232">
        <v>10</v>
      </c>
      <c r="V1232">
        <v>959</v>
      </c>
      <c r="W1232" t="s">
        <v>36</v>
      </c>
      <c r="X1232">
        <v>5592.25</v>
      </c>
    </row>
    <row r="1233" spans="1:24" x14ac:dyDescent="0.25">
      <c r="A1233" s="2">
        <v>101231</v>
      </c>
      <c r="B1233" s="1">
        <v>45341</v>
      </c>
      <c r="C1233" s="1">
        <v>45342</v>
      </c>
      <c r="D1233" s="1">
        <v>45350</v>
      </c>
      <c r="E1233" t="s">
        <v>3159</v>
      </c>
      <c r="F1233" t="s">
        <v>32</v>
      </c>
      <c r="G1233" t="s">
        <v>273</v>
      </c>
      <c r="H1233" t="s">
        <v>3160</v>
      </c>
      <c r="I1233" t="s">
        <v>28</v>
      </c>
      <c r="J1233" t="s">
        <v>29</v>
      </c>
      <c r="K1233" t="s">
        <v>1377</v>
      </c>
      <c r="L1233" t="s">
        <v>122</v>
      </c>
      <c r="M1233" t="s">
        <v>32</v>
      </c>
      <c r="N1233" t="s">
        <v>92</v>
      </c>
      <c r="O1233" t="s">
        <v>93</v>
      </c>
      <c r="P1233" t="s">
        <v>123</v>
      </c>
      <c r="Q1233">
        <v>281</v>
      </c>
      <c r="R1233">
        <v>57.74</v>
      </c>
      <c r="S1233">
        <v>16224.94</v>
      </c>
      <c r="T1233">
        <v>12.98</v>
      </c>
      <c r="U1233">
        <v>8</v>
      </c>
      <c r="V1233">
        <v>3490</v>
      </c>
      <c r="W1233" t="s">
        <v>36</v>
      </c>
      <c r="X1233">
        <v>2210.56</v>
      </c>
    </row>
    <row r="1234" spans="1:24" x14ac:dyDescent="0.25">
      <c r="A1234" s="2">
        <v>101232</v>
      </c>
      <c r="B1234" s="1">
        <v>45962</v>
      </c>
      <c r="C1234" s="1">
        <v>45965</v>
      </c>
      <c r="D1234" s="1">
        <v>45983</v>
      </c>
      <c r="E1234" t="s">
        <v>3161</v>
      </c>
      <c r="F1234" t="s">
        <v>38</v>
      </c>
      <c r="G1234" t="s">
        <v>217</v>
      </c>
      <c r="H1234" t="s">
        <v>3162</v>
      </c>
      <c r="I1234" t="s">
        <v>79</v>
      </c>
      <c r="J1234" t="s">
        <v>80</v>
      </c>
      <c r="K1234" t="s">
        <v>2134</v>
      </c>
      <c r="L1234" t="s">
        <v>31</v>
      </c>
      <c r="M1234" t="s">
        <v>32</v>
      </c>
      <c r="N1234" t="s">
        <v>45</v>
      </c>
      <c r="O1234" t="s">
        <v>46</v>
      </c>
      <c r="P1234" t="s">
        <v>76</v>
      </c>
      <c r="Q1234">
        <v>489</v>
      </c>
      <c r="R1234">
        <v>280.55</v>
      </c>
      <c r="S1234">
        <v>137188.95000000001</v>
      </c>
      <c r="T1234">
        <v>16.93</v>
      </c>
      <c r="U1234">
        <v>18</v>
      </c>
      <c r="V1234">
        <v>1519</v>
      </c>
      <c r="W1234" t="s">
        <v>57</v>
      </c>
      <c r="X1234">
        <v>35716.769999999997</v>
      </c>
    </row>
    <row r="1235" spans="1:24" x14ac:dyDescent="0.25">
      <c r="A1235" s="2">
        <v>101233</v>
      </c>
      <c r="B1235" s="1">
        <v>45928</v>
      </c>
      <c r="C1235" s="1">
        <v>45931</v>
      </c>
      <c r="D1235" s="1">
        <v>45937</v>
      </c>
      <c r="E1235" t="s">
        <v>3163</v>
      </c>
      <c r="F1235" t="s">
        <v>32</v>
      </c>
      <c r="G1235" t="s">
        <v>180</v>
      </c>
      <c r="H1235" t="s">
        <v>3164</v>
      </c>
      <c r="I1235" t="s">
        <v>238</v>
      </c>
      <c r="J1235" t="s">
        <v>62</v>
      </c>
      <c r="K1235" t="s">
        <v>1522</v>
      </c>
      <c r="L1235" t="s">
        <v>91</v>
      </c>
      <c r="M1235" t="s">
        <v>54</v>
      </c>
      <c r="N1235" t="s">
        <v>55</v>
      </c>
      <c r="O1235" t="s">
        <v>56</v>
      </c>
      <c r="P1235" t="s">
        <v>35</v>
      </c>
      <c r="Q1235">
        <v>191</v>
      </c>
      <c r="R1235">
        <v>31.7</v>
      </c>
      <c r="S1235">
        <v>6054.7</v>
      </c>
      <c r="T1235">
        <v>17.89</v>
      </c>
      <c r="U1235">
        <v>6</v>
      </c>
      <c r="V1235">
        <v>3365</v>
      </c>
      <c r="W1235" t="s">
        <v>36</v>
      </c>
      <c r="X1235">
        <v>374.67</v>
      </c>
    </row>
    <row r="1236" spans="1:24" x14ac:dyDescent="0.25">
      <c r="A1236" s="2">
        <v>101234</v>
      </c>
      <c r="B1236" s="1">
        <v>45754</v>
      </c>
      <c r="C1236" s="1">
        <v>45756</v>
      </c>
      <c r="D1236" s="1">
        <v>45763</v>
      </c>
      <c r="E1236" t="s">
        <v>3165</v>
      </c>
      <c r="F1236" t="s">
        <v>32</v>
      </c>
      <c r="G1236" t="s">
        <v>364</v>
      </c>
      <c r="H1236" t="s">
        <v>3166</v>
      </c>
      <c r="I1236" t="s">
        <v>246</v>
      </c>
      <c r="J1236" t="s">
        <v>29</v>
      </c>
      <c r="K1236" t="s">
        <v>518</v>
      </c>
      <c r="L1236" t="s">
        <v>91</v>
      </c>
      <c r="M1236" t="s">
        <v>25</v>
      </c>
      <c r="N1236" t="s">
        <v>107</v>
      </c>
      <c r="O1236" t="s">
        <v>108</v>
      </c>
      <c r="P1236" t="s">
        <v>35</v>
      </c>
      <c r="Q1236">
        <v>17</v>
      </c>
      <c r="R1236">
        <v>60.34</v>
      </c>
      <c r="S1236">
        <v>1025.78</v>
      </c>
      <c r="T1236">
        <v>12.96</v>
      </c>
      <c r="U1236">
        <v>7</v>
      </c>
      <c r="V1236">
        <v>1763</v>
      </c>
      <c r="W1236" t="s">
        <v>36</v>
      </c>
      <c r="X1236">
        <v>255.32</v>
      </c>
    </row>
    <row r="1237" spans="1:24" x14ac:dyDescent="0.25">
      <c r="A1237" s="2">
        <v>101235</v>
      </c>
      <c r="B1237" s="1">
        <v>45379</v>
      </c>
      <c r="C1237" s="1">
        <v>45380</v>
      </c>
      <c r="D1237" s="1">
        <v>45385</v>
      </c>
      <c r="E1237" t="s">
        <v>3167</v>
      </c>
      <c r="F1237" t="s">
        <v>65</v>
      </c>
      <c r="G1237" t="s">
        <v>70</v>
      </c>
      <c r="H1237" t="s">
        <v>3168</v>
      </c>
      <c r="I1237" t="s">
        <v>85</v>
      </c>
      <c r="J1237" t="s">
        <v>52</v>
      </c>
      <c r="K1237" t="s">
        <v>745</v>
      </c>
      <c r="L1237" t="s">
        <v>113</v>
      </c>
      <c r="M1237" t="s">
        <v>54</v>
      </c>
      <c r="N1237" t="s">
        <v>33</v>
      </c>
      <c r="O1237" t="s">
        <v>34</v>
      </c>
      <c r="P1237" t="s">
        <v>35</v>
      </c>
      <c r="Q1237">
        <v>344</v>
      </c>
      <c r="R1237">
        <v>71.239999999999995</v>
      </c>
      <c r="S1237">
        <v>24506.560000000001</v>
      </c>
      <c r="T1237">
        <v>22.23</v>
      </c>
      <c r="U1237">
        <v>5</v>
      </c>
      <c r="V1237">
        <v>2077</v>
      </c>
      <c r="W1237" t="s">
        <v>57</v>
      </c>
      <c r="X1237">
        <v>4245.05</v>
      </c>
    </row>
    <row r="1238" spans="1:24" x14ac:dyDescent="0.25">
      <c r="A1238" s="2">
        <v>101236</v>
      </c>
      <c r="B1238" s="1">
        <v>45597</v>
      </c>
      <c r="C1238" s="1">
        <v>45600</v>
      </c>
      <c r="D1238" s="1">
        <v>45610</v>
      </c>
      <c r="E1238" t="s">
        <v>3169</v>
      </c>
      <c r="F1238" t="s">
        <v>25</v>
      </c>
      <c r="G1238" t="s">
        <v>169</v>
      </c>
      <c r="H1238" t="s">
        <v>3170</v>
      </c>
      <c r="I1238" t="s">
        <v>149</v>
      </c>
      <c r="J1238" t="s">
        <v>42</v>
      </c>
      <c r="K1238" t="s">
        <v>3171</v>
      </c>
      <c r="L1238" t="s">
        <v>187</v>
      </c>
      <c r="M1238" t="s">
        <v>25</v>
      </c>
      <c r="N1238" t="s">
        <v>45</v>
      </c>
      <c r="O1238" t="s">
        <v>46</v>
      </c>
      <c r="P1238" t="s">
        <v>35</v>
      </c>
      <c r="Q1238">
        <v>442</v>
      </c>
      <c r="R1238">
        <v>317.24</v>
      </c>
      <c r="S1238">
        <v>140220.07999999999</v>
      </c>
      <c r="T1238">
        <v>18.52</v>
      </c>
      <c r="U1238">
        <v>10</v>
      </c>
      <c r="V1238">
        <v>1621</v>
      </c>
      <c r="W1238" t="s">
        <v>36</v>
      </c>
      <c r="X1238">
        <v>16263.26</v>
      </c>
    </row>
    <row r="1239" spans="1:24" x14ac:dyDescent="0.25">
      <c r="A1239" s="2">
        <v>101237</v>
      </c>
      <c r="B1239" s="1">
        <v>45514</v>
      </c>
      <c r="C1239" s="1">
        <v>45517</v>
      </c>
      <c r="D1239" s="1">
        <v>45523</v>
      </c>
      <c r="E1239" t="s">
        <v>3172</v>
      </c>
      <c r="F1239" t="s">
        <v>54</v>
      </c>
      <c r="G1239" t="s">
        <v>225</v>
      </c>
      <c r="H1239" t="s">
        <v>3173</v>
      </c>
      <c r="I1239" t="s">
        <v>134</v>
      </c>
      <c r="J1239" t="s">
        <v>52</v>
      </c>
      <c r="K1239" t="s">
        <v>3021</v>
      </c>
      <c r="L1239" t="s">
        <v>113</v>
      </c>
      <c r="M1239" t="s">
        <v>54</v>
      </c>
      <c r="N1239" t="s">
        <v>74</v>
      </c>
      <c r="O1239" t="s">
        <v>75</v>
      </c>
      <c r="P1239" t="s">
        <v>35</v>
      </c>
      <c r="Q1239">
        <v>129</v>
      </c>
      <c r="R1239">
        <v>22.13</v>
      </c>
      <c r="S1239">
        <v>2854.77</v>
      </c>
      <c r="T1239">
        <v>11.95</v>
      </c>
      <c r="U1239">
        <v>6</v>
      </c>
      <c r="V1239">
        <v>1901</v>
      </c>
      <c r="W1239" t="s">
        <v>36</v>
      </c>
      <c r="X1239">
        <v>501.07</v>
      </c>
    </row>
    <row r="1240" spans="1:24" x14ac:dyDescent="0.25">
      <c r="A1240" s="2">
        <v>101238</v>
      </c>
      <c r="B1240" s="1">
        <v>45840</v>
      </c>
      <c r="C1240" s="1">
        <v>45840</v>
      </c>
      <c r="D1240" s="1">
        <v>45849</v>
      </c>
      <c r="E1240" t="s">
        <v>3174</v>
      </c>
      <c r="F1240" t="s">
        <v>65</v>
      </c>
      <c r="G1240" t="s">
        <v>154</v>
      </c>
      <c r="H1240" t="s">
        <v>3175</v>
      </c>
      <c r="I1240" t="s">
        <v>278</v>
      </c>
      <c r="J1240" t="s">
        <v>29</v>
      </c>
      <c r="K1240" t="s">
        <v>2761</v>
      </c>
      <c r="L1240" t="s">
        <v>31</v>
      </c>
      <c r="M1240" t="s">
        <v>65</v>
      </c>
      <c r="N1240" t="s">
        <v>203</v>
      </c>
      <c r="O1240" t="s">
        <v>204</v>
      </c>
      <c r="P1240" t="s">
        <v>123</v>
      </c>
      <c r="Q1240">
        <v>353</v>
      </c>
      <c r="R1240">
        <v>75.66</v>
      </c>
      <c r="S1240">
        <v>26707.98</v>
      </c>
      <c r="T1240">
        <v>14.27</v>
      </c>
      <c r="U1240">
        <v>9</v>
      </c>
      <c r="V1240">
        <v>2208</v>
      </c>
      <c r="W1240" t="s">
        <v>36</v>
      </c>
      <c r="X1240">
        <v>6585.92</v>
      </c>
    </row>
    <row r="1241" spans="1:24" x14ac:dyDescent="0.25">
      <c r="A1241" s="2">
        <v>101239</v>
      </c>
      <c r="B1241" s="1">
        <v>45835</v>
      </c>
      <c r="C1241" s="1">
        <v>45838</v>
      </c>
      <c r="D1241" s="1">
        <v>45848</v>
      </c>
      <c r="E1241" t="s">
        <v>3176</v>
      </c>
      <c r="F1241" t="s">
        <v>38</v>
      </c>
      <c r="G1241" t="s">
        <v>217</v>
      </c>
      <c r="H1241" t="s">
        <v>3177</v>
      </c>
      <c r="I1241" t="s">
        <v>278</v>
      </c>
      <c r="J1241" t="s">
        <v>29</v>
      </c>
      <c r="K1241" t="s">
        <v>167</v>
      </c>
      <c r="L1241" t="s">
        <v>44</v>
      </c>
      <c r="M1241" t="s">
        <v>25</v>
      </c>
      <c r="N1241" t="s">
        <v>92</v>
      </c>
      <c r="O1241" t="s">
        <v>93</v>
      </c>
      <c r="P1241" t="s">
        <v>123</v>
      </c>
      <c r="Q1241">
        <v>49</v>
      </c>
      <c r="R1241">
        <v>13.48</v>
      </c>
      <c r="S1241">
        <v>660.52</v>
      </c>
      <c r="T1241">
        <v>11.88</v>
      </c>
      <c r="U1241">
        <v>10</v>
      </c>
      <c r="V1241">
        <v>2309</v>
      </c>
      <c r="W1241" t="s">
        <v>36</v>
      </c>
      <c r="X1241">
        <v>94.29</v>
      </c>
    </row>
    <row r="1242" spans="1:24" x14ac:dyDescent="0.25">
      <c r="A1242" s="2">
        <v>101240</v>
      </c>
      <c r="B1242" s="1">
        <v>45549</v>
      </c>
      <c r="C1242" s="1">
        <v>45554</v>
      </c>
      <c r="D1242" s="1">
        <v>45567</v>
      </c>
      <c r="E1242" t="s">
        <v>3178</v>
      </c>
      <c r="F1242" t="s">
        <v>32</v>
      </c>
      <c r="G1242" t="s">
        <v>364</v>
      </c>
      <c r="H1242" t="s">
        <v>3179</v>
      </c>
      <c r="I1242" t="s">
        <v>198</v>
      </c>
      <c r="J1242" t="s">
        <v>52</v>
      </c>
      <c r="K1242" t="s">
        <v>2455</v>
      </c>
      <c r="L1242" t="s">
        <v>118</v>
      </c>
      <c r="M1242" t="s">
        <v>65</v>
      </c>
      <c r="N1242" t="s">
        <v>45</v>
      </c>
      <c r="O1242" t="s">
        <v>46</v>
      </c>
      <c r="P1242" t="s">
        <v>123</v>
      </c>
      <c r="Q1242">
        <v>98</v>
      </c>
      <c r="R1242">
        <v>14.46</v>
      </c>
      <c r="S1242">
        <v>1417.08</v>
      </c>
      <c r="T1242">
        <v>13.07</v>
      </c>
      <c r="U1242">
        <v>13</v>
      </c>
      <c r="V1242">
        <v>437</v>
      </c>
      <c r="W1242" t="s">
        <v>36</v>
      </c>
      <c r="X1242">
        <v>233.47</v>
      </c>
    </row>
    <row r="1243" spans="1:24" x14ac:dyDescent="0.25">
      <c r="A1243" s="2">
        <v>101241</v>
      </c>
      <c r="B1243" s="1">
        <v>45760</v>
      </c>
      <c r="C1243" s="1">
        <v>45764</v>
      </c>
      <c r="D1243" s="1">
        <v>45767</v>
      </c>
      <c r="E1243" t="s">
        <v>1188</v>
      </c>
      <c r="F1243" t="s">
        <v>54</v>
      </c>
      <c r="G1243" t="s">
        <v>225</v>
      </c>
      <c r="H1243" t="s">
        <v>3180</v>
      </c>
      <c r="I1243" t="s">
        <v>79</v>
      </c>
      <c r="J1243" t="s">
        <v>80</v>
      </c>
      <c r="K1243" t="s">
        <v>3181</v>
      </c>
      <c r="L1243" t="s">
        <v>91</v>
      </c>
      <c r="M1243" t="s">
        <v>32</v>
      </c>
      <c r="N1243" t="s">
        <v>151</v>
      </c>
      <c r="O1243" t="s">
        <v>152</v>
      </c>
      <c r="P1243" t="s">
        <v>68</v>
      </c>
      <c r="Q1243">
        <v>147</v>
      </c>
      <c r="R1243">
        <v>212.66</v>
      </c>
      <c r="S1243">
        <v>31261.02</v>
      </c>
      <c r="T1243">
        <v>38.04</v>
      </c>
      <c r="U1243">
        <v>3</v>
      </c>
      <c r="V1243">
        <v>1674</v>
      </c>
      <c r="W1243" t="s">
        <v>36</v>
      </c>
      <c r="X1243">
        <v>4210.7700000000004</v>
      </c>
    </row>
    <row r="1244" spans="1:24" x14ac:dyDescent="0.25">
      <c r="A1244" s="2">
        <v>101242</v>
      </c>
      <c r="B1244" s="1">
        <v>45352</v>
      </c>
      <c r="C1244" s="1">
        <v>45355</v>
      </c>
      <c r="D1244" s="1">
        <v>45359</v>
      </c>
      <c r="E1244" t="s">
        <v>3182</v>
      </c>
      <c r="F1244" t="s">
        <v>25</v>
      </c>
      <c r="G1244" t="s">
        <v>26</v>
      </c>
      <c r="H1244" t="s">
        <v>3183</v>
      </c>
      <c r="I1244" t="s">
        <v>246</v>
      </c>
      <c r="J1244" t="s">
        <v>29</v>
      </c>
      <c r="K1244" t="s">
        <v>2919</v>
      </c>
      <c r="L1244" t="s">
        <v>64</v>
      </c>
      <c r="M1244" t="s">
        <v>54</v>
      </c>
      <c r="N1244" t="s">
        <v>45</v>
      </c>
      <c r="O1244" t="s">
        <v>46</v>
      </c>
      <c r="P1244" t="s">
        <v>68</v>
      </c>
      <c r="Q1244">
        <v>241</v>
      </c>
      <c r="R1244">
        <v>119.54</v>
      </c>
      <c r="S1244">
        <v>28809.14</v>
      </c>
      <c r="T1244">
        <v>44.13</v>
      </c>
      <c r="U1244">
        <v>4</v>
      </c>
      <c r="V1244">
        <v>2891</v>
      </c>
      <c r="W1244" t="s">
        <v>36</v>
      </c>
      <c r="X1244">
        <v>3469.93</v>
      </c>
    </row>
    <row r="1245" spans="1:24" x14ac:dyDescent="0.25">
      <c r="A1245" s="2">
        <v>101243</v>
      </c>
      <c r="B1245" s="1">
        <v>46014</v>
      </c>
      <c r="C1245" s="1">
        <v>46016</v>
      </c>
      <c r="D1245" s="1">
        <v>46021</v>
      </c>
      <c r="E1245" t="s">
        <v>3184</v>
      </c>
      <c r="F1245" t="s">
        <v>54</v>
      </c>
      <c r="G1245" t="s">
        <v>225</v>
      </c>
      <c r="H1245" t="s">
        <v>3185</v>
      </c>
      <c r="I1245" t="s">
        <v>139</v>
      </c>
      <c r="J1245" t="s">
        <v>42</v>
      </c>
      <c r="K1245" t="s">
        <v>3186</v>
      </c>
      <c r="L1245" t="s">
        <v>91</v>
      </c>
      <c r="M1245" t="s">
        <v>54</v>
      </c>
      <c r="N1245" t="s">
        <v>33</v>
      </c>
      <c r="O1245" t="s">
        <v>34</v>
      </c>
      <c r="P1245" t="s">
        <v>123</v>
      </c>
      <c r="Q1245">
        <v>278</v>
      </c>
      <c r="R1245">
        <v>156.97999999999999</v>
      </c>
      <c r="S1245">
        <v>43640.44</v>
      </c>
      <c r="T1245">
        <v>12.92</v>
      </c>
      <c r="U1245">
        <v>5</v>
      </c>
      <c r="V1245">
        <v>433</v>
      </c>
      <c r="W1245" t="s">
        <v>36</v>
      </c>
      <c r="X1245">
        <v>5923.09</v>
      </c>
    </row>
    <row r="1246" spans="1:24" x14ac:dyDescent="0.25">
      <c r="A1246" s="2">
        <v>101244</v>
      </c>
      <c r="B1246" s="1">
        <v>45523</v>
      </c>
      <c r="C1246" s="1">
        <v>45525</v>
      </c>
      <c r="D1246" s="1">
        <v>45529</v>
      </c>
      <c r="E1246" t="s">
        <v>3187</v>
      </c>
      <c r="F1246" t="s">
        <v>65</v>
      </c>
      <c r="G1246" t="s">
        <v>142</v>
      </c>
      <c r="H1246" t="s">
        <v>3188</v>
      </c>
      <c r="I1246" t="s">
        <v>191</v>
      </c>
      <c r="J1246" t="s">
        <v>62</v>
      </c>
      <c r="K1246" t="s">
        <v>1837</v>
      </c>
      <c r="L1246" t="s">
        <v>118</v>
      </c>
      <c r="M1246" t="s">
        <v>38</v>
      </c>
      <c r="N1246" t="s">
        <v>102</v>
      </c>
      <c r="O1246" t="s">
        <v>103</v>
      </c>
      <c r="P1246" t="s">
        <v>123</v>
      </c>
      <c r="Q1246">
        <v>312</v>
      </c>
      <c r="R1246">
        <v>21.76</v>
      </c>
      <c r="S1246">
        <v>6789.12</v>
      </c>
      <c r="T1246">
        <v>18.27</v>
      </c>
      <c r="U1246">
        <v>4</v>
      </c>
      <c r="V1246">
        <v>2944</v>
      </c>
      <c r="W1246" t="s">
        <v>36</v>
      </c>
      <c r="X1246">
        <v>804.62</v>
      </c>
    </row>
    <row r="1247" spans="1:24" x14ac:dyDescent="0.25">
      <c r="A1247" s="2">
        <v>101245</v>
      </c>
      <c r="B1247" s="1">
        <v>45619</v>
      </c>
      <c r="C1247" s="1">
        <v>45620</v>
      </c>
      <c r="D1247" s="1">
        <v>45630</v>
      </c>
      <c r="E1247" t="s">
        <v>3189</v>
      </c>
      <c r="F1247" t="s">
        <v>32</v>
      </c>
      <c r="G1247" t="s">
        <v>137</v>
      </c>
      <c r="H1247" t="s">
        <v>3190</v>
      </c>
      <c r="I1247" t="s">
        <v>139</v>
      </c>
      <c r="J1247" t="s">
        <v>42</v>
      </c>
      <c r="K1247" t="s">
        <v>1880</v>
      </c>
      <c r="L1247" t="s">
        <v>118</v>
      </c>
      <c r="M1247" t="s">
        <v>54</v>
      </c>
      <c r="N1247" t="s">
        <v>66</v>
      </c>
      <c r="O1247" t="s">
        <v>67</v>
      </c>
      <c r="P1247" t="s">
        <v>35</v>
      </c>
      <c r="Q1247">
        <v>222</v>
      </c>
      <c r="R1247">
        <v>392.23</v>
      </c>
      <c r="S1247">
        <v>87075.06</v>
      </c>
      <c r="T1247">
        <v>18.77</v>
      </c>
      <c r="U1247">
        <v>10</v>
      </c>
      <c r="V1247">
        <v>206</v>
      </c>
      <c r="W1247" t="s">
        <v>36</v>
      </c>
      <c r="X1247">
        <v>9566.6200000000008</v>
      </c>
    </row>
    <row r="1248" spans="1:24" x14ac:dyDescent="0.25">
      <c r="A1248" s="2">
        <v>101246</v>
      </c>
      <c r="B1248" s="1">
        <v>45710</v>
      </c>
      <c r="C1248" s="1">
        <v>45711</v>
      </c>
      <c r="D1248" s="1">
        <v>45720</v>
      </c>
      <c r="E1248" t="s">
        <v>3191</v>
      </c>
      <c r="F1248" t="s">
        <v>25</v>
      </c>
      <c r="G1248" t="s">
        <v>233</v>
      </c>
      <c r="H1248" t="s">
        <v>3192</v>
      </c>
      <c r="I1248" t="s">
        <v>85</v>
      </c>
      <c r="J1248" t="s">
        <v>52</v>
      </c>
      <c r="K1248" t="s">
        <v>2227</v>
      </c>
      <c r="L1248" t="s">
        <v>31</v>
      </c>
      <c r="M1248" t="s">
        <v>32</v>
      </c>
      <c r="N1248" t="s">
        <v>66</v>
      </c>
      <c r="O1248" t="s">
        <v>67</v>
      </c>
      <c r="P1248" t="s">
        <v>123</v>
      </c>
      <c r="Q1248">
        <v>11</v>
      </c>
      <c r="R1248">
        <v>87.82</v>
      </c>
      <c r="S1248">
        <v>966.02</v>
      </c>
      <c r="T1248">
        <v>10.96</v>
      </c>
      <c r="U1248">
        <v>9</v>
      </c>
      <c r="V1248">
        <v>3414</v>
      </c>
      <c r="W1248" t="s">
        <v>36</v>
      </c>
      <c r="X1248">
        <v>127.05</v>
      </c>
    </row>
    <row r="1249" spans="1:24" x14ac:dyDescent="0.25">
      <c r="A1249" s="2">
        <v>101247</v>
      </c>
      <c r="B1249" s="1">
        <v>45983</v>
      </c>
      <c r="C1249" s="1">
        <v>45985</v>
      </c>
      <c r="D1249" s="1">
        <v>45991</v>
      </c>
      <c r="E1249" t="s">
        <v>3193</v>
      </c>
      <c r="F1249" t="s">
        <v>25</v>
      </c>
      <c r="G1249" t="s">
        <v>233</v>
      </c>
      <c r="H1249" t="s">
        <v>3194</v>
      </c>
      <c r="I1249" t="s">
        <v>126</v>
      </c>
      <c r="J1249" t="s">
        <v>42</v>
      </c>
      <c r="K1249" t="s">
        <v>535</v>
      </c>
      <c r="L1249" t="s">
        <v>64</v>
      </c>
      <c r="M1249" t="s">
        <v>54</v>
      </c>
      <c r="N1249" t="s">
        <v>107</v>
      </c>
      <c r="O1249" t="s">
        <v>108</v>
      </c>
      <c r="P1249" t="s">
        <v>35</v>
      </c>
      <c r="Q1249">
        <v>46</v>
      </c>
      <c r="R1249">
        <v>188.04</v>
      </c>
      <c r="S1249">
        <v>8649.84</v>
      </c>
      <c r="T1249">
        <v>13.78</v>
      </c>
      <c r="U1249">
        <v>6</v>
      </c>
      <c r="V1249">
        <v>237</v>
      </c>
      <c r="W1249" t="s">
        <v>36</v>
      </c>
      <c r="X1249">
        <v>765.28</v>
      </c>
    </row>
    <row r="1250" spans="1:24" x14ac:dyDescent="0.25">
      <c r="A1250" s="2">
        <v>101248</v>
      </c>
      <c r="B1250" s="1">
        <v>45552</v>
      </c>
      <c r="C1250" s="1">
        <v>45552</v>
      </c>
      <c r="D1250" s="1">
        <v>45571</v>
      </c>
      <c r="E1250" t="s">
        <v>3195</v>
      </c>
      <c r="F1250" t="s">
        <v>65</v>
      </c>
      <c r="G1250" t="s">
        <v>142</v>
      </c>
      <c r="H1250" t="s">
        <v>3196</v>
      </c>
      <c r="I1250" t="s">
        <v>416</v>
      </c>
      <c r="J1250" t="s">
        <v>80</v>
      </c>
      <c r="K1250" t="s">
        <v>745</v>
      </c>
      <c r="L1250" t="s">
        <v>122</v>
      </c>
      <c r="M1250" t="s">
        <v>38</v>
      </c>
      <c r="N1250" t="s">
        <v>92</v>
      </c>
      <c r="O1250" t="s">
        <v>93</v>
      </c>
      <c r="P1250" t="s">
        <v>76</v>
      </c>
      <c r="Q1250">
        <v>265</v>
      </c>
      <c r="R1250">
        <v>272.05</v>
      </c>
      <c r="S1250">
        <v>72093.25</v>
      </c>
      <c r="T1250">
        <v>12.85</v>
      </c>
      <c r="U1250">
        <v>19</v>
      </c>
      <c r="V1250">
        <v>1866</v>
      </c>
      <c r="W1250" t="s">
        <v>36</v>
      </c>
      <c r="X1250">
        <v>18698.060000000001</v>
      </c>
    </row>
    <row r="1251" spans="1:24" x14ac:dyDescent="0.25">
      <c r="A1251" s="2">
        <v>101249</v>
      </c>
      <c r="B1251" s="1">
        <v>45658</v>
      </c>
      <c r="C1251" s="1">
        <v>45658</v>
      </c>
      <c r="D1251" s="1">
        <v>45660</v>
      </c>
      <c r="E1251" t="s">
        <v>3197</v>
      </c>
      <c r="F1251" t="s">
        <v>65</v>
      </c>
      <c r="G1251" t="s">
        <v>70</v>
      </c>
      <c r="H1251" t="s">
        <v>3198</v>
      </c>
      <c r="I1251" t="s">
        <v>144</v>
      </c>
      <c r="J1251" t="s">
        <v>52</v>
      </c>
      <c r="K1251" t="s">
        <v>2705</v>
      </c>
      <c r="L1251" t="s">
        <v>44</v>
      </c>
      <c r="M1251" t="s">
        <v>65</v>
      </c>
      <c r="N1251" t="s">
        <v>203</v>
      </c>
      <c r="O1251" t="s">
        <v>204</v>
      </c>
      <c r="P1251" t="s">
        <v>35</v>
      </c>
      <c r="Q1251">
        <v>203</v>
      </c>
      <c r="R1251">
        <v>78.430000000000007</v>
      </c>
      <c r="S1251">
        <v>15921.29</v>
      </c>
      <c r="T1251">
        <v>13.5</v>
      </c>
      <c r="U1251">
        <v>2</v>
      </c>
      <c r="V1251">
        <v>1960</v>
      </c>
      <c r="W1251" t="s">
        <v>36</v>
      </c>
      <c r="X1251">
        <v>2387.81</v>
      </c>
    </row>
    <row r="1252" spans="1:24" x14ac:dyDescent="0.25">
      <c r="A1252" s="2">
        <v>101250</v>
      </c>
      <c r="B1252" s="1">
        <v>45543</v>
      </c>
      <c r="C1252" s="1">
        <v>45545</v>
      </c>
      <c r="D1252" s="1">
        <v>45554</v>
      </c>
      <c r="E1252" t="s">
        <v>3199</v>
      </c>
      <c r="F1252" t="s">
        <v>38</v>
      </c>
      <c r="G1252" t="s">
        <v>39</v>
      </c>
      <c r="H1252" t="s">
        <v>3200</v>
      </c>
      <c r="I1252" t="s">
        <v>191</v>
      </c>
      <c r="J1252" t="s">
        <v>62</v>
      </c>
      <c r="K1252" t="s">
        <v>2717</v>
      </c>
      <c r="L1252" t="s">
        <v>98</v>
      </c>
      <c r="M1252" t="s">
        <v>25</v>
      </c>
      <c r="N1252" t="s">
        <v>107</v>
      </c>
      <c r="O1252" t="s">
        <v>108</v>
      </c>
      <c r="P1252" t="s">
        <v>123</v>
      </c>
      <c r="Q1252">
        <v>22</v>
      </c>
      <c r="R1252">
        <v>25.95</v>
      </c>
      <c r="S1252">
        <v>570.9</v>
      </c>
      <c r="T1252">
        <v>11.23</v>
      </c>
      <c r="U1252">
        <v>9</v>
      </c>
      <c r="V1252">
        <v>3126</v>
      </c>
      <c r="W1252" t="s">
        <v>36</v>
      </c>
      <c r="X1252">
        <v>52.52</v>
      </c>
    </row>
    <row r="1253" spans="1:24" x14ac:dyDescent="0.25">
      <c r="A1253" s="2">
        <v>101251</v>
      </c>
      <c r="B1253" s="1">
        <v>45388</v>
      </c>
      <c r="C1253" s="1">
        <v>45390</v>
      </c>
      <c r="D1253" s="1">
        <v>45392</v>
      </c>
      <c r="E1253" t="s">
        <v>3201</v>
      </c>
      <c r="F1253" t="s">
        <v>25</v>
      </c>
      <c r="G1253" t="s">
        <v>172</v>
      </c>
      <c r="H1253" t="s">
        <v>3202</v>
      </c>
      <c r="I1253" t="s">
        <v>368</v>
      </c>
      <c r="J1253" t="s">
        <v>29</v>
      </c>
      <c r="K1253" t="s">
        <v>247</v>
      </c>
      <c r="L1253" t="s">
        <v>31</v>
      </c>
      <c r="M1253" t="s">
        <v>25</v>
      </c>
      <c r="N1253" t="s">
        <v>55</v>
      </c>
      <c r="O1253" t="s">
        <v>56</v>
      </c>
      <c r="P1253" t="s">
        <v>35</v>
      </c>
      <c r="Q1253">
        <v>434</v>
      </c>
      <c r="R1253">
        <v>111.15</v>
      </c>
      <c r="S1253">
        <v>48239.1</v>
      </c>
      <c r="T1253">
        <v>18.350000000000001</v>
      </c>
      <c r="U1253">
        <v>2</v>
      </c>
      <c r="V1253">
        <v>964</v>
      </c>
      <c r="W1253" t="s">
        <v>36</v>
      </c>
      <c r="X1253">
        <v>7554.11</v>
      </c>
    </row>
    <row r="1254" spans="1:24" x14ac:dyDescent="0.25">
      <c r="A1254" s="2">
        <v>101252</v>
      </c>
      <c r="B1254" s="1">
        <v>46011</v>
      </c>
      <c r="C1254" s="1">
        <v>46013</v>
      </c>
      <c r="D1254" s="1">
        <v>46018</v>
      </c>
      <c r="E1254" t="s">
        <v>3203</v>
      </c>
      <c r="F1254" t="s">
        <v>32</v>
      </c>
      <c r="G1254" t="s">
        <v>180</v>
      </c>
      <c r="H1254" t="s">
        <v>3204</v>
      </c>
      <c r="I1254" t="s">
        <v>177</v>
      </c>
      <c r="J1254" t="s">
        <v>29</v>
      </c>
      <c r="K1254" t="s">
        <v>565</v>
      </c>
      <c r="L1254" t="s">
        <v>212</v>
      </c>
      <c r="M1254" t="s">
        <v>25</v>
      </c>
      <c r="N1254" t="s">
        <v>107</v>
      </c>
      <c r="O1254" t="s">
        <v>108</v>
      </c>
      <c r="P1254" t="s">
        <v>68</v>
      </c>
      <c r="Q1254">
        <v>289</v>
      </c>
      <c r="R1254">
        <v>72.17</v>
      </c>
      <c r="S1254">
        <v>20857.13</v>
      </c>
      <c r="T1254">
        <v>47.24</v>
      </c>
      <c r="U1254">
        <v>5</v>
      </c>
      <c r="V1254">
        <v>2198</v>
      </c>
      <c r="W1254" t="s">
        <v>36</v>
      </c>
      <c r="X1254">
        <v>6141.74</v>
      </c>
    </row>
    <row r="1255" spans="1:24" x14ac:dyDescent="0.25">
      <c r="A1255" s="2">
        <v>101253</v>
      </c>
      <c r="B1255" s="1">
        <v>45335</v>
      </c>
      <c r="C1255" s="1">
        <v>45340</v>
      </c>
      <c r="D1255" s="1">
        <v>45348</v>
      </c>
      <c r="E1255" t="s">
        <v>3205</v>
      </c>
      <c r="F1255" t="s">
        <v>38</v>
      </c>
      <c r="G1255" t="s">
        <v>147</v>
      </c>
      <c r="H1255" t="s">
        <v>3206</v>
      </c>
      <c r="I1255" t="s">
        <v>61</v>
      </c>
      <c r="J1255" t="s">
        <v>62</v>
      </c>
      <c r="K1255" t="s">
        <v>1885</v>
      </c>
      <c r="L1255" t="s">
        <v>91</v>
      </c>
      <c r="M1255" t="s">
        <v>65</v>
      </c>
      <c r="N1255" t="s">
        <v>74</v>
      </c>
      <c r="O1255" t="s">
        <v>75</v>
      </c>
      <c r="P1255" t="s">
        <v>35</v>
      </c>
      <c r="Q1255">
        <v>243</v>
      </c>
      <c r="R1255">
        <v>39.14</v>
      </c>
      <c r="S1255">
        <v>9511.02</v>
      </c>
      <c r="T1255">
        <v>19.36</v>
      </c>
      <c r="U1255">
        <v>8</v>
      </c>
      <c r="V1255">
        <v>660</v>
      </c>
      <c r="W1255" t="s">
        <v>36</v>
      </c>
      <c r="X1255">
        <v>886.18</v>
      </c>
    </row>
    <row r="1256" spans="1:24" x14ac:dyDescent="0.25">
      <c r="A1256" s="2">
        <v>101254</v>
      </c>
      <c r="B1256" s="1">
        <v>45780</v>
      </c>
      <c r="C1256" s="1">
        <v>45780</v>
      </c>
      <c r="D1256" s="1">
        <v>45795</v>
      </c>
      <c r="E1256" t="s">
        <v>3207</v>
      </c>
      <c r="F1256" t="s">
        <v>38</v>
      </c>
      <c r="G1256" t="s">
        <v>147</v>
      </c>
      <c r="H1256" t="s">
        <v>3208</v>
      </c>
      <c r="I1256" t="s">
        <v>85</v>
      </c>
      <c r="J1256" t="s">
        <v>52</v>
      </c>
      <c r="K1256" t="s">
        <v>1890</v>
      </c>
      <c r="L1256" t="s">
        <v>44</v>
      </c>
      <c r="M1256" t="s">
        <v>54</v>
      </c>
      <c r="N1256" t="s">
        <v>151</v>
      </c>
      <c r="O1256" t="s">
        <v>152</v>
      </c>
      <c r="P1256" t="s">
        <v>76</v>
      </c>
      <c r="Q1256">
        <v>431</v>
      </c>
      <c r="R1256">
        <v>36.01</v>
      </c>
      <c r="S1256">
        <v>15520.31</v>
      </c>
      <c r="T1256">
        <v>15.87</v>
      </c>
      <c r="U1256">
        <v>15</v>
      </c>
      <c r="V1256">
        <v>591</v>
      </c>
      <c r="W1256" t="s">
        <v>36</v>
      </c>
      <c r="X1256">
        <v>1334.03</v>
      </c>
    </row>
    <row r="1257" spans="1:24" x14ac:dyDescent="0.25">
      <c r="A1257" s="2">
        <v>101255</v>
      </c>
      <c r="B1257" s="1">
        <v>45430</v>
      </c>
      <c r="C1257" s="1">
        <v>45431</v>
      </c>
      <c r="D1257" s="1">
        <v>45439</v>
      </c>
      <c r="E1257" t="s">
        <v>94</v>
      </c>
      <c r="F1257" t="s">
        <v>65</v>
      </c>
      <c r="G1257" t="s">
        <v>70</v>
      </c>
      <c r="H1257" t="s">
        <v>3209</v>
      </c>
      <c r="I1257" t="s">
        <v>28</v>
      </c>
      <c r="J1257" t="s">
        <v>29</v>
      </c>
      <c r="K1257" t="s">
        <v>1228</v>
      </c>
      <c r="L1257" t="s">
        <v>113</v>
      </c>
      <c r="M1257" t="s">
        <v>54</v>
      </c>
      <c r="N1257" t="s">
        <v>66</v>
      </c>
      <c r="O1257" t="s">
        <v>67</v>
      </c>
      <c r="P1257" t="s">
        <v>123</v>
      </c>
      <c r="Q1257">
        <v>499</v>
      </c>
      <c r="R1257">
        <v>104.52</v>
      </c>
      <c r="S1257">
        <v>52155.48</v>
      </c>
      <c r="T1257">
        <v>22.82</v>
      </c>
      <c r="U1257">
        <v>8</v>
      </c>
      <c r="V1257">
        <v>3355</v>
      </c>
      <c r="W1257" t="s">
        <v>36</v>
      </c>
      <c r="X1257">
        <v>15569.1</v>
      </c>
    </row>
    <row r="1258" spans="1:24" x14ac:dyDescent="0.25">
      <c r="A1258" s="2">
        <v>101256</v>
      </c>
      <c r="B1258" s="1">
        <v>45895</v>
      </c>
      <c r="C1258" s="1">
        <v>45897</v>
      </c>
      <c r="D1258" s="1">
        <v>45900</v>
      </c>
      <c r="E1258" t="s">
        <v>3210</v>
      </c>
      <c r="F1258" t="s">
        <v>32</v>
      </c>
      <c r="G1258" t="s">
        <v>255</v>
      </c>
      <c r="H1258" t="s">
        <v>3211</v>
      </c>
      <c r="I1258" t="s">
        <v>149</v>
      </c>
      <c r="J1258" t="s">
        <v>42</v>
      </c>
      <c r="K1258" t="s">
        <v>1576</v>
      </c>
      <c r="L1258" t="s">
        <v>64</v>
      </c>
      <c r="M1258" t="s">
        <v>65</v>
      </c>
      <c r="N1258" t="s">
        <v>102</v>
      </c>
      <c r="O1258" t="s">
        <v>103</v>
      </c>
      <c r="P1258" t="s">
        <v>68</v>
      </c>
      <c r="Q1258">
        <v>102</v>
      </c>
      <c r="R1258">
        <v>132.77000000000001</v>
      </c>
      <c r="S1258">
        <v>13542.54</v>
      </c>
      <c r="T1258">
        <v>35.119999999999997</v>
      </c>
      <c r="U1258">
        <v>3</v>
      </c>
      <c r="V1258">
        <v>921</v>
      </c>
      <c r="W1258" t="s">
        <v>36</v>
      </c>
      <c r="X1258">
        <v>1217.05</v>
      </c>
    </row>
    <row r="1259" spans="1:24" x14ac:dyDescent="0.25">
      <c r="A1259" s="2">
        <v>101257</v>
      </c>
      <c r="B1259" s="1">
        <v>45862</v>
      </c>
      <c r="C1259" s="1">
        <v>45867</v>
      </c>
      <c r="D1259" s="1">
        <v>45875</v>
      </c>
      <c r="E1259" t="s">
        <v>3212</v>
      </c>
      <c r="F1259" t="s">
        <v>65</v>
      </c>
      <c r="G1259" t="s">
        <v>142</v>
      </c>
      <c r="H1259" t="s">
        <v>872</v>
      </c>
      <c r="I1259" t="s">
        <v>51</v>
      </c>
      <c r="J1259" t="s">
        <v>52</v>
      </c>
      <c r="K1259" t="s">
        <v>3213</v>
      </c>
      <c r="L1259" t="s">
        <v>31</v>
      </c>
      <c r="M1259" t="s">
        <v>54</v>
      </c>
      <c r="N1259" t="s">
        <v>107</v>
      </c>
      <c r="O1259" t="s">
        <v>108</v>
      </c>
      <c r="P1259" t="s">
        <v>35</v>
      </c>
      <c r="Q1259">
        <v>277</v>
      </c>
      <c r="R1259">
        <v>65.22</v>
      </c>
      <c r="S1259">
        <v>18065.939999999999</v>
      </c>
      <c r="T1259">
        <v>20.329999999999998</v>
      </c>
      <c r="U1259">
        <v>8</v>
      </c>
      <c r="V1259">
        <v>3254</v>
      </c>
      <c r="W1259" t="s">
        <v>36</v>
      </c>
      <c r="X1259">
        <v>3070.64</v>
      </c>
    </row>
    <row r="1260" spans="1:24" x14ac:dyDescent="0.25">
      <c r="A1260" s="2">
        <v>101258</v>
      </c>
      <c r="B1260" s="1">
        <v>45454</v>
      </c>
      <c r="C1260" s="1">
        <v>45457</v>
      </c>
      <c r="D1260" s="1">
        <v>45463</v>
      </c>
      <c r="E1260" t="s">
        <v>3214</v>
      </c>
      <c r="F1260" t="s">
        <v>25</v>
      </c>
      <c r="G1260" t="s">
        <v>59</v>
      </c>
      <c r="H1260" t="s">
        <v>3215</v>
      </c>
      <c r="I1260" t="s">
        <v>28</v>
      </c>
      <c r="J1260" t="s">
        <v>29</v>
      </c>
      <c r="K1260" t="s">
        <v>844</v>
      </c>
      <c r="L1260" t="s">
        <v>31</v>
      </c>
      <c r="M1260" t="s">
        <v>32</v>
      </c>
      <c r="N1260" t="s">
        <v>151</v>
      </c>
      <c r="O1260" t="s">
        <v>152</v>
      </c>
      <c r="P1260" t="s">
        <v>123</v>
      </c>
      <c r="Q1260">
        <v>324</v>
      </c>
      <c r="R1260">
        <v>82.15</v>
      </c>
      <c r="S1260">
        <v>26616.6</v>
      </c>
      <c r="T1260">
        <v>18.57</v>
      </c>
      <c r="U1260">
        <v>6</v>
      </c>
      <c r="V1260">
        <v>326</v>
      </c>
      <c r="W1260" t="s">
        <v>36</v>
      </c>
      <c r="X1260">
        <v>6194.2</v>
      </c>
    </row>
    <row r="1261" spans="1:24" x14ac:dyDescent="0.25">
      <c r="A1261" s="2">
        <v>101259</v>
      </c>
      <c r="B1261" s="1">
        <v>45888</v>
      </c>
      <c r="C1261" s="1">
        <v>45893</v>
      </c>
      <c r="D1261" s="1">
        <v>45914</v>
      </c>
      <c r="E1261" t="s">
        <v>3216</v>
      </c>
      <c r="F1261" t="s">
        <v>54</v>
      </c>
      <c r="G1261" t="s">
        <v>129</v>
      </c>
      <c r="H1261" t="s">
        <v>3217</v>
      </c>
      <c r="I1261" t="s">
        <v>28</v>
      </c>
      <c r="J1261" t="s">
        <v>29</v>
      </c>
      <c r="K1261" t="s">
        <v>3218</v>
      </c>
      <c r="L1261" t="s">
        <v>187</v>
      </c>
      <c r="M1261" t="s">
        <v>38</v>
      </c>
      <c r="N1261" t="s">
        <v>203</v>
      </c>
      <c r="O1261" t="s">
        <v>204</v>
      </c>
      <c r="P1261" t="s">
        <v>76</v>
      </c>
      <c r="Q1261">
        <v>357</v>
      </c>
      <c r="R1261">
        <v>80.260000000000005</v>
      </c>
      <c r="S1261">
        <v>28652.82</v>
      </c>
      <c r="T1261">
        <v>14.53</v>
      </c>
      <c r="U1261">
        <v>21</v>
      </c>
      <c r="V1261">
        <v>2989</v>
      </c>
      <c r="W1261" t="s">
        <v>47</v>
      </c>
      <c r="X1261">
        <v>-221.74</v>
      </c>
    </row>
    <row r="1262" spans="1:24" x14ac:dyDescent="0.25">
      <c r="A1262" s="2">
        <v>101260</v>
      </c>
      <c r="B1262" s="1">
        <v>45491</v>
      </c>
      <c r="C1262" s="1">
        <v>45495</v>
      </c>
      <c r="D1262" s="1">
        <v>45500</v>
      </c>
      <c r="E1262" t="s">
        <v>3219</v>
      </c>
      <c r="F1262" t="s">
        <v>54</v>
      </c>
      <c r="G1262" t="s">
        <v>129</v>
      </c>
      <c r="H1262" t="s">
        <v>2513</v>
      </c>
      <c r="I1262" t="s">
        <v>177</v>
      </c>
      <c r="J1262" t="s">
        <v>29</v>
      </c>
      <c r="K1262" t="s">
        <v>3220</v>
      </c>
      <c r="L1262" t="s">
        <v>91</v>
      </c>
      <c r="M1262" t="s">
        <v>25</v>
      </c>
      <c r="N1262" t="s">
        <v>102</v>
      </c>
      <c r="O1262" t="s">
        <v>103</v>
      </c>
      <c r="P1262" t="s">
        <v>68</v>
      </c>
      <c r="Q1262">
        <v>168</v>
      </c>
      <c r="R1262">
        <v>42.87</v>
      </c>
      <c r="S1262">
        <v>7202.16</v>
      </c>
      <c r="T1262">
        <v>39.4</v>
      </c>
      <c r="U1262">
        <v>5</v>
      </c>
      <c r="V1262">
        <v>2981</v>
      </c>
      <c r="W1262" t="s">
        <v>36</v>
      </c>
      <c r="X1262">
        <v>1685.52</v>
      </c>
    </row>
    <row r="1263" spans="1:24" x14ac:dyDescent="0.25">
      <c r="A1263" s="2">
        <v>101261</v>
      </c>
      <c r="B1263" s="1">
        <v>45584</v>
      </c>
      <c r="C1263" s="1">
        <v>45589</v>
      </c>
      <c r="D1263" s="1">
        <v>45592</v>
      </c>
      <c r="E1263" t="s">
        <v>2877</v>
      </c>
      <c r="F1263" t="s">
        <v>65</v>
      </c>
      <c r="G1263" t="s">
        <v>142</v>
      </c>
      <c r="H1263" t="s">
        <v>3221</v>
      </c>
      <c r="I1263" t="s">
        <v>116</v>
      </c>
      <c r="J1263" t="s">
        <v>62</v>
      </c>
      <c r="K1263" t="s">
        <v>3222</v>
      </c>
      <c r="L1263" t="s">
        <v>91</v>
      </c>
      <c r="M1263" t="s">
        <v>25</v>
      </c>
      <c r="N1263" t="s">
        <v>66</v>
      </c>
      <c r="O1263" t="s">
        <v>67</v>
      </c>
      <c r="P1263" t="s">
        <v>68</v>
      </c>
      <c r="Q1263">
        <v>330</v>
      </c>
      <c r="R1263">
        <v>49.4</v>
      </c>
      <c r="S1263">
        <v>16302</v>
      </c>
      <c r="T1263">
        <v>49.9</v>
      </c>
      <c r="U1263">
        <v>3</v>
      </c>
      <c r="V1263">
        <v>2328</v>
      </c>
      <c r="W1263" t="s">
        <v>36</v>
      </c>
      <c r="X1263">
        <v>1126</v>
      </c>
    </row>
    <row r="1264" spans="1:24" x14ac:dyDescent="0.25">
      <c r="A1264" s="2">
        <v>101262</v>
      </c>
      <c r="B1264" s="1">
        <v>45374</v>
      </c>
      <c r="C1264" s="1">
        <v>45375</v>
      </c>
      <c r="D1264" s="1">
        <v>45377</v>
      </c>
      <c r="E1264" t="s">
        <v>3223</v>
      </c>
      <c r="F1264" t="s">
        <v>38</v>
      </c>
      <c r="G1264" t="s">
        <v>217</v>
      </c>
      <c r="H1264" t="s">
        <v>3224</v>
      </c>
      <c r="I1264" t="s">
        <v>177</v>
      </c>
      <c r="J1264" t="s">
        <v>29</v>
      </c>
      <c r="K1264" t="s">
        <v>2052</v>
      </c>
      <c r="L1264" t="s">
        <v>122</v>
      </c>
      <c r="M1264" t="s">
        <v>38</v>
      </c>
      <c r="N1264" t="s">
        <v>66</v>
      </c>
      <c r="O1264" t="s">
        <v>67</v>
      </c>
      <c r="P1264" t="s">
        <v>68</v>
      </c>
      <c r="Q1264">
        <v>248</v>
      </c>
      <c r="R1264">
        <v>28.78</v>
      </c>
      <c r="S1264">
        <v>7137.44</v>
      </c>
      <c r="T1264">
        <v>33.020000000000003</v>
      </c>
      <c r="U1264">
        <v>2</v>
      </c>
      <c r="V1264">
        <v>613</v>
      </c>
      <c r="W1264" t="s">
        <v>36</v>
      </c>
      <c r="X1264">
        <v>1472.9</v>
      </c>
    </row>
    <row r="1265" spans="1:24" x14ac:dyDescent="0.25">
      <c r="A1265" s="2">
        <v>101263</v>
      </c>
      <c r="B1265" s="1">
        <v>45676</v>
      </c>
      <c r="C1265" s="1">
        <v>45677</v>
      </c>
      <c r="D1265" s="1">
        <v>45693</v>
      </c>
      <c r="E1265" t="s">
        <v>3225</v>
      </c>
      <c r="F1265" t="s">
        <v>54</v>
      </c>
      <c r="G1265" t="s">
        <v>165</v>
      </c>
      <c r="H1265" t="s">
        <v>3226</v>
      </c>
      <c r="I1265" t="s">
        <v>191</v>
      </c>
      <c r="J1265" t="s">
        <v>62</v>
      </c>
      <c r="K1265" t="s">
        <v>1003</v>
      </c>
      <c r="L1265" t="s">
        <v>31</v>
      </c>
      <c r="M1265" t="s">
        <v>32</v>
      </c>
      <c r="N1265" t="s">
        <v>151</v>
      </c>
      <c r="O1265" t="s">
        <v>152</v>
      </c>
      <c r="P1265" t="s">
        <v>123</v>
      </c>
      <c r="Q1265">
        <v>151</v>
      </c>
      <c r="R1265">
        <v>46.97</v>
      </c>
      <c r="S1265">
        <v>7092.47</v>
      </c>
      <c r="T1265">
        <v>14.36</v>
      </c>
      <c r="U1265">
        <v>16</v>
      </c>
      <c r="V1265">
        <v>3542</v>
      </c>
      <c r="W1265" t="s">
        <v>188</v>
      </c>
      <c r="X1265">
        <v>963.21</v>
      </c>
    </row>
    <row r="1266" spans="1:24" x14ac:dyDescent="0.25">
      <c r="A1266" s="2">
        <v>101264</v>
      </c>
      <c r="B1266" s="1">
        <v>45982</v>
      </c>
      <c r="C1266" s="1">
        <v>45987</v>
      </c>
      <c r="D1266" s="1">
        <v>45990</v>
      </c>
      <c r="E1266" t="s">
        <v>3227</v>
      </c>
      <c r="F1266" t="s">
        <v>38</v>
      </c>
      <c r="G1266" t="s">
        <v>217</v>
      </c>
      <c r="H1266" t="s">
        <v>3228</v>
      </c>
      <c r="I1266" t="s">
        <v>61</v>
      </c>
      <c r="J1266" t="s">
        <v>62</v>
      </c>
      <c r="K1266" t="s">
        <v>3229</v>
      </c>
      <c r="L1266" t="s">
        <v>91</v>
      </c>
      <c r="M1266" t="s">
        <v>32</v>
      </c>
      <c r="N1266" t="s">
        <v>151</v>
      </c>
      <c r="O1266" t="s">
        <v>152</v>
      </c>
      <c r="P1266" t="s">
        <v>68</v>
      </c>
      <c r="Q1266">
        <v>142</v>
      </c>
      <c r="R1266">
        <v>18.61</v>
      </c>
      <c r="S1266">
        <v>2642.62</v>
      </c>
      <c r="T1266">
        <v>37.71</v>
      </c>
      <c r="U1266">
        <v>3</v>
      </c>
      <c r="V1266">
        <v>2703</v>
      </c>
      <c r="W1266" t="s">
        <v>36</v>
      </c>
      <c r="X1266">
        <v>315.66000000000003</v>
      </c>
    </row>
    <row r="1267" spans="1:24" x14ac:dyDescent="0.25">
      <c r="A1267" s="2">
        <v>101265</v>
      </c>
      <c r="B1267" s="1">
        <v>45365</v>
      </c>
      <c r="C1267" s="1">
        <v>45370</v>
      </c>
      <c r="D1267" s="1">
        <v>45380</v>
      </c>
      <c r="E1267" t="s">
        <v>3230</v>
      </c>
      <c r="F1267" t="s">
        <v>65</v>
      </c>
      <c r="G1267" t="s">
        <v>154</v>
      </c>
      <c r="H1267" t="s">
        <v>3231</v>
      </c>
      <c r="I1267" t="s">
        <v>89</v>
      </c>
      <c r="J1267" t="s">
        <v>62</v>
      </c>
      <c r="K1267" t="s">
        <v>1116</v>
      </c>
      <c r="L1267" t="s">
        <v>44</v>
      </c>
      <c r="M1267" t="s">
        <v>38</v>
      </c>
      <c r="N1267" t="s">
        <v>74</v>
      </c>
      <c r="O1267" t="s">
        <v>75</v>
      </c>
      <c r="P1267" t="s">
        <v>35</v>
      </c>
      <c r="Q1267">
        <v>450</v>
      </c>
      <c r="R1267">
        <v>29.47</v>
      </c>
      <c r="S1267">
        <v>13261.5</v>
      </c>
      <c r="T1267">
        <v>25.23</v>
      </c>
      <c r="U1267">
        <v>10</v>
      </c>
      <c r="V1267">
        <v>2757</v>
      </c>
      <c r="W1267" t="s">
        <v>36</v>
      </c>
      <c r="X1267">
        <v>1734.22</v>
      </c>
    </row>
    <row r="1268" spans="1:24" x14ac:dyDescent="0.25">
      <c r="A1268" s="2">
        <v>101266</v>
      </c>
      <c r="B1268" s="1">
        <v>45747</v>
      </c>
      <c r="C1268" s="1">
        <v>45751</v>
      </c>
      <c r="D1268" s="1">
        <v>45764</v>
      </c>
      <c r="E1268" t="s">
        <v>3232</v>
      </c>
      <c r="F1268" t="s">
        <v>32</v>
      </c>
      <c r="G1268" t="s">
        <v>255</v>
      </c>
      <c r="H1268" t="s">
        <v>3233</v>
      </c>
      <c r="I1268" t="s">
        <v>230</v>
      </c>
      <c r="J1268" t="s">
        <v>80</v>
      </c>
      <c r="K1268" t="s">
        <v>291</v>
      </c>
      <c r="L1268" t="s">
        <v>187</v>
      </c>
      <c r="M1268" t="s">
        <v>25</v>
      </c>
      <c r="N1268" t="s">
        <v>45</v>
      </c>
      <c r="O1268" t="s">
        <v>46</v>
      </c>
      <c r="P1268" t="s">
        <v>123</v>
      </c>
      <c r="Q1268">
        <v>346</v>
      </c>
      <c r="R1268">
        <v>317.3</v>
      </c>
      <c r="S1268">
        <v>109785.8</v>
      </c>
      <c r="T1268">
        <v>19.100000000000001</v>
      </c>
      <c r="U1268">
        <v>13</v>
      </c>
      <c r="V1268">
        <v>2057</v>
      </c>
      <c r="W1268" t="s">
        <v>36</v>
      </c>
      <c r="X1268">
        <v>14835.99</v>
      </c>
    </row>
    <row r="1269" spans="1:24" x14ac:dyDescent="0.25">
      <c r="A1269" s="2">
        <v>101267</v>
      </c>
      <c r="B1269" s="1">
        <v>45563</v>
      </c>
      <c r="C1269" s="1">
        <v>45563</v>
      </c>
      <c r="D1269" s="1">
        <v>45571</v>
      </c>
      <c r="E1269" t="s">
        <v>329</v>
      </c>
      <c r="F1269" t="s">
        <v>54</v>
      </c>
      <c r="G1269" t="s">
        <v>165</v>
      </c>
      <c r="H1269" t="s">
        <v>3234</v>
      </c>
      <c r="I1269" t="s">
        <v>85</v>
      </c>
      <c r="J1269" t="s">
        <v>52</v>
      </c>
      <c r="K1269" t="s">
        <v>1928</v>
      </c>
      <c r="L1269" t="s">
        <v>91</v>
      </c>
      <c r="M1269" t="s">
        <v>25</v>
      </c>
      <c r="N1269" t="s">
        <v>92</v>
      </c>
      <c r="O1269" t="s">
        <v>93</v>
      </c>
      <c r="P1269" t="s">
        <v>123</v>
      </c>
      <c r="Q1269">
        <v>32</v>
      </c>
      <c r="R1269">
        <v>84.32</v>
      </c>
      <c r="S1269">
        <v>2698.24</v>
      </c>
      <c r="T1269">
        <v>11.47</v>
      </c>
      <c r="U1269">
        <v>8</v>
      </c>
      <c r="V1269">
        <v>1468</v>
      </c>
      <c r="W1269" t="s">
        <v>36</v>
      </c>
      <c r="X1269">
        <v>378.5</v>
      </c>
    </row>
    <row r="1270" spans="1:24" x14ac:dyDescent="0.25">
      <c r="A1270" s="2">
        <v>101268</v>
      </c>
      <c r="B1270" s="1">
        <v>45938</v>
      </c>
      <c r="C1270" s="1">
        <v>45943</v>
      </c>
      <c r="D1270" s="1">
        <v>45958</v>
      </c>
      <c r="E1270" t="s">
        <v>3235</v>
      </c>
      <c r="F1270" t="s">
        <v>65</v>
      </c>
      <c r="G1270" t="s">
        <v>142</v>
      </c>
      <c r="H1270" t="s">
        <v>3236</v>
      </c>
      <c r="I1270" t="s">
        <v>207</v>
      </c>
      <c r="J1270" t="s">
        <v>80</v>
      </c>
      <c r="K1270" t="s">
        <v>2486</v>
      </c>
      <c r="L1270" t="s">
        <v>187</v>
      </c>
      <c r="M1270" t="s">
        <v>25</v>
      </c>
      <c r="N1270" t="s">
        <v>33</v>
      </c>
      <c r="O1270" t="s">
        <v>34</v>
      </c>
      <c r="P1270" t="s">
        <v>123</v>
      </c>
      <c r="Q1270">
        <v>347</v>
      </c>
      <c r="R1270">
        <v>316.23</v>
      </c>
      <c r="S1270">
        <v>109731.81</v>
      </c>
      <c r="T1270">
        <v>19.12</v>
      </c>
      <c r="U1270">
        <v>15</v>
      </c>
      <c r="V1270">
        <v>1822</v>
      </c>
      <c r="W1270" t="s">
        <v>188</v>
      </c>
      <c r="X1270">
        <v>29393.34</v>
      </c>
    </row>
    <row r="1271" spans="1:24" x14ac:dyDescent="0.25">
      <c r="A1271" s="2">
        <v>101269</v>
      </c>
      <c r="B1271" s="1">
        <v>45414</v>
      </c>
      <c r="C1271" s="1">
        <v>45418</v>
      </c>
      <c r="D1271" s="1">
        <v>45426</v>
      </c>
      <c r="E1271" t="s">
        <v>3237</v>
      </c>
      <c r="F1271" t="s">
        <v>25</v>
      </c>
      <c r="G1271" t="s">
        <v>233</v>
      </c>
      <c r="H1271" t="s">
        <v>3238</v>
      </c>
      <c r="I1271" t="s">
        <v>85</v>
      </c>
      <c r="J1271" t="s">
        <v>52</v>
      </c>
      <c r="K1271" t="s">
        <v>2751</v>
      </c>
      <c r="L1271" t="s">
        <v>187</v>
      </c>
      <c r="M1271" t="s">
        <v>38</v>
      </c>
      <c r="N1271" t="s">
        <v>55</v>
      </c>
      <c r="O1271" t="s">
        <v>56</v>
      </c>
      <c r="P1271" t="s">
        <v>35</v>
      </c>
      <c r="Q1271">
        <v>146</v>
      </c>
      <c r="R1271">
        <v>24.28</v>
      </c>
      <c r="S1271">
        <v>3544.88</v>
      </c>
      <c r="T1271">
        <v>16.61</v>
      </c>
      <c r="U1271">
        <v>8</v>
      </c>
      <c r="V1271">
        <v>3864</v>
      </c>
      <c r="W1271" t="s">
        <v>36</v>
      </c>
      <c r="X1271">
        <v>304.92</v>
      </c>
    </row>
    <row r="1272" spans="1:24" x14ac:dyDescent="0.25">
      <c r="A1272" s="2">
        <v>101270</v>
      </c>
      <c r="B1272" s="1">
        <v>45371</v>
      </c>
      <c r="C1272" s="1">
        <v>45372</v>
      </c>
      <c r="D1272" s="1">
        <v>45384</v>
      </c>
      <c r="E1272" t="s">
        <v>3239</v>
      </c>
      <c r="F1272" t="s">
        <v>65</v>
      </c>
      <c r="G1272" t="s">
        <v>142</v>
      </c>
      <c r="H1272" t="s">
        <v>3240</v>
      </c>
      <c r="I1272" t="s">
        <v>149</v>
      </c>
      <c r="J1272" t="s">
        <v>42</v>
      </c>
      <c r="K1272" t="s">
        <v>1495</v>
      </c>
      <c r="L1272" t="s">
        <v>122</v>
      </c>
      <c r="M1272" t="s">
        <v>54</v>
      </c>
      <c r="N1272" t="s">
        <v>92</v>
      </c>
      <c r="O1272" t="s">
        <v>93</v>
      </c>
      <c r="P1272" t="s">
        <v>123</v>
      </c>
      <c r="Q1272">
        <v>191</v>
      </c>
      <c r="R1272">
        <v>281.61</v>
      </c>
      <c r="S1272">
        <v>53787.51</v>
      </c>
      <c r="T1272">
        <v>15.33</v>
      </c>
      <c r="U1272">
        <v>12</v>
      </c>
      <c r="V1272">
        <v>327</v>
      </c>
      <c r="W1272" t="s">
        <v>36</v>
      </c>
      <c r="X1272">
        <v>7742.01</v>
      </c>
    </row>
    <row r="1273" spans="1:24" x14ac:dyDescent="0.25">
      <c r="A1273" s="2">
        <v>101271</v>
      </c>
      <c r="B1273" s="1">
        <v>45997</v>
      </c>
      <c r="C1273" s="1">
        <v>46002</v>
      </c>
      <c r="D1273" s="1">
        <v>46009</v>
      </c>
      <c r="E1273" t="s">
        <v>1393</v>
      </c>
      <c r="F1273" t="s">
        <v>65</v>
      </c>
      <c r="G1273" t="s">
        <v>142</v>
      </c>
      <c r="H1273" t="s">
        <v>3241</v>
      </c>
      <c r="I1273" t="s">
        <v>89</v>
      </c>
      <c r="J1273" t="s">
        <v>62</v>
      </c>
      <c r="K1273" t="s">
        <v>3242</v>
      </c>
      <c r="L1273" t="s">
        <v>64</v>
      </c>
      <c r="M1273" t="s">
        <v>25</v>
      </c>
      <c r="N1273" t="s">
        <v>102</v>
      </c>
      <c r="O1273" t="s">
        <v>103</v>
      </c>
      <c r="P1273" t="s">
        <v>123</v>
      </c>
      <c r="Q1273">
        <v>208</v>
      </c>
      <c r="R1273">
        <v>35.58</v>
      </c>
      <c r="S1273">
        <v>7400.64</v>
      </c>
      <c r="T1273">
        <v>15.75</v>
      </c>
      <c r="U1273">
        <v>7</v>
      </c>
      <c r="V1273">
        <v>2852</v>
      </c>
      <c r="W1273" t="s">
        <v>57</v>
      </c>
      <c r="X1273">
        <v>815.79</v>
      </c>
    </row>
    <row r="1274" spans="1:24" x14ac:dyDescent="0.25">
      <c r="A1274" s="2">
        <v>101272</v>
      </c>
      <c r="B1274" s="1">
        <v>45662</v>
      </c>
      <c r="C1274" s="1">
        <v>45666</v>
      </c>
      <c r="D1274" s="1">
        <v>45676</v>
      </c>
      <c r="E1274" t="s">
        <v>3243</v>
      </c>
      <c r="F1274" t="s">
        <v>54</v>
      </c>
      <c r="G1274" t="s">
        <v>158</v>
      </c>
      <c r="H1274" t="s">
        <v>3244</v>
      </c>
      <c r="I1274" t="s">
        <v>79</v>
      </c>
      <c r="J1274" t="s">
        <v>80</v>
      </c>
      <c r="K1274" t="s">
        <v>3245</v>
      </c>
      <c r="L1274" t="s">
        <v>118</v>
      </c>
      <c r="M1274" t="s">
        <v>38</v>
      </c>
      <c r="N1274" t="s">
        <v>92</v>
      </c>
      <c r="O1274" t="s">
        <v>93</v>
      </c>
      <c r="P1274" t="s">
        <v>76</v>
      </c>
      <c r="Q1274">
        <v>341</v>
      </c>
      <c r="R1274">
        <v>269.33999999999997</v>
      </c>
      <c r="S1274">
        <v>91844.94</v>
      </c>
      <c r="T1274">
        <v>14.23</v>
      </c>
      <c r="U1274">
        <v>10</v>
      </c>
      <c r="V1274">
        <v>1211</v>
      </c>
      <c r="W1274" t="s">
        <v>36</v>
      </c>
      <c r="X1274">
        <v>15546.81</v>
      </c>
    </row>
    <row r="1275" spans="1:24" x14ac:dyDescent="0.25">
      <c r="A1275" s="2">
        <v>101273</v>
      </c>
      <c r="B1275" s="1">
        <v>45479</v>
      </c>
      <c r="C1275" s="1">
        <v>45482</v>
      </c>
      <c r="D1275" s="1">
        <v>45490</v>
      </c>
      <c r="E1275" t="s">
        <v>3246</v>
      </c>
      <c r="F1275" t="s">
        <v>38</v>
      </c>
      <c r="G1275" t="s">
        <v>147</v>
      </c>
      <c r="H1275" t="s">
        <v>3247</v>
      </c>
      <c r="I1275" t="s">
        <v>198</v>
      </c>
      <c r="J1275" t="s">
        <v>52</v>
      </c>
      <c r="K1275" t="s">
        <v>925</v>
      </c>
      <c r="L1275" t="s">
        <v>31</v>
      </c>
      <c r="M1275" t="s">
        <v>25</v>
      </c>
      <c r="N1275" t="s">
        <v>66</v>
      </c>
      <c r="O1275" t="s">
        <v>67</v>
      </c>
      <c r="P1275" t="s">
        <v>35</v>
      </c>
      <c r="Q1275">
        <v>144</v>
      </c>
      <c r="R1275">
        <v>40.01</v>
      </c>
      <c r="S1275">
        <v>5761.44</v>
      </c>
      <c r="T1275">
        <v>16.559999999999999</v>
      </c>
      <c r="U1275">
        <v>8</v>
      </c>
      <c r="V1275">
        <v>3713</v>
      </c>
      <c r="W1275" t="s">
        <v>36</v>
      </c>
      <c r="X1275">
        <v>992.88</v>
      </c>
    </row>
    <row r="1276" spans="1:24" x14ac:dyDescent="0.25">
      <c r="A1276" s="2">
        <v>101274</v>
      </c>
      <c r="B1276" s="1">
        <v>45787</v>
      </c>
      <c r="C1276" s="1">
        <v>45790</v>
      </c>
      <c r="D1276" s="1">
        <v>45801</v>
      </c>
      <c r="E1276" t="s">
        <v>3199</v>
      </c>
      <c r="F1276" t="s">
        <v>25</v>
      </c>
      <c r="G1276" t="s">
        <v>221</v>
      </c>
      <c r="H1276" t="s">
        <v>3248</v>
      </c>
      <c r="I1276" t="s">
        <v>207</v>
      </c>
      <c r="J1276" t="s">
        <v>80</v>
      </c>
      <c r="K1276" t="s">
        <v>1228</v>
      </c>
      <c r="L1276" t="s">
        <v>44</v>
      </c>
      <c r="M1276" t="s">
        <v>25</v>
      </c>
      <c r="N1276" t="s">
        <v>66</v>
      </c>
      <c r="O1276" t="s">
        <v>67</v>
      </c>
      <c r="P1276" t="s">
        <v>76</v>
      </c>
      <c r="Q1276">
        <v>404</v>
      </c>
      <c r="R1276">
        <v>195.38</v>
      </c>
      <c r="S1276">
        <v>78933.52</v>
      </c>
      <c r="T1276">
        <v>11.39</v>
      </c>
      <c r="U1276">
        <v>11</v>
      </c>
      <c r="V1276">
        <v>211</v>
      </c>
      <c r="W1276" t="s">
        <v>36</v>
      </c>
      <c r="X1276">
        <v>20900.25</v>
      </c>
    </row>
    <row r="1277" spans="1:24" x14ac:dyDescent="0.25">
      <c r="A1277" s="2">
        <v>101275</v>
      </c>
      <c r="B1277" s="1">
        <v>45853</v>
      </c>
      <c r="C1277" s="1">
        <v>45855</v>
      </c>
      <c r="D1277" s="1">
        <v>45880</v>
      </c>
      <c r="E1277" t="s">
        <v>3249</v>
      </c>
      <c r="F1277" t="s">
        <v>32</v>
      </c>
      <c r="G1277" t="s">
        <v>364</v>
      </c>
      <c r="H1277" t="s">
        <v>3250</v>
      </c>
      <c r="I1277" t="s">
        <v>134</v>
      </c>
      <c r="J1277" t="s">
        <v>52</v>
      </c>
      <c r="K1277" t="s">
        <v>1512</v>
      </c>
      <c r="L1277" t="s">
        <v>187</v>
      </c>
      <c r="M1277" t="s">
        <v>25</v>
      </c>
      <c r="N1277" t="s">
        <v>33</v>
      </c>
      <c r="O1277" t="s">
        <v>34</v>
      </c>
      <c r="P1277" t="s">
        <v>76</v>
      </c>
      <c r="Q1277">
        <v>25</v>
      </c>
      <c r="R1277">
        <v>73.13</v>
      </c>
      <c r="S1277">
        <v>1828.25</v>
      </c>
      <c r="T1277">
        <v>8.4700000000000006</v>
      </c>
      <c r="U1277">
        <v>25</v>
      </c>
      <c r="V1277">
        <v>760</v>
      </c>
      <c r="W1277" t="s">
        <v>36</v>
      </c>
      <c r="X1277">
        <v>240.17</v>
      </c>
    </row>
    <row r="1278" spans="1:24" x14ac:dyDescent="0.25">
      <c r="A1278" s="2">
        <v>101276</v>
      </c>
      <c r="B1278" s="1">
        <v>45876</v>
      </c>
      <c r="C1278" s="1">
        <v>45880</v>
      </c>
      <c r="D1278" s="1">
        <v>45881</v>
      </c>
      <c r="E1278" t="s">
        <v>3251</v>
      </c>
      <c r="F1278" t="s">
        <v>65</v>
      </c>
      <c r="G1278" t="s">
        <v>142</v>
      </c>
      <c r="H1278" t="s">
        <v>3252</v>
      </c>
      <c r="I1278" t="s">
        <v>61</v>
      </c>
      <c r="J1278" t="s">
        <v>62</v>
      </c>
      <c r="K1278" t="s">
        <v>2134</v>
      </c>
      <c r="L1278" t="s">
        <v>187</v>
      </c>
      <c r="M1278" t="s">
        <v>32</v>
      </c>
      <c r="N1278" t="s">
        <v>107</v>
      </c>
      <c r="O1278" t="s">
        <v>108</v>
      </c>
      <c r="P1278" t="s">
        <v>68</v>
      </c>
      <c r="Q1278">
        <v>423</v>
      </c>
      <c r="R1278">
        <v>23.8</v>
      </c>
      <c r="S1278">
        <v>10067.4</v>
      </c>
      <c r="T1278">
        <v>55.92</v>
      </c>
      <c r="U1278">
        <v>1</v>
      </c>
      <c r="V1278">
        <v>4891</v>
      </c>
      <c r="W1278" t="s">
        <v>36</v>
      </c>
      <c r="X1278">
        <v>1318.5</v>
      </c>
    </row>
    <row r="1279" spans="1:24" x14ac:dyDescent="0.25">
      <c r="A1279" s="2">
        <v>101277</v>
      </c>
      <c r="B1279" s="1">
        <v>45554</v>
      </c>
      <c r="C1279" s="1">
        <v>45558</v>
      </c>
      <c r="D1279" s="1">
        <v>45561</v>
      </c>
      <c r="E1279" t="s">
        <v>3253</v>
      </c>
      <c r="F1279" t="s">
        <v>38</v>
      </c>
      <c r="G1279" t="s">
        <v>83</v>
      </c>
      <c r="H1279" t="s">
        <v>3254</v>
      </c>
      <c r="I1279" t="s">
        <v>51</v>
      </c>
      <c r="J1279" t="s">
        <v>52</v>
      </c>
      <c r="K1279" t="s">
        <v>867</v>
      </c>
      <c r="L1279" t="s">
        <v>122</v>
      </c>
      <c r="M1279" t="s">
        <v>38</v>
      </c>
      <c r="N1279" t="s">
        <v>92</v>
      </c>
      <c r="O1279" t="s">
        <v>93</v>
      </c>
      <c r="P1279" t="s">
        <v>35</v>
      </c>
      <c r="Q1279">
        <v>312</v>
      </c>
      <c r="R1279">
        <v>13.51</v>
      </c>
      <c r="S1279">
        <v>4215.12</v>
      </c>
      <c r="T1279">
        <v>15.79</v>
      </c>
      <c r="U1279">
        <v>3</v>
      </c>
      <c r="V1279">
        <v>1722</v>
      </c>
      <c r="W1279" t="s">
        <v>36</v>
      </c>
      <c r="X1279">
        <v>768.43</v>
      </c>
    </row>
    <row r="1280" spans="1:24" x14ac:dyDescent="0.25">
      <c r="A1280" s="2">
        <v>101278</v>
      </c>
      <c r="B1280" s="1">
        <v>45808</v>
      </c>
      <c r="C1280" s="1">
        <v>45808</v>
      </c>
      <c r="D1280" s="1">
        <v>45813</v>
      </c>
      <c r="E1280" t="s">
        <v>3255</v>
      </c>
      <c r="F1280" t="s">
        <v>38</v>
      </c>
      <c r="G1280" t="s">
        <v>83</v>
      </c>
      <c r="H1280" t="s">
        <v>3256</v>
      </c>
      <c r="I1280" t="s">
        <v>144</v>
      </c>
      <c r="J1280" t="s">
        <v>52</v>
      </c>
      <c r="K1280" t="s">
        <v>1755</v>
      </c>
      <c r="L1280" t="s">
        <v>118</v>
      </c>
      <c r="M1280" t="s">
        <v>32</v>
      </c>
      <c r="N1280" t="s">
        <v>33</v>
      </c>
      <c r="O1280" t="s">
        <v>34</v>
      </c>
      <c r="P1280" t="s">
        <v>68</v>
      </c>
      <c r="Q1280">
        <v>172</v>
      </c>
      <c r="R1280">
        <v>40.03</v>
      </c>
      <c r="S1280">
        <v>6885.16</v>
      </c>
      <c r="T1280">
        <v>39.659999999999997</v>
      </c>
      <c r="U1280">
        <v>5</v>
      </c>
      <c r="V1280">
        <v>3959</v>
      </c>
      <c r="W1280" t="s">
        <v>36</v>
      </c>
      <c r="X1280">
        <v>650.65</v>
      </c>
    </row>
    <row r="1281" spans="1:24" x14ac:dyDescent="0.25">
      <c r="A1281" s="2">
        <v>101279</v>
      </c>
      <c r="B1281" s="1">
        <v>45874</v>
      </c>
      <c r="C1281" s="1">
        <v>45879</v>
      </c>
      <c r="D1281" s="1">
        <v>45883</v>
      </c>
      <c r="E1281" t="s">
        <v>3257</v>
      </c>
      <c r="F1281" t="s">
        <v>32</v>
      </c>
      <c r="G1281" t="s">
        <v>364</v>
      </c>
      <c r="H1281" t="s">
        <v>3258</v>
      </c>
      <c r="I1281" t="s">
        <v>191</v>
      </c>
      <c r="J1281" t="s">
        <v>62</v>
      </c>
      <c r="K1281" t="s">
        <v>2999</v>
      </c>
      <c r="L1281" t="s">
        <v>98</v>
      </c>
      <c r="M1281" t="s">
        <v>32</v>
      </c>
      <c r="N1281" t="s">
        <v>66</v>
      </c>
      <c r="O1281" t="s">
        <v>67</v>
      </c>
      <c r="P1281" t="s">
        <v>35</v>
      </c>
      <c r="Q1281">
        <v>258</v>
      </c>
      <c r="R1281">
        <v>10.14</v>
      </c>
      <c r="S1281">
        <v>2616.12</v>
      </c>
      <c r="T1281">
        <v>14.66</v>
      </c>
      <c r="U1281">
        <v>4</v>
      </c>
      <c r="V1281">
        <v>3903</v>
      </c>
      <c r="W1281" t="s">
        <v>57</v>
      </c>
      <c r="X1281">
        <v>365.28</v>
      </c>
    </row>
    <row r="1282" spans="1:24" x14ac:dyDescent="0.25">
      <c r="A1282" s="2">
        <v>101280</v>
      </c>
      <c r="B1282" s="1">
        <v>45828</v>
      </c>
      <c r="C1282" s="1">
        <v>45828</v>
      </c>
      <c r="D1282" s="1">
        <v>45842</v>
      </c>
      <c r="E1282" t="s">
        <v>3259</v>
      </c>
      <c r="F1282" t="s">
        <v>38</v>
      </c>
      <c r="G1282" t="s">
        <v>83</v>
      </c>
      <c r="H1282" t="s">
        <v>3260</v>
      </c>
      <c r="I1282" t="s">
        <v>28</v>
      </c>
      <c r="J1282" t="s">
        <v>29</v>
      </c>
      <c r="K1282" t="s">
        <v>1051</v>
      </c>
      <c r="L1282" t="s">
        <v>212</v>
      </c>
      <c r="M1282" t="s">
        <v>54</v>
      </c>
      <c r="N1282" t="s">
        <v>33</v>
      </c>
      <c r="O1282" t="s">
        <v>34</v>
      </c>
      <c r="P1282" t="s">
        <v>76</v>
      </c>
      <c r="Q1282">
        <v>291</v>
      </c>
      <c r="R1282">
        <v>107.87</v>
      </c>
      <c r="S1282">
        <v>31390.17</v>
      </c>
      <c r="T1282">
        <v>13.32</v>
      </c>
      <c r="U1282">
        <v>14</v>
      </c>
      <c r="V1282">
        <v>2417</v>
      </c>
      <c r="W1282" t="s">
        <v>36</v>
      </c>
      <c r="X1282">
        <v>4403.92</v>
      </c>
    </row>
    <row r="1283" spans="1:24" x14ac:dyDescent="0.25">
      <c r="A1283" s="2">
        <v>101281</v>
      </c>
      <c r="B1283" s="1">
        <v>45625</v>
      </c>
      <c r="C1283" s="1">
        <v>45629</v>
      </c>
      <c r="D1283" s="1">
        <v>45633</v>
      </c>
      <c r="E1283" t="s">
        <v>3261</v>
      </c>
      <c r="F1283" t="s">
        <v>65</v>
      </c>
      <c r="G1283" t="s">
        <v>154</v>
      </c>
      <c r="H1283" t="s">
        <v>3262</v>
      </c>
      <c r="I1283" t="s">
        <v>61</v>
      </c>
      <c r="J1283" t="s">
        <v>62</v>
      </c>
      <c r="K1283" t="s">
        <v>521</v>
      </c>
      <c r="L1283" t="s">
        <v>113</v>
      </c>
      <c r="M1283" t="s">
        <v>25</v>
      </c>
      <c r="N1283" t="s">
        <v>107</v>
      </c>
      <c r="O1283" t="s">
        <v>108</v>
      </c>
      <c r="P1283" t="s">
        <v>68</v>
      </c>
      <c r="Q1283">
        <v>405</v>
      </c>
      <c r="R1283">
        <v>29.18</v>
      </c>
      <c r="S1283">
        <v>11817.9</v>
      </c>
      <c r="T1283">
        <v>54.76</v>
      </c>
      <c r="U1283">
        <v>4</v>
      </c>
      <c r="V1283">
        <v>2877</v>
      </c>
      <c r="W1283" t="s">
        <v>36</v>
      </c>
      <c r="X1283">
        <v>248.35</v>
      </c>
    </row>
    <row r="1284" spans="1:24" x14ac:dyDescent="0.25">
      <c r="A1284" s="2">
        <v>101282</v>
      </c>
      <c r="B1284" s="1">
        <v>45292</v>
      </c>
      <c r="C1284" s="1">
        <v>45294</v>
      </c>
      <c r="D1284" s="1">
        <v>45304</v>
      </c>
      <c r="E1284" t="s">
        <v>3263</v>
      </c>
      <c r="F1284" t="s">
        <v>32</v>
      </c>
      <c r="G1284" t="s">
        <v>110</v>
      </c>
      <c r="H1284" t="s">
        <v>3264</v>
      </c>
      <c r="I1284" t="s">
        <v>89</v>
      </c>
      <c r="J1284" t="s">
        <v>62</v>
      </c>
      <c r="K1284" t="s">
        <v>3265</v>
      </c>
      <c r="L1284" t="s">
        <v>98</v>
      </c>
      <c r="M1284" t="s">
        <v>32</v>
      </c>
      <c r="N1284" t="s">
        <v>74</v>
      </c>
      <c r="O1284" t="s">
        <v>75</v>
      </c>
      <c r="P1284" t="s">
        <v>123</v>
      </c>
      <c r="Q1284">
        <v>205</v>
      </c>
      <c r="R1284">
        <v>17.48</v>
      </c>
      <c r="S1284">
        <v>3583.4</v>
      </c>
      <c r="T1284">
        <v>11.61</v>
      </c>
      <c r="U1284">
        <v>10</v>
      </c>
      <c r="V1284">
        <v>2080</v>
      </c>
      <c r="W1284" t="s">
        <v>36</v>
      </c>
      <c r="X1284">
        <v>420.93</v>
      </c>
    </row>
    <row r="1285" spans="1:24" x14ac:dyDescent="0.25">
      <c r="A1285" s="2">
        <v>101283</v>
      </c>
      <c r="B1285" s="1">
        <v>45709</v>
      </c>
      <c r="C1285" s="1">
        <v>45712</v>
      </c>
      <c r="D1285" s="1">
        <v>45736</v>
      </c>
      <c r="E1285" t="s">
        <v>3266</v>
      </c>
      <c r="F1285" t="s">
        <v>54</v>
      </c>
      <c r="G1285" t="s">
        <v>193</v>
      </c>
      <c r="H1285" t="s">
        <v>3267</v>
      </c>
      <c r="I1285" t="s">
        <v>177</v>
      </c>
      <c r="J1285" t="s">
        <v>29</v>
      </c>
      <c r="K1285" t="s">
        <v>1533</v>
      </c>
      <c r="L1285" t="s">
        <v>91</v>
      </c>
      <c r="M1285" t="s">
        <v>25</v>
      </c>
      <c r="N1285" t="s">
        <v>55</v>
      </c>
      <c r="O1285" t="s">
        <v>56</v>
      </c>
      <c r="P1285" t="s">
        <v>76</v>
      </c>
      <c r="Q1285">
        <v>194</v>
      </c>
      <c r="R1285">
        <v>66.430000000000007</v>
      </c>
      <c r="S1285">
        <v>12887.42</v>
      </c>
      <c r="T1285">
        <v>11.55</v>
      </c>
      <c r="U1285">
        <v>24</v>
      </c>
      <c r="V1285">
        <v>1389</v>
      </c>
      <c r="W1285" t="s">
        <v>36</v>
      </c>
      <c r="X1285">
        <v>1446.48</v>
      </c>
    </row>
    <row r="1286" spans="1:24" x14ac:dyDescent="0.25">
      <c r="A1286" s="2">
        <v>101284</v>
      </c>
      <c r="B1286" s="1">
        <v>45568</v>
      </c>
      <c r="C1286" s="1">
        <v>45572</v>
      </c>
      <c r="D1286" s="1">
        <v>45595</v>
      </c>
      <c r="E1286" t="s">
        <v>3268</v>
      </c>
      <c r="F1286" t="s">
        <v>25</v>
      </c>
      <c r="G1286" t="s">
        <v>169</v>
      </c>
      <c r="H1286" t="s">
        <v>3269</v>
      </c>
      <c r="I1286" t="s">
        <v>149</v>
      </c>
      <c r="J1286" t="s">
        <v>42</v>
      </c>
      <c r="K1286" t="s">
        <v>1192</v>
      </c>
      <c r="L1286" t="s">
        <v>44</v>
      </c>
      <c r="M1286" t="s">
        <v>38</v>
      </c>
      <c r="N1286" t="s">
        <v>203</v>
      </c>
      <c r="O1286" t="s">
        <v>204</v>
      </c>
      <c r="P1286" t="s">
        <v>76</v>
      </c>
      <c r="Q1286">
        <v>479</v>
      </c>
      <c r="R1286">
        <v>286.95999999999998</v>
      </c>
      <c r="S1286">
        <v>137453.84</v>
      </c>
      <c r="T1286">
        <v>16.75</v>
      </c>
      <c r="U1286">
        <v>23</v>
      </c>
      <c r="V1286">
        <v>191</v>
      </c>
      <c r="W1286" t="s">
        <v>36</v>
      </c>
      <c r="X1286">
        <v>23525.47</v>
      </c>
    </row>
    <row r="1287" spans="1:24" x14ac:dyDescent="0.25">
      <c r="A1287" s="2">
        <v>101285</v>
      </c>
      <c r="B1287" s="1">
        <v>45647</v>
      </c>
      <c r="C1287" s="1">
        <v>45651</v>
      </c>
      <c r="D1287" s="1">
        <v>45657</v>
      </c>
      <c r="E1287" t="s">
        <v>3270</v>
      </c>
      <c r="F1287" t="s">
        <v>65</v>
      </c>
      <c r="G1287" t="s">
        <v>142</v>
      </c>
      <c r="H1287" t="s">
        <v>3271</v>
      </c>
      <c r="I1287" t="s">
        <v>139</v>
      </c>
      <c r="J1287" t="s">
        <v>42</v>
      </c>
      <c r="K1287" t="s">
        <v>1231</v>
      </c>
      <c r="L1287" t="s">
        <v>64</v>
      </c>
      <c r="M1287" t="s">
        <v>65</v>
      </c>
      <c r="N1287" t="s">
        <v>66</v>
      </c>
      <c r="O1287" t="s">
        <v>67</v>
      </c>
      <c r="P1287" t="s">
        <v>35</v>
      </c>
      <c r="Q1287">
        <v>73</v>
      </c>
      <c r="R1287">
        <v>108.53</v>
      </c>
      <c r="S1287">
        <v>7922.69</v>
      </c>
      <c r="T1287">
        <v>10.77</v>
      </c>
      <c r="U1287">
        <v>6</v>
      </c>
      <c r="V1287">
        <v>288</v>
      </c>
      <c r="W1287" t="s">
        <v>36</v>
      </c>
      <c r="X1287">
        <v>1642.37</v>
      </c>
    </row>
    <row r="1288" spans="1:24" x14ac:dyDescent="0.25">
      <c r="A1288" s="2">
        <v>101286</v>
      </c>
      <c r="B1288" s="1">
        <v>45872</v>
      </c>
      <c r="C1288" s="1">
        <v>45873</v>
      </c>
      <c r="D1288" s="1">
        <v>45889</v>
      </c>
      <c r="E1288" t="s">
        <v>3272</v>
      </c>
      <c r="F1288" t="s">
        <v>65</v>
      </c>
      <c r="G1288" t="s">
        <v>70</v>
      </c>
      <c r="H1288" t="s">
        <v>3273</v>
      </c>
      <c r="I1288" t="s">
        <v>72</v>
      </c>
      <c r="J1288" t="s">
        <v>42</v>
      </c>
      <c r="K1288" t="s">
        <v>275</v>
      </c>
      <c r="L1288" t="s">
        <v>31</v>
      </c>
      <c r="M1288" t="s">
        <v>54</v>
      </c>
      <c r="N1288" t="s">
        <v>33</v>
      </c>
      <c r="O1288" t="s">
        <v>34</v>
      </c>
      <c r="P1288" t="s">
        <v>76</v>
      </c>
      <c r="Q1288">
        <v>77</v>
      </c>
      <c r="R1288">
        <v>365.73</v>
      </c>
      <c r="S1288">
        <v>28161.21</v>
      </c>
      <c r="T1288">
        <v>9.42</v>
      </c>
      <c r="U1288">
        <v>16</v>
      </c>
      <c r="V1288">
        <v>880</v>
      </c>
      <c r="W1288" t="s">
        <v>36</v>
      </c>
      <c r="X1288">
        <v>3554.63</v>
      </c>
    </row>
    <row r="1289" spans="1:24" x14ac:dyDescent="0.25">
      <c r="A1289" s="2">
        <v>101287</v>
      </c>
      <c r="B1289" s="1">
        <v>45751</v>
      </c>
      <c r="C1289" s="1">
        <v>45756</v>
      </c>
      <c r="D1289" s="1">
        <v>45759</v>
      </c>
      <c r="E1289" t="s">
        <v>3274</v>
      </c>
      <c r="F1289" t="s">
        <v>32</v>
      </c>
      <c r="G1289" t="s">
        <v>110</v>
      </c>
      <c r="H1289" t="s">
        <v>3275</v>
      </c>
      <c r="I1289" t="s">
        <v>368</v>
      </c>
      <c r="J1289" t="s">
        <v>29</v>
      </c>
      <c r="K1289" t="s">
        <v>3276</v>
      </c>
      <c r="L1289" t="s">
        <v>113</v>
      </c>
      <c r="M1289" t="s">
        <v>25</v>
      </c>
      <c r="N1289" t="s">
        <v>102</v>
      </c>
      <c r="O1289" t="s">
        <v>103</v>
      </c>
      <c r="P1289" t="s">
        <v>35</v>
      </c>
      <c r="Q1289">
        <v>485</v>
      </c>
      <c r="R1289">
        <v>76.81</v>
      </c>
      <c r="S1289">
        <v>37252.85</v>
      </c>
      <c r="T1289">
        <v>26.22</v>
      </c>
      <c r="U1289">
        <v>3</v>
      </c>
      <c r="V1289">
        <v>858</v>
      </c>
      <c r="W1289" t="s">
        <v>36</v>
      </c>
      <c r="X1289">
        <v>6174.35</v>
      </c>
    </row>
    <row r="1290" spans="1:24" x14ac:dyDescent="0.25">
      <c r="A1290" s="2">
        <v>101288</v>
      </c>
      <c r="B1290" s="1">
        <v>45440</v>
      </c>
      <c r="C1290" s="1">
        <v>45443</v>
      </c>
      <c r="D1290" s="1">
        <v>45444</v>
      </c>
      <c r="E1290" t="s">
        <v>3277</v>
      </c>
      <c r="F1290" t="s">
        <v>38</v>
      </c>
      <c r="G1290" t="s">
        <v>83</v>
      </c>
      <c r="H1290" t="s">
        <v>3278</v>
      </c>
      <c r="I1290" t="s">
        <v>134</v>
      </c>
      <c r="J1290" t="s">
        <v>52</v>
      </c>
      <c r="K1290" t="s">
        <v>183</v>
      </c>
      <c r="L1290" t="s">
        <v>212</v>
      </c>
      <c r="M1290" t="s">
        <v>25</v>
      </c>
      <c r="N1290" t="s">
        <v>151</v>
      </c>
      <c r="O1290" t="s">
        <v>152</v>
      </c>
      <c r="P1290" t="s">
        <v>68</v>
      </c>
      <c r="Q1290">
        <v>227</v>
      </c>
      <c r="R1290">
        <v>80.790000000000006</v>
      </c>
      <c r="S1290">
        <v>18339.330000000002</v>
      </c>
      <c r="T1290">
        <v>43.22</v>
      </c>
      <c r="U1290">
        <v>1</v>
      </c>
      <c r="V1290">
        <v>1971</v>
      </c>
      <c r="W1290" t="s">
        <v>36</v>
      </c>
      <c r="X1290">
        <v>2898.28</v>
      </c>
    </row>
    <row r="1291" spans="1:24" x14ac:dyDescent="0.25">
      <c r="A1291" s="2">
        <v>101289</v>
      </c>
      <c r="B1291" s="1">
        <v>45954</v>
      </c>
      <c r="C1291" s="1">
        <v>45959</v>
      </c>
      <c r="D1291" s="1">
        <v>45973</v>
      </c>
      <c r="E1291" t="s">
        <v>3279</v>
      </c>
      <c r="F1291" t="s">
        <v>65</v>
      </c>
      <c r="G1291" t="s">
        <v>154</v>
      </c>
      <c r="H1291" t="s">
        <v>3280</v>
      </c>
      <c r="I1291" t="s">
        <v>238</v>
      </c>
      <c r="J1291" t="s">
        <v>62</v>
      </c>
      <c r="K1291" t="s">
        <v>1943</v>
      </c>
      <c r="L1291" t="s">
        <v>118</v>
      </c>
      <c r="M1291" t="s">
        <v>38</v>
      </c>
      <c r="N1291" t="s">
        <v>55</v>
      </c>
      <c r="O1291" t="s">
        <v>56</v>
      </c>
      <c r="P1291" t="s">
        <v>76</v>
      </c>
      <c r="Q1291">
        <v>376</v>
      </c>
      <c r="R1291">
        <v>25.37</v>
      </c>
      <c r="S1291">
        <v>9539.1200000000008</v>
      </c>
      <c r="T1291">
        <v>14.87</v>
      </c>
      <c r="U1291">
        <v>14</v>
      </c>
      <c r="V1291">
        <v>1739</v>
      </c>
      <c r="W1291" t="s">
        <v>36</v>
      </c>
      <c r="X1291">
        <v>1157.0999999999999</v>
      </c>
    </row>
    <row r="1292" spans="1:24" x14ac:dyDescent="0.25">
      <c r="A1292" s="2">
        <v>101290</v>
      </c>
      <c r="B1292" s="1">
        <v>45934</v>
      </c>
      <c r="C1292" s="1">
        <v>45937</v>
      </c>
      <c r="D1292" s="1">
        <v>45951</v>
      </c>
      <c r="E1292" t="s">
        <v>3281</v>
      </c>
      <c r="F1292" t="s">
        <v>54</v>
      </c>
      <c r="G1292" t="s">
        <v>225</v>
      </c>
      <c r="H1292" t="s">
        <v>3282</v>
      </c>
      <c r="I1292" t="s">
        <v>238</v>
      </c>
      <c r="J1292" t="s">
        <v>62</v>
      </c>
      <c r="K1292" t="s">
        <v>2841</v>
      </c>
      <c r="L1292" t="s">
        <v>187</v>
      </c>
      <c r="M1292" t="s">
        <v>38</v>
      </c>
      <c r="N1292" t="s">
        <v>66</v>
      </c>
      <c r="O1292" t="s">
        <v>67</v>
      </c>
      <c r="P1292" t="s">
        <v>123</v>
      </c>
      <c r="Q1292">
        <v>111</v>
      </c>
      <c r="R1292">
        <v>13</v>
      </c>
      <c r="S1292">
        <v>1443</v>
      </c>
      <c r="T1292">
        <v>13.39</v>
      </c>
      <c r="U1292">
        <v>14</v>
      </c>
      <c r="V1292">
        <v>2551</v>
      </c>
      <c r="W1292" t="s">
        <v>36</v>
      </c>
      <c r="X1292">
        <v>87.59</v>
      </c>
    </row>
    <row r="1293" spans="1:24" x14ac:dyDescent="0.25">
      <c r="A1293" s="2">
        <v>101291</v>
      </c>
      <c r="B1293" s="1">
        <v>45307</v>
      </c>
      <c r="C1293" s="1">
        <v>45311</v>
      </c>
      <c r="D1293" s="1">
        <v>45328</v>
      </c>
      <c r="E1293" t="s">
        <v>2408</v>
      </c>
      <c r="F1293" t="s">
        <v>32</v>
      </c>
      <c r="G1293" t="s">
        <v>137</v>
      </c>
      <c r="H1293" t="s">
        <v>3283</v>
      </c>
      <c r="I1293" t="s">
        <v>134</v>
      </c>
      <c r="J1293" t="s">
        <v>52</v>
      </c>
      <c r="K1293" t="s">
        <v>452</v>
      </c>
      <c r="L1293" t="s">
        <v>187</v>
      </c>
      <c r="M1293" t="s">
        <v>65</v>
      </c>
      <c r="N1293" t="s">
        <v>45</v>
      </c>
      <c r="O1293" t="s">
        <v>46</v>
      </c>
      <c r="P1293" t="s">
        <v>76</v>
      </c>
      <c r="Q1293">
        <v>223</v>
      </c>
      <c r="R1293">
        <v>49.33</v>
      </c>
      <c r="S1293">
        <v>11000.59</v>
      </c>
      <c r="T1293">
        <v>12.08</v>
      </c>
      <c r="U1293">
        <v>17</v>
      </c>
      <c r="V1293">
        <v>3212</v>
      </c>
      <c r="W1293" t="s">
        <v>188</v>
      </c>
      <c r="X1293">
        <v>1621.75</v>
      </c>
    </row>
    <row r="1294" spans="1:24" x14ac:dyDescent="0.25">
      <c r="A1294" s="2">
        <v>101292</v>
      </c>
      <c r="B1294" s="1">
        <v>46001</v>
      </c>
      <c r="C1294" s="1">
        <v>46004</v>
      </c>
      <c r="D1294" s="1">
        <v>46015</v>
      </c>
      <c r="E1294" t="s">
        <v>3284</v>
      </c>
      <c r="F1294" t="s">
        <v>54</v>
      </c>
      <c r="G1294" t="s">
        <v>193</v>
      </c>
      <c r="H1294" t="s">
        <v>3285</v>
      </c>
      <c r="I1294" t="s">
        <v>207</v>
      </c>
      <c r="J1294" t="s">
        <v>80</v>
      </c>
      <c r="K1294" t="s">
        <v>300</v>
      </c>
      <c r="L1294" t="s">
        <v>113</v>
      </c>
      <c r="M1294" t="s">
        <v>38</v>
      </c>
      <c r="N1294" t="s">
        <v>107</v>
      </c>
      <c r="O1294" t="s">
        <v>108</v>
      </c>
      <c r="P1294" t="s">
        <v>123</v>
      </c>
      <c r="Q1294">
        <v>50</v>
      </c>
      <c r="R1294">
        <v>256.37</v>
      </c>
      <c r="S1294">
        <v>12818.5</v>
      </c>
      <c r="T1294">
        <v>11.91</v>
      </c>
      <c r="U1294">
        <v>11</v>
      </c>
      <c r="V1294">
        <v>617</v>
      </c>
      <c r="W1294" t="s">
        <v>57</v>
      </c>
      <c r="X1294">
        <v>3111.99</v>
      </c>
    </row>
    <row r="1295" spans="1:24" x14ac:dyDescent="0.25">
      <c r="A1295" s="2">
        <v>101293</v>
      </c>
      <c r="B1295" s="1">
        <v>45843</v>
      </c>
      <c r="C1295" s="1">
        <v>45843</v>
      </c>
      <c r="D1295" s="1">
        <v>45845</v>
      </c>
      <c r="E1295" t="s">
        <v>3286</v>
      </c>
      <c r="F1295" t="s">
        <v>54</v>
      </c>
      <c r="G1295" t="s">
        <v>225</v>
      </c>
      <c r="H1295" t="s">
        <v>3287</v>
      </c>
      <c r="I1295" t="s">
        <v>238</v>
      </c>
      <c r="J1295" t="s">
        <v>62</v>
      </c>
      <c r="K1295" t="s">
        <v>1832</v>
      </c>
      <c r="L1295" t="s">
        <v>44</v>
      </c>
      <c r="M1295" t="s">
        <v>65</v>
      </c>
      <c r="N1295" t="s">
        <v>203</v>
      </c>
      <c r="O1295" t="s">
        <v>204</v>
      </c>
      <c r="P1295" t="s">
        <v>68</v>
      </c>
      <c r="Q1295">
        <v>274</v>
      </c>
      <c r="R1295">
        <v>23.27</v>
      </c>
      <c r="S1295">
        <v>6375.98</v>
      </c>
      <c r="T1295">
        <v>46.27</v>
      </c>
      <c r="U1295">
        <v>2</v>
      </c>
      <c r="V1295">
        <v>2190</v>
      </c>
      <c r="W1295" t="s">
        <v>36</v>
      </c>
      <c r="X1295">
        <v>838.6</v>
      </c>
    </row>
    <row r="1296" spans="1:24" x14ac:dyDescent="0.25">
      <c r="A1296" s="2">
        <v>101294</v>
      </c>
      <c r="B1296" s="1">
        <v>45393</v>
      </c>
      <c r="C1296" s="1">
        <v>45393</v>
      </c>
      <c r="D1296" s="1">
        <v>45394</v>
      </c>
      <c r="E1296" t="s">
        <v>3288</v>
      </c>
      <c r="F1296" t="s">
        <v>25</v>
      </c>
      <c r="G1296" t="s">
        <v>26</v>
      </c>
      <c r="H1296" t="s">
        <v>3289</v>
      </c>
      <c r="I1296" t="s">
        <v>41</v>
      </c>
      <c r="J1296" t="s">
        <v>42</v>
      </c>
      <c r="K1296" t="s">
        <v>562</v>
      </c>
      <c r="L1296" t="s">
        <v>31</v>
      </c>
      <c r="M1296" t="s">
        <v>25</v>
      </c>
      <c r="N1296" t="s">
        <v>66</v>
      </c>
      <c r="O1296" t="s">
        <v>67</v>
      </c>
      <c r="P1296" t="s">
        <v>68</v>
      </c>
      <c r="Q1296">
        <v>236</v>
      </c>
      <c r="R1296">
        <v>121.85</v>
      </c>
      <c r="S1296">
        <v>28756.6</v>
      </c>
      <c r="T1296">
        <v>32.450000000000003</v>
      </c>
      <c r="U1296">
        <v>1</v>
      </c>
      <c r="V1296">
        <v>366</v>
      </c>
      <c r="W1296" t="s">
        <v>36</v>
      </c>
      <c r="X1296">
        <v>3086.4</v>
      </c>
    </row>
    <row r="1297" spans="1:24" x14ac:dyDescent="0.25">
      <c r="A1297" s="2">
        <v>101295</v>
      </c>
      <c r="B1297" s="1">
        <v>45938</v>
      </c>
      <c r="C1297" s="1">
        <v>45941</v>
      </c>
      <c r="D1297" s="1">
        <v>45949</v>
      </c>
      <c r="E1297" t="s">
        <v>3290</v>
      </c>
      <c r="F1297" t="s">
        <v>25</v>
      </c>
      <c r="G1297" t="s">
        <v>26</v>
      </c>
      <c r="H1297" t="s">
        <v>3291</v>
      </c>
      <c r="I1297" t="s">
        <v>368</v>
      </c>
      <c r="J1297" t="s">
        <v>29</v>
      </c>
      <c r="K1297" t="s">
        <v>3292</v>
      </c>
      <c r="L1297" t="s">
        <v>113</v>
      </c>
      <c r="M1297" t="s">
        <v>25</v>
      </c>
      <c r="N1297" t="s">
        <v>203</v>
      </c>
      <c r="O1297" t="s">
        <v>204</v>
      </c>
      <c r="P1297" t="s">
        <v>35</v>
      </c>
      <c r="Q1297">
        <v>30</v>
      </c>
      <c r="R1297">
        <v>15.75</v>
      </c>
      <c r="S1297">
        <v>472.5</v>
      </c>
      <c r="T1297">
        <v>9.8699999999999992</v>
      </c>
      <c r="U1297">
        <v>8</v>
      </c>
      <c r="V1297">
        <v>824</v>
      </c>
      <c r="W1297" t="s">
        <v>36</v>
      </c>
      <c r="X1297">
        <v>50.61</v>
      </c>
    </row>
    <row r="1298" spans="1:24" x14ac:dyDescent="0.25">
      <c r="A1298" s="2">
        <v>101296</v>
      </c>
      <c r="B1298" s="1">
        <v>45483</v>
      </c>
      <c r="C1298" s="1">
        <v>45484</v>
      </c>
      <c r="D1298" s="1">
        <v>45501</v>
      </c>
      <c r="E1298" t="s">
        <v>3293</v>
      </c>
      <c r="F1298" t="s">
        <v>54</v>
      </c>
      <c r="G1298" t="s">
        <v>129</v>
      </c>
      <c r="H1298" t="s">
        <v>3294</v>
      </c>
      <c r="I1298" t="s">
        <v>144</v>
      </c>
      <c r="J1298" t="s">
        <v>52</v>
      </c>
      <c r="K1298" t="s">
        <v>1158</v>
      </c>
      <c r="L1298" t="s">
        <v>44</v>
      </c>
      <c r="M1298" t="s">
        <v>54</v>
      </c>
      <c r="N1298" t="s">
        <v>151</v>
      </c>
      <c r="O1298" t="s">
        <v>152</v>
      </c>
      <c r="P1298" t="s">
        <v>76</v>
      </c>
      <c r="Q1298">
        <v>478</v>
      </c>
      <c r="R1298">
        <v>23.83</v>
      </c>
      <c r="S1298">
        <v>11390.74</v>
      </c>
      <c r="T1298">
        <v>12.39</v>
      </c>
      <c r="U1298">
        <v>17</v>
      </c>
      <c r="V1298">
        <v>1055</v>
      </c>
      <c r="W1298" t="s">
        <v>188</v>
      </c>
      <c r="X1298">
        <v>827.96</v>
      </c>
    </row>
    <row r="1299" spans="1:24" x14ac:dyDescent="0.25">
      <c r="A1299" s="2">
        <v>101297</v>
      </c>
      <c r="B1299" s="1">
        <v>45724</v>
      </c>
      <c r="C1299" s="1">
        <v>45724</v>
      </c>
      <c r="D1299" s="1">
        <v>45734</v>
      </c>
      <c r="E1299" t="s">
        <v>3295</v>
      </c>
      <c r="F1299" t="s">
        <v>25</v>
      </c>
      <c r="G1299" t="s">
        <v>26</v>
      </c>
      <c r="H1299" t="s">
        <v>3296</v>
      </c>
      <c r="I1299" t="s">
        <v>79</v>
      </c>
      <c r="J1299" t="s">
        <v>80</v>
      </c>
      <c r="K1299" t="s">
        <v>3297</v>
      </c>
      <c r="L1299" t="s">
        <v>64</v>
      </c>
      <c r="M1299" t="s">
        <v>32</v>
      </c>
      <c r="N1299" t="s">
        <v>102</v>
      </c>
      <c r="O1299" t="s">
        <v>103</v>
      </c>
      <c r="P1299" t="s">
        <v>76</v>
      </c>
      <c r="Q1299">
        <v>53</v>
      </c>
      <c r="R1299">
        <v>48.68</v>
      </c>
      <c r="S1299">
        <v>2580.04</v>
      </c>
      <c r="T1299">
        <v>8.98</v>
      </c>
      <c r="U1299">
        <v>10</v>
      </c>
      <c r="V1299">
        <v>488</v>
      </c>
      <c r="W1299" t="s">
        <v>36</v>
      </c>
      <c r="X1299">
        <v>375.05</v>
      </c>
    </row>
    <row r="1300" spans="1:24" x14ac:dyDescent="0.25">
      <c r="A1300" s="2">
        <v>101298</v>
      </c>
      <c r="B1300" s="1">
        <v>45712</v>
      </c>
      <c r="C1300" s="1">
        <v>45712</v>
      </c>
      <c r="D1300" s="1">
        <v>45722</v>
      </c>
      <c r="E1300" t="s">
        <v>3298</v>
      </c>
      <c r="F1300" t="s">
        <v>38</v>
      </c>
      <c r="G1300" t="s">
        <v>39</v>
      </c>
      <c r="H1300" t="s">
        <v>3299</v>
      </c>
      <c r="I1300" t="s">
        <v>116</v>
      </c>
      <c r="J1300" t="s">
        <v>62</v>
      </c>
      <c r="K1300" t="s">
        <v>1897</v>
      </c>
      <c r="L1300" t="s">
        <v>31</v>
      </c>
      <c r="M1300" t="s">
        <v>32</v>
      </c>
      <c r="N1300" t="s">
        <v>33</v>
      </c>
      <c r="O1300" t="s">
        <v>34</v>
      </c>
      <c r="P1300" t="s">
        <v>35</v>
      </c>
      <c r="Q1300">
        <v>359</v>
      </c>
      <c r="R1300">
        <v>16.02</v>
      </c>
      <c r="S1300">
        <v>5751.18</v>
      </c>
      <c r="T1300">
        <v>22.65</v>
      </c>
      <c r="U1300">
        <v>10</v>
      </c>
      <c r="V1300">
        <v>2159</v>
      </c>
      <c r="W1300" t="s">
        <v>36</v>
      </c>
      <c r="X1300">
        <v>710.04</v>
      </c>
    </row>
    <row r="1301" spans="1:24" x14ac:dyDescent="0.25">
      <c r="A1301" s="2">
        <v>101299</v>
      </c>
      <c r="B1301" s="1">
        <v>45347</v>
      </c>
      <c r="C1301" s="1">
        <v>45349</v>
      </c>
      <c r="D1301" s="1">
        <v>45351</v>
      </c>
      <c r="E1301" t="s">
        <v>3300</v>
      </c>
      <c r="F1301" t="s">
        <v>32</v>
      </c>
      <c r="G1301" t="s">
        <v>110</v>
      </c>
      <c r="H1301" t="s">
        <v>3301</v>
      </c>
      <c r="I1301" t="s">
        <v>246</v>
      </c>
      <c r="J1301" t="s">
        <v>29</v>
      </c>
      <c r="K1301" t="s">
        <v>265</v>
      </c>
      <c r="L1301" t="s">
        <v>91</v>
      </c>
      <c r="M1301" t="s">
        <v>54</v>
      </c>
      <c r="N1301" t="s">
        <v>203</v>
      </c>
      <c r="O1301" t="s">
        <v>204</v>
      </c>
      <c r="P1301" t="s">
        <v>68</v>
      </c>
      <c r="Q1301">
        <v>73</v>
      </c>
      <c r="R1301">
        <v>102.83</v>
      </c>
      <c r="S1301">
        <v>7506.59</v>
      </c>
      <c r="T1301">
        <v>33.24</v>
      </c>
      <c r="U1301">
        <v>2</v>
      </c>
      <c r="V1301">
        <v>1515</v>
      </c>
      <c r="W1301" t="s">
        <v>36</v>
      </c>
      <c r="X1301">
        <v>804.02</v>
      </c>
    </row>
    <row r="1302" spans="1:24" x14ac:dyDescent="0.25">
      <c r="A1302" s="2">
        <v>101300</v>
      </c>
      <c r="B1302" s="1">
        <v>45317</v>
      </c>
      <c r="C1302" s="1">
        <v>45321</v>
      </c>
      <c r="D1302" s="1">
        <v>45340</v>
      </c>
      <c r="E1302" t="s">
        <v>3302</v>
      </c>
      <c r="F1302" t="s">
        <v>65</v>
      </c>
      <c r="G1302" t="s">
        <v>70</v>
      </c>
      <c r="H1302" t="s">
        <v>3303</v>
      </c>
      <c r="I1302" t="s">
        <v>28</v>
      </c>
      <c r="J1302" t="s">
        <v>29</v>
      </c>
      <c r="K1302" t="s">
        <v>3304</v>
      </c>
      <c r="L1302" t="s">
        <v>118</v>
      </c>
      <c r="M1302" t="s">
        <v>25</v>
      </c>
      <c r="N1302" t="s">
        <v>107</v>
      </c>
      <c r="O1302" t="s">
        <v>108</v>
      </c>
      <c r="P1302" t="s">
        <v>76</v>
      </c>
      <c r="Q1302">
        <v>429</v>
      </c>
      <c r="R1302">
        <v>71.400000000000006</v>
      </c>
      <c r="S1302">
        <v>30630.6</v>
      </c>
      <c r="T1302">
        <v>15.84</v>
      </c>
      <c r="U1302">
        <v>19</v>
      </c>
      <c r="V1302">
        <v>800</v>
      </c>
      <c r="W1302" t="s">
        <v>36</v>
      </c>
      <c r="X1302">
        <v>5423.43</v>
      </c>
    </row>
    <row r="1303" spans="1:24" x14ac:dyDescent="0.25">
      <c r="A1303" s="2">
        <v>101301</v>
      </c>
      <c r="B1303" s="1">
        <v>45863</v>
      </c>
      <c r="C1303" s="1">
        <v>45868</v>
      </c>
      <c r="D1303" s="1">
        <v>45873</v>
      </c>
      <c r="E1303" t="s">
        <v>3305</v>
      </c>
      <c r="F1303" t="s">
        <v>54</v>
      </c>
      <c r="G1303" t="s">
        <v>165</v>
      </c>
      <c r="H1303" t="s">
        <v>3306</v>
      </c>
      <c r="I1303" t="s">
        <v>28</v>
      </c>
      <c r="J1303" t="s">
        <v>29</v>
      </c>
      <c r="K1303" t="s">
        <v>1885</v>
      </c>
      <c r="L1303" t="s">
        <v>187</v>
      </c>
      <c r="M1303" t="s">
        <v>38</v>
      </c>
      <c r="N1303" t="s">
        <v>203</v>
      </c>
      <c r="O1303" t="s">
        <v>204</v>
      </c>
      <c r="P1303" t="s">
        <v>68</v>
      </c>
      <c r="Q1303">
        <v>342</v>
      </c>
      <c r="R1303">
        <v>54.93</v>
      </c>
      <c r="S1303">
        <v>18786.060000000001</v>
      </c>
      <c r="T1303">
        <v>50.67</v>
      </c>
      <c r="U1303">
        <v>5</v>
      </c>
      <c r="V1303">
        <v>2400</v>
      </c>
      <c r="W1303" t="s">
        <v>36</v>
      </c>
      <c r="X1303">
        <v>2546.67</v>
      </c>
    </row>
    <row r="1304" spans="1:24" x14ac:dyDescent="0.25">
      <c r="A1304" s="2">
        <v>101302</v>
      </c>
      <c r="B1304" s="1">
        <v>45709</v>
      </c>
      <c r="C1304" s="1">
        <v>45710</v>
      </c>
      <c r="D1304" s="1">
        <v>45722</v>
      </c>
      <c r="E1304" t="s">
        <v>3307</v>
      </c>
      <c r="F1304" t="s">
        <v>65</v>
      </c>
      <c r="G1304" t="s">
        <v>142</v>
      </c>
      <c r="H1304" t="s">
        <v>3308</v>
      </c>
      <c r="I1304" t="s">
        <v>198</v>
      </c>
      <c r="J1304" t="s">
        <v>52</v>
      </c>
      <c r="K1304" t="s">
        <v>3309</v>
      </c>
      <c r="L1304" t="s">
        <v>113</v>
      </c>
      <c r="M1304" t="s">
        <v>38</v>
      </c>
      <c r="N1304" t="s">
        <v>92</v>
      </c>
      <c r="O1304" t="s">
        <v>93</v>
      </c>
      <c r="P1304" t="s">
        <v>76</v>
      </c>
      <c r="Q1304">
        <v>362</v>
      </c>
      <c r="R1304">
        <v>88.76</v>
      </c>
      <c r="S1304">
        <v>32131.119999999999</v>
      </c>
      <c r="T1304">
        <v>14.62</v>
      </c>
      <c r="U1304">
        <v>12</v>
      </c>
      <c r="V1304">
        <v>4026</v>
      </c>
      <c r="W1304" t="s">
        <v>36</v>
      </c>
      <c r="X1304">
        <v>2349.37</v>
      </c>
    </row>
    <row r="1305" spans="1:24" x14ac:dyDescent="0.25">
      <c r="A1305" s="2">
        <v>101303</v>
      </c>
      <c r="B1305" s="1">
        <v>45797</v>
      </c>
      <c r="C1305" s="1">
        <v>45802</v>
      </c>
      <c r="D1305" s="1">
        <v>45805</v>
      </c>
      <c r="E1305" t="s">
        <v>3310</v>
      </c>
      <c r="F1305" t="s">
        <v>65</v>
      </c>
      <c r="G1305" t="s">
        <v>70</v>
      </c>
      <c r="H1305" t="s">
        <v>3311</v>
      </c>
      <c r="I1305" t="s">
        <v>51</v>
      </c>
      <c r="J1305" t="s">
        <v>52</v>
      </c>
      <c r="K1305" t="s">
        <v>359</v>
      </c>
      <c r="L1305" t="s">
        <v>64</v>
      </c>
      <c r="M1305" t="s">
        <v>65</v>
      </c>
      <c r="N1305" t="s">
        <v>74</v>
      </c>
      <c r="O1305" t="s">
        <v>75</v>
      </c>
      <c r="P1305" t="s">
        <v>35</v>
      </c>
      <c r="Q1305">
        <v>343</v>
      </c>
      <c r="R1305">
        <v>42.3</v>
      </c>
      <c r="S1305">
        <v>14508.9</v>
      </c>
      <c r="T1305">
        <v>16.440000000000001</v>
      </c>
      <c r="U1305">
        <v>3</v>
      </c>
      <c r="V1305">
        <v>3362</v>
      </c>
      <c r="W1305" t="s">
        <v>36</v>
      </c>
      <c r="X1305">
        <v>30.58</v>
      </c>
    </row>
    <row r="1306" spans="1:24" x14ac:dyDescent="0.25">
      <c r="A1306" s="2">
        <v>101304</v>
      </c>
      <c r="B1306" s="1">
        <v>45840</v>
      </c>
      <c r="C1306" s="1">
        <v>45845</v>
      </c>
      <c r="D1306" s="1">
        <v>45855</v>
      </c>
      <c r="E1306" t="s">
        <v>3312</v>
      </c>
      <c r="F1306" t="s">
        <v>25</v>
      </c>
      <c r="G1306" t="s">
        <v>169</v>
      </c>
      <c r="H1306" t="s">
        <v>3313</v>
      </c>
      <c r="I1306" t="s">
        <v>61</v>
      </c>
      <c r="J1306" t="s">
        <v>62</v>
      </c>
      <c r="K1306" t="s">
        <v>907</v>
      </c>
      <c r="L1306" t="s">
        <v>64</v>
      </c>
      <c r="M1306" t="s">
        <v>25</v>
      </c>
      <c r="N1306" t="s">
        <v>33</v>
      </c>
      <c r="O1306" t="s">
        <v>34</v>
      </c>
      <c r="P1306" t="s">
        <v>35</v>
      </c>
      <c r="Q1306">
        <v>469</v>
      </c>
      <c r="R1306">
        <v>27.05</v>
      </c>
      <c r="S1306">
        <v>12686.45</v>
      </c>
      <c r="T1306">
        <v>19.09</v>
      </c>
      <c r="U1306">
        <v>10</v>
      </c>
      <c r="V1306">
        <v>3244</v>
      </c>
      <c r="W1306" t="s">
        <v>36</v>
      </c>
      <c r="X1306">
        <v>2211.5100000000002</v>
      </c>
    </row>
    <row r="1307" spans="1:24" x14ac:dyDescent="0.25">
      <c r="A1307" s="2">
        <v>101305</v>
      </c>
      <c r="B1307" s="1">
        <v>45427</v>
      </c>
      <c r="C1307" s="1">
        <v>45432</v>
      </c>
      <c r="D1307" s="1">
        <v>45437</v>
      </c>
      <c r="E1307" t="s">
        <v>3314</v>
      </c>
      <c r="F1307" t="s">
        <v>54</v>
      </c>
      <c r="G1307" t="s">
        <v>193</v>
      </c>
      <c r="H1307" t="s">
        <v>3315</v>
      </c>
      <c r="I1307" t="s">
        <v>149</v>
      </c>
      <c r="J1307" t="s">
        <v>42</v>
      </c>
      <c r="K1307" t="s">
        <v>907</v>
      </c>
      <c r="L1307" t="s">
        <v>118</v>
      </c>
      <c r="M1307" t="s">
        <v>32</v>
      </c>
      <c r="N1307" t="s">
        <v>203</v>
      </c>
      <c r="O1307" t="s">
        <v>204</v>
      </c>
      <c r="P1307" t="s">
        <v>123</v>
      </c>
      <c r="Q1307">
        <v>333</v>
      </c>
      <c r="R1307">
        <v>398.98</v>
      </c>
      <c r="S1307">
        <v>132860.34</v>
      </c>
      <c r="T1307">
        <v>18.78</v>
      </c>
      <c r="U1307">
        <v>5</v>
      </c>
      <c r="V1307">
        <v>1354</v>
      </c>
      <c r="W1307" t="s">
        <v>36</v>
      </c>
      <c r="X1307">
        <v>12629.23</v>
      </c>
    </row>
    <row r="1308" spans="1:24" x14ac:dyDescent="0.25">
      <c r="A1308" s="2">
        <v>101306</v>
      </c>
      <c r="B1308" s="1">
        <v>45931</v>
      </c>
      <c r="C1308" s="1">
        <v>45932</v>
      </c>
      <c r="D1308" s="1">
        <v>45944</v>
      </c>
      <c r="E1308" t="s">
        <v>3316</v>
      </c>
      <c r="F1308" t="s">
        <v>54</v>
      </c>
      <c r="G1308" t="s">
        <v>158</v>
      </c>
      <c r="H1308" t="s">
        <v>3317</v>
      </c>
      <c r="I1308" t="s">
        <v>238</v>
      </c>
      <c r="J1308" t="s">
        <v>62</v>
      </c>
      <c r="K1308" t="s">
        <v>2199</v>
      </c>
      <c r="L1308" t="s">
        <v>31</v>
      </c>
      <c r="M1308" t="s">
        <v>54</v>
      </c>
      <c r="N1308" t="s">
        <v>203</v>
      </c>
      <c r="O1308" t="s">
        <v>204</v>
      </c>
      <c r="P1308" t="s">
        <v>35</v>
      </c>
      <c r="Q1308">
        <v>233</v>
      </c>
      <c r="R1308">
        <v>10.3</v>
      </c>
      <c r="S1308">
        <v>2399.9</v>
      </c>
      <c r="T1308">
        <v>14.13</v>
      </c>
      <c r="U1308">
        <v>12</v>
      </c>
      <c r="V1308">
        <v>1752</v>
      </c>
      <c r="W1308" t="s">
        <v>188</v>
      </c>
      <c r="X1308">
        <v>268.51</v>
      </c>
    </row>
    <row r="1309" spans="1:24" x14ac:dyDescent="0.25">
      <c r="A1309" s="2">
        <v>101307</v>
      </c>
      <c r="B1309" s="1">
        <v>45357</v>
      </c>
      <c r="C1309" s="1">
        <v>45361</v>
      </c>
      <c r="D1309" s="1">
        <v>45363</v>
      </c>
      <c r="E1309" t="s">
        <v>3169</v>
      </c>
      <c r="F1309" t="s">
        <v>65</v>
      </c>
      <c r="G1309" t="s">
        <v>154</v>
      </c>
      <c r="H1309" t="s">
        <v>3318</v>
      </c>
      <c r="I1309" t="s">
        <v>230</v>
      </c>
      <c r="J1309" t="s">
        <v>80</v>
      </c>
      <c r="K1309" t="s">
        <v>683</v>
      </c>
      <c r="L1309" t="s">
        <v>118</v>
      </c>
      <c r="M1309" t="s">
        <v>65</v>
      </c>
      <c r="N1309" t="s">
        <v>33</v>
      </c>
      <c r="O1309" t="s">
        <v>34</v>
      </c>
      <c r="P1309" t="s">
        <v>68</v>
      </c>
      <c r="Q1309">
        <v>133</v>
      </c>
      <c r="R1309">
        <v>128.01</v>
      </c>
      <c r="S1309">
        <v>17025.330000000002</v>
      </c>
      <c r="T1309">
        <v>27.5</v>
      </c>
      <c r="U1309">
        <v>2</v>
      </c>
      <c r="V1309">
        <v>1863</v>
      </c>
      <c r="W1309" t="s">
        <v>36</v>
      </c>
      <c r="X1309">
        <v>4153.8900000000003</v>
      </c>
    </row>
    <row r="1310" spans="1:24" x14ac:dyDescent="0.25">
      <c r="A1310" s="2">
        <v>101308</v>
      </c>
      <c r="B1310" s="1">
        <v>46019</v>
      </c>
      <c r="C1310" s="1">
        <v>46023</v>
      </c>
      <c r="D1310" s="1">
        <v>46030</v>
      </c>
      <c r="E1310" t="s">
        <v>3319</v>
      </c>
      <c r="F1310" t="s">
        <v>54</v>
      </c>
      <c r="G1310" t="s">
        <v>193</v>
      </c>
      <c r="H1310" t="s">
        <v>3320</v>
      </c>
      <c r="I1310" t="s">
        <v>238</v>
      </c>
      <c r="J1310" t="s">
        <v>62</v>
      </c>
      <c r="K1310" t="s">
        <v>2062</v>
      </c>
      <c r="L1310" t="s">
        <v>91</v>
      </c>
      <c r="M1310" t="s">
        <v>25</v>
      </c>
      <c r="N1310" t="s">
        <v>74</v>
      </c>
      <c r="O1310" t="s">
        <v>75</v>
      </c>
      <c r="P1310" t="s">
        <v>123</v>
      </c>
      <c r="Q1310">
        <v>443</v>
      </c>
      <c r="R1310">
        <v>24.53</v>
      </c>
      <c r="S1310">
        <v>10866.79</v>
      </c>
      <c r="T1310">
        <v>21.46</v>
      </c>
      <c r="U1310">
        <v>7</v>
      </c>
      <c r="V1310">
        <v>4042</v>
      </c>
      <c r="W1310" t="s">
        <v>36</v>
      </c>
      <c r="X1310">
        <v>1391.14</v>
      </c>
    </row>
    <row r="1311" spans="1:24" x14ac:dyDescent="0.25">
      <c r="A1311" s="2">
        <v>101309</v>
      </c>
      <c r="B1311" s="1">
        <v>45486</v>
      </c>
      <c r="C1311" s="1">
        <v>45486</v>
      </c>
      <c r="D1311" s="1">
        <v>45508</v>
      </c>
      <c r="E1311" t="s">
        <v>3321</v>
      </c>
      <c r="F1311" t="s">
        <v>25</v>
      </c>
      <c r="G1311" t="s">
        <v>244</v>
      </c>
      <c r="H1311" t="s">
        <v>3322</v>
      </c>
      <c r="I1311" t="s">
        <v>246</v>
      </c>
      <c r="J1311" t="s">
        <v>29</v>
      </c>
      <c r="K1311" t="s">
        <v>3323</v>
      </c>
      <c r="L1311" t="s">
        <v>122</v>
      </c>
      <c r="M1311" t="s">
        <v>54</v>
      </c>
      <c r="N1311" t="s">
        <v>203</v>
      </c>
      <c r="O1311" t="s">
        <v>204</v>
      </c>
      <c r="P1311" t="s">
        <v>76</v>
      </c>
      <c r="Q1311">
        <v>163</v>
      </c>
      <c r="R1311">
        <v>67.92</v>
      </c>
      <c r="S1311">
        <v>11070.96</v>
      </c>
      <c r="T1311">
        <v>10.99</v>
      </c>
      <c r="U1311">
        <v>22</v>
      </c>
      <c r="V1311">
        <v>3029</v>
      </c>
      <c r="W1311" t="s">
        <v>188</v>
      </c>
      <c r="X1311">
        <v>1744.4</v>
      </c>
    </row>
    <row r="1312" spans="1:24" x14ac:dyDescent="0.25">
      <c r="A1312" s="2">
        <v>101310</v>
      </c>
      <c r="B1312" s="1">
        <v>45557</v>
      </c>
      <c r="C1312" s="1">
        <v>45558</v>
      </c>
      <c r="D1312" s="1">
        <v>45562</v>
      </c>
      <c r="E1312" t="s">
        <v>3324</v>
      </c>
      <c r="F1312" t="s">
        <v>25</v>
      </c>
      <c r="G1312" t="s">
        <v>244</v>
      </c>
      <c r="H1312" t="s">
        <v>3325</v>
      </c>
      <c r="I1312" t="s">
        <v>61</v>
      </c>
      <c r="J1312" t="s">
        <v>62</v>
      </c>
      <c r="K1312" t="s">
        <v>3326</v>
      </c>
      <c r="L1312" t="s">
        <v>98</v>
      </c>
      <c r="M1312" t="s">
        <v>25</v>
      </c>
      <c r="N1312" t="s">
        <v>203</v>
      </c>
      <c r="O1312" t="s">
        <v>204</v>
      </c>
      <c r="P1312" t="s">
        <v>68</v>
      </c>
      <c r="Q1312">
        <v>149</v>
      </c>
      <c r="R1312">
        <v>7.15</v>
      </c>
      <c r="S1312">
        <v>1065.3499999999999</v>
      </c>
      <c r="T1312">
        <v>28.27</v>
      </c>
      <c r="U1312">
        <v>4</v>
      </c>
      <c r="V1312">
        <v>4259</v>
      </c>
      <c r="W1312" t="s">
        <v>57</v>
      </c>
      <c r="X1312">
        <v>100.52</v>
      </c>
    </row>
    <row r="1313" spans="1:24" x14ac:dyDescent="0.25">
      <c r="A1313" s="2">
        <v>101311</v>
      </c>
      <c r="B1313" s="1">
        <v>45334</v>
      </c>
      <c r="C1313" s="1">
        <v>45338</v>
      </c>
      <c r="D1313" s="1">
        <v>45345</v>
      </c>
      <c r="E1313" t="s">
        <v>3327</v>
      </c>
      <c r="F1313" t="s">
        <v>38</v>
      </c>
      <c r="G1313" t="s">
        <v>39</v>
      </c>
      <c r="H1313" t="s">
        <v>3328</v>
      </c>
      <c r="I1313" t="s">
        <v>238</v>
      </c>
      <c r="J1313" t="s">
        <v>62</v>
      </c>
      <c r="K1313" t="s">
        <v>1312</v>
      </c>
      <c r="L1313" t="s">
        <v>91</v>
      </c>
      <c r="M1313" t="s">
        <v>38</v>
      </c>
      <c r="N1313" t="s">
        <v>203</v>
      </c>
      <c r="O1313" t="s">
        <v>204</v>
      </c>
      <c r="P1313" t="s">
        <v>123</v>
      </c>
      <c r="Q1313">
        <v>492</v>
      </c>
      <c r="R1313">
        <v>21.91</v>
      </c>
      <c r="S1313">
        <v>10779.72</v>
      </c>
      <c r="T1313">
        <v>16.78</v>
      </c>
      <c r="U1313">
        <v>7</v>
      </c>
      <c r="V1313">
        <v>1556</v>
      </c>
      <c r="W1313" t="s">
        <v>36</v>
      </c>
      <c r="X1313">
        <v>1772.73</v>
      </c>
    </row>
    <row r="1314" spans="1:24" x14ac:dyDescent="0.25">
      <c r="A1314" s="2">
        <v>101312</v>
      </c>
      <c r="B1314" s="1">
        <v>45670</v>
      </c>
      <c r="C1314" s="1">
        <v>45670</v>
      </c>
      <c r="D1314" s="1">
        <v>45694</v>
      </c>
      <c r="E1314" t="s">
        <v>2314</v>
      </c>
      <c r="F1314" t="s">
        <v>25</v>
      </c>
      <c r="G1314" t="s">
        <v>172</v>
      </c>
      <c r="H1314" t="s">
        <v>3329</v>
      </c>
      <c r="I1314" t="s">
        <v>126</v>
      </c>
      <c r="J1314" t="s">
        <v>42</v>
      </c>
      <c r="K1314" t="s">
        <v>1068</v>
      </c>
      <c r="L1314" t="s">
        <v>122</v>
      </c>
      <c r="M1314" t="s">
        <v>65</v>
      </c>
      <c r="N1314" t="s">
        <v>102</v>
      </c>
      <c r="O1314" t="s">
        <v>103</v>
      </c>
      <c r="P1314" t="s">
        <v>76</v>
      </c>
      <c r="Q1314">
        <v>355</v>
      </c>
      <c r="R1314">
        <v>431.57</v>
      </c>
      <c r="S1314">
        <v>153207.35</v>
      </c>
      <c r="T1314">
        <v>14.49</v>
      </c>
      <c r="U1314">
        <v>24</v>
      </c>
      <c r="V1314">
        <v>1180</v>
      </c>
      <c r="W1314" t="s">
        <v>57</v>
      </c>
      <c r="X1314">
        <v>23331.56</v>
      </c>
    </row>
    <row r="1315" spans="1:24" x14ac:dyDescent="0.25">
      <c r="A1315" s="2">
        <v>101313</v>
      </c>
      <c r="B1315" s="1">
        <v>45896</v>
      </c>
      <c r="C1315" s="1">
        <v>45900</v>
      </c>
      <c r="D1315" s="1">
        <v>45903</v>
      </c>
      <c r="E1315" t="s">
        <v>3330</v>
      </c>
      <c r="F1315" t="s">
        <v>32</v>
      </c>
      <c r="G1315" t="s">
        <v>364</v>
      </c>
      <c r="H1315" t="s">
        <v>3331</v>
      </c>
      <c r="I1315" t="s">
        <v>177</v>
      </c>
      <c r="J1315" t="s">
        <v>29</v>
      </c>
      <c r="K1315" t="s">
        <v>2999</v>
      </c>
      <c r="L1315" t="s">
        <v>212</v>
      </c>
      <c r="M1315" t="s">
        <v>25</v>
      </c>
      <c r="N1315" t="s">
        <v>203</v>
      </c>
      <c r="O1315" t="s">
        <v>204</v>
      </c>
      <c r="P1315" t="s">
        <v>35</v>
      </c>
      <c r="Q1315">
        <v>268</v>
      </c>
      <c r="R1315">
        <v>24.12</v>
      </c>
      <c r="S1315">
        <v>6464.16</v>
      </c>
      <c r="T1315">
        <v>20.07</v>
      </c>
      <c r="U1315">
        <v>3</v>
      </c>
      <c r="V1315">
        <v>2202</v>
      </c>
      <c r="W1315" t="s">
        <v>36</v>
      </c>
      <c r="X1315">
        <v>1228.81</v>
      </c>
    </row>
    <row r="1316" spans="1:24" x14ac:dyDescent="0.25">
      <c r="A1316" s="2">
        <v>101314</v>
      </c>
      <c r="B1316" s="1">
        <v>45335</v>
      </c>
      <c r="C1316" s="1">
        <v>45335</v>
      </c>
      <c r="D1316" s="1">
        <v>45344</v>
      </c>
      <c r="E1316" t="s">
        <v>878</v>
      </c>
      <c r="F1316" t="s">
        <v>65</v>
      </c>
      <c r="G1316" t="s">
        <v>154</v>
      </c>
      <c r="H1316" t="s">
        <v>3332</v>
      </c>
      <c r="I1316" t="s">
        <v>416</v>
      </c>
      <c r="J1316" t="s">
        <v>80</v>
      </c>
      <c r="K1316" t="s">
        <v>3333</v>
      </c>
      <c r="L1316" t="s">
        <v>91</v>
      </c>
      <c r="M1316" t="s">
        <v>32</v>
      </c>
      <c r="N1316" t="s">
        <v>55</v>
      </c>
      <c r="O1316" t="s">
        <v>56</v>
      </c>
      <c r="P1316" t="s">
        <v>123</v>
      </c>
      <c r="Q1316">
        <v>29</v>
      </c>
      <c r="R1316">
        <v>228.58</v>
      </c>
      <c r="S1316">
        <v>6628.82</v>
      </c>
      <c r="T1316">
        <v>11.4</v>
      </c>
      <c r="U1316">
        <v>9</v>
      </c>
      <c r="V1316">
        <v>2176</v>
      </c>
      <c r="W1316" t="s">
        <v>36</v>
      </c>
      <c r="X1316">
        <v>1612.19</v>
      </c>
    </row>
    <row r="1317" spans="1:24" x14ac:dyDescent="0.25">
      <c r="A1317" s="2">
        <v>101315</v>
      </c>
      <c r="B1317" s="1">
        <v>45341</v>
      </c>
      <c r="C1317" s="1">
        <v>45344</v>
      </c>
      <c r="D1317" s="1">
        <v>45360</v>
      </c>
      <c r="E1317" t="s">
        <v>3334</v>
      </c>
      <c r="F1317" t="s">
        <v>38</v>
      </c>
      <c r="G1317" t="s">
        <v>49</v>
      </c>
      <c r="H1317" t="s">
        <v>3335</v>
      </c>
      <c r="I1317" t="s">
        <v>238</v>
      </c>
      <c r="J1317" t="s">
        <v>62</v>
      </c>
      <c r="K1317" t="s">
        <v>73</v>
      </c>
      <c r="L1317" t="s">
        <v>44</v>
      </c>
      <c r="M1317" t="s">
        <v>65</v>
      </c>
      <c r="N1317" t="s">
        <v>45</v>
      </c>
      <c r="O1317" t="s">
        <v>46</v>
      </c>
      <c r="P1317" t="s">
        <v>76</v>
      </c>
      <c r="Q1317">
        <v>360</v>
      </c>
      <c r="R1317">
        <v>21.89</v>
      </c>
      <c r="S1317">
        <v>7880.4</v>
      </c>
      <c r="T1317">
        <v>14.58</v>
      </c>
      <c r="U1317">
        <v>16</v>
      </c>
      <c r="V1317">
        <v>4790</v>
      </c>
      <c r="W1317" t="s">
        <v>57</v>
      </c>
      <c r="X1317">
        <v>1136.3</v>
      </c>
    </row>
    <row r="1318" spans="1:24" x14ac:dyDescent="0.25">
      <c r="A1318" s="2">
        <v>101316</v>
      </c>
      <c r="B1318" s="1">
        <v>45739</v>
      </c>
      <c r="C1318" s="1">
        <v>45739</v>
      </c>
      <c r="D1318" s="1">
        <v>45751</v>
      </c>
      <c r="E1318" t="s">
        <v>3336</v>
      </c>
      <c r="F1318" t="s">
        <v>32</v>
      </c>
      <c r="G1318" t="s">
        <v>137</v>
      </c>
      <c r="H1318" t="s">
        <v>3337</v>
      </c>
      <c r="I1318" t="s">
        <v>149</v>
      </c>
      <c r="J1318" t="s">
        <v>42</v>
      </c>
      <c r="K1318" t="s">
        <v>3338</v>
      </c>
      <c r="L1318" t="s">
        <v>212</v>
      </c>
      <c r="M1318" t="s">
        <v>32</v>
      </c>
      <c r="N1318" t="s">
        <v>45</v>
      </c>
      <c r="O1318" t="s">
        <v>46</v>
      </c>
      <c r="P1318" t="s">
        <v>123</v>
      </c>
      <c r="Q1318">
        <v>74</v>
      </c>
      <c r="R1318">
        <v>329.64</v>
      </c>
      <c r="S1318">
        <v>24393.360000000001</v>
      </c>
      <c r="T1318">
        <v>9.25</v>
      </c>
      <c r="U1318">
        <v>12</v>
      </c>
      <c r="V1318">
        <v>1648</v>
      </c>
      <c r="W1318" t="s">
        <v>36</v>
      </c>
      <c r="X1318">
        <v>2164.79</v>
      </c>
    </row>
    <row r="1319" spans="1:24" x14ac:dyDescent="0.25">
      <c r="A1319" s="2">
        <v>101317</v>
      </c>
      <c r="B1319" s="1">
        <v>45914</v>
      </c>
      <c r="C1319" s="1">
        <v>45916</v>
      </c>
      <c r="D1319" s="1">
        <v>45934</v>
      </c>
      <c r="E1319" t="s">
        <v>1363</v>
      </c>
      <c r="F1319" t="s">
        <v>32</v>
      </c>
      <c r="G1319" t="s">
        <v>364</v>
      </c>
      <c r="H1319" t="s">
        <v>3339</v>
      </c>
      <c r="I1319" t="s">
        <v>61</v>
      </c>
      <c r="J1319" t="s">
        <v>62</v>
      </c>
      <c r="K1319" t="s">
        <v>1788</v>
      </c>
      <c r="L1319" t="s">
        <v>187</v>
      </c>
      <c r="M1319" t="s">
        <v>65</v>
      </c>
      <c r="N1319" t="s">
        <v>45</v>
      </c>
      <c r="O1319" t="s">
        <v>46</v>
      </c>
      <c r="P1319" t="s">
        <v>76</v>
      </c>
      <c r="Q1319">
        <v>458</v>
      </c>
      <c r="R1319">
        <v>44.45</v>
      </c>
      <c r="S1319">
        <v>20358.099999999999</v>
      </c>
      <c r="T1319">
        <v>16.37</v>
      </c>
      <c r="U1319">
        <v>18</v>
      </c>
      <c r="V1319">
        <v>2312</v>
      </c>
      <c r="W1319" t="s">
        <v>36</v>
      </c>
      <c r="X1319">
        <v>1888.61</v>
      </c>
    </row>
    <row r="1320" spans="1:24" x14ac:dyDescent="0.25">
      <c r="A1320" s="2">
        <v>101318</v>
      </c>
      <c r="B1320" s="1">
        <v>45516</v>
      </c>
      <c r="C1320" s="1">
        <v>45518</v>
      </c>
      <c r="D1320" s="1">
        <v>45542</v>
      </c>
      <c r="E1320" t="s">
        <v>3340</v>
      </c>
      <c r="F1320" t="s">
        <v>54</v>
      </c>
      <c r="G1320" t="s">
        <v>158</v>
      </c>
      <c r="H1320" t="s">
        <v>3341</v>
      </c>
      <c r="I1320" t="s">
        <v>85</v>
      </c>
      <c r="J1320" t="s">
        <v>52</v>
      </c>
      <c r="K1320" t="s">
        <v>1245</v>
      </c>
      <c r="L1320" t="s">
        <v>44</v>
      </c>
      <c r="M1320" t="s">
        <v>25</v>
      </c>
      <c r="N1320" t="s">
        <v>203</v>
      </c>
      <c r="O1320" t="s">
        <v>204</v>
      </c>
      <c r="P1320" t="s">
        <v>76</v>
      </c>
      <c r="Q1320">
        <v>122</v>
      </c>
      <c r="R1320">
        <v>68.58</v>
      </c>
      <c r="S1320">
        <v>8366.76</v>
      </c>
      <c r="T1320">
        <v>10.24</v>
      </c>
      <c r="U1320">
        <v>24</v>
      </c>
      <c r="V1320">
        <v>2920</v>
      </c>
      <c r="W1320" t="s">
        <v>36</v>
      </c>
      <c r="X1320">
        <v>1103.08</v>
      </c>
    </row>
    <row r="1321" spans="1:24" x14ac:dyDescent="0.25">
      <c r="A1321" s="2">
        <v>101319</v>
      </c>
      <c r="B1321" s="1">
        <v>45916</v>
      </c>
      <c r="C1321" s="1">
        <v>45919</v>
      </c>
      <c r="D1321" s="1">
        <v>45925</v>
      </c>
      <c r="E1321" t="s">
        <v>3342</v>
      </c>
      <c r="F1321" t="s">
        <v>38</v>
      </c>
      <c r="G1321" t="s">
        <v>83</v>
      </c>
      <c r="H1321" t="s">
        <v>3343</v>
      </c>
      <c r="I1321" t="s">
        <v>191</v>
      </c>
      <c r="J1321" t="s">
        <v>62</v>
      </c>
      <c r="K1321" t="s">
        <v>2892</v>
      </c>
      <c r="L1321" t="s">
        <v>64</v>
      </c>
      <c r="M1321" t="s">
        <v>54</v>
      </c>
      <c r="N1321" t="s">
        <v>92</v>
      </c>
      <c r="O1321" t="s">
        <v>93</v>
      </c>
      <c r="P1321" t="s">
        <v>123</v>
      </c>
      <c r="Q1321">
        <v>149</v>
      </c>
      <c r="R1321">
        <v>48.93</v>
      </c>
      <c r="S1321">
        <v>7290.57</v>
      </c>
      <c r="T1321">
        <v>14.31</v>
      </c>
      <c r="U1321">
        <v>6</v>
      </c>
      <c r="V1321">
        <v>2858</v>
      </c>
      <c r="W1321" t="s">
        <v>36</v>
      </c>
      <c r="X1321">
        <v>530.97</v>
      </c>
    </row>
    <row r="1322" spans="1:24" x14ac:dyDescent="0.25">
      <c r="A1322" s="2">
        <v>101320</v>
      </c>
      <c r="B1322" s="1">
        <v>45297</v>
      </c>
      <c r="C1322" s="1">
        <v>45302</v>
      </c>
      <c r="D1322" s="1">
        <v>45305</v>
      </c>
      <c r="E1322" t="s">
        <v>3344</v>
      </c>
      <c r="F1322" t="s">
        <v>38</v>
      </c>
      <c r="G1322" t="s">
        <v>39</v>
      </c>
      <c r="H1322" t="s">
        <v>3345</v>
      </c>
      <c r="I1322" t="s">
        <v>139</v>
      </c>
      <c r="J1322" t="s">
        <v>42</v>
      </c>
      <c r="K1322" t="s">
        <v>1509</v>
      </c>
      <c r="L1322" t="s">
        <v>44</v>
      </c>
      <c r="M1322" t="s">
        <v>65</v>
      </c>
      <c r="N1322" t="s">
        <v>74</v>
      </c>
      <c r="O1322" t="s">
        <v>75</v>
      </c>
      <c r="P1322" t="s">
        <v>35</v>
      </c>
      <c r="Q1322">
        <v>358</v>
      </c>
      <c r="R1322">
        <v>89.88</v>
      </c>
      <c r="S1322">
        <v>32177.040000000001</v>
      </c>
      <c r="T1322">
        <v>22.62</v>
      </c>
      <c r="U1322">
        <v>3</v>
      </c>
      <c r="V1322">
        <v>1241</v>
      </c>
      <c r="W1322" t="s">
        <v>57</v>
      </c>
      <c r="X1322">
        <v>3236.79</v>
      </c>
    </row>
    <row r="1323" spans="1:24" x14ac:dyDescent="0.25">
      <c r="A1323" s="2">
        <v>101321</v>
      </c>
      <c r="B1323" s="1">
        <v>45394</v>
      </c>
      <c r="C1323" s="1">
        <v>45395</v>
      </c>
      <c r="D1323" s="1">
        <v>45398</v>
      </c>
      <c r="E1323" t="s">
        <v>3346</v>
      </c>
      <c r="F1323" t="s">
        <v>65</v>
      </c>
      <c r="G1323" t="s">
        <v>142</v>
      </c>
      <c r="H1323" t="s">
        <v>3347</v>
      </c>
      <c r="I1323" t="s">
        <v>230</v>
      </c>
      <c r="J1323" t="s">
        <v>80</v>
      </c>
      <c r="K1323" t="s">
        <v>2131</v>
      </c>
      <c r="L1323" t="s">
        <v>64</v>
      </c>
      <c r="M1323" t="s">
        <v>25</v>
      </c>
      <c r="N1323" t="s">
        <v>66</v>
      </c>
      <c r="O1323" t="s">
        <v>67</v>
      </c>
      <c r="P1323" t="s">
        <v>68</v>
      </c>
      <c r="Q1323">
        <v>115</v>
      </c>
      <c r="R1323">
        <v>324.64</v>
      </c>
      <c r="S1323">
        <v>37333.599999999999</v>
      </c>
      <c r="T1323">
        <v>35.96</v>
      </c>
      <c r="U1323">
        <v>3</v>
      </c>
      <c r="V1323">
        <v>375</v>
      </c>
      <c r="W1323" t="s">
        <v>36</v>
      </c>
      <c r="X1323">
        <v>8179.13</v>
      </c>
    </row>
    <row r="1324" spans="1:24" x14ac:dyDescent="0.25">
      <c r="A1324" s="2">
        <v>101322</v>
      </c>
      <c r="B1324" s="1">
        <v>45626</v>
      </c>
      <c r="C1324" s="1">
        <v>45629</v>
      </c>
      <c r="D1324" s="1">
        <v>45639</v>
      </c>
      <c r="E1324" t="s">
        <v>3348</v>
      </c>
      <c r="F1324" t="s">
        <v>25</v>
      </c>
      <c r="G1324" t="s">
        <v>172</v>
      </c>
      <c r="H1324" t="s">
        <v>3349</v>
      </c>
      <c r="I1324" t="s">
        <v>28</v>
      </c>
      <c r="J1324" t="s">
        <v>29</v>
      </c>
      <c r="K1324" t="s">
        <v>3350</v>
      </c>
      <c r="L1324" t="s">
        <v>98</v>
      </c>
      <c r="M1324" t="s">
        <v>54</v>
      </c>
      <c r="N1324" t="s">
        <v>107</v>
      </c>
      <c r="O1324" t="s">
        <v>108</v>
      </c>
      <c r="P1324" t="s">
        <v>35</v>
      </c>
      <c r="Q1324">
        <v>465</v>
      </c>
      <c r="R1324">
        <v>100.84</v>
      </c>
      <c r="S1324">
        <v>46890.6</v>
      </c>
      <c r="T1324">
        <v>25.66</v>
      </c>
      <c r="U1324">
        <v>10</v>
      </c>
      <c r="V1324">
        <v>1638</v>
      </c>
      <c r="W1324" t="s">
        <v>36</v>
      </c>
      <c r="X1324">
        <v>4701.1499999999996</v>
      </c>
    </row>
    <row r="1325" spans="1:24" x14ac:dyDescent="0.25">
      <c r="A1325" s="2">
        <v>101323</v>
      </c>
      <c r="B1325" s="1">
        <v>45832</v>
      </c>
      <c r="C1325" s="1">
        <v>45834</v>
      </c>
      <c r="D1325" s="1">
        <v>45837</v>
      </c>
      <c r="E1325" t="s">
        <v>3351</v>
      </c>
      <c r="F1325" t="s">
        <v>54</v>
      </c>
      <c r="G1325" t="s">
        <v>193</v>
      </c>
      <c r="H1325" t="s">
        <v>3352</v>
      </c>
      <c r="I1325" t="s">
        <v>177</v>
      </c>
      <c r="J1325" t="s">
        <v>29</v>
      </c>
      <c r="K1325" t="s">
        <v>1242</v>
      </c>
      <c r="L1325" t="s">
        <v>64</v>
      </c>
      <c r="M1325" t="s">
        <v>65</v>
      </c>
      <c r="N1325" t="s">
        <v>107</v>
      </c>
      <c r="O1325" t="s">
        <v>108</v>
      </c>
      <c r="P1325" t="s">
        <v>35</v>
      </c>
      <c r="Q1325">
        <v>490</v>
      </c>
      <c r="R1325">
        <v>102.62</v>
      </c>
      <c r="S1325">
        <v>50283.8</v>
      </c>
      <c r="T1325">
        <v>26.37</v>
      </c>
      <c r="U1325">
        <v>3</v>
      </c>
      <c r="V1325">
        <v>3194</v>
      </c>
      <c r="W1325" t="s">
        <v>36</v>
      </c>
      <c r="X1325">
        <v>11974.99</v>
      </c>
    </row>
    <row r="1326" spans="1:24" x14ac:dyDescent="0.25">
      <c r="A1326" s="2">
        <v>101324</v>
      </c>
      <c r="B1326" s="1">
        <v>45771</v>
      </c>
      <c r="C1326" s="1">
        <v>45771</v>
      </c>
      <c r="D1326" s="1">
        <v>45781</v>
      </c>
      <c r="E1326" t="s">
        <v>3353</v>
      </c>
      <c r="F1326" t="s">
        <v>25</v>
      </c>
      <c r="G1326" t="s">
        <v>26</v>
      </c>
      <c r="H1326" t="s">
        <v>3354</v>
      </c>
      <c r="I1326" t="s">
        <v>149</v>
      </c>
      <c r="J1326" t="s">
        <v>42</v>
      </c>
      <c r="K1326" t="s">
        <v>2170</v>
      </c>
      <c r="L1326" t="s">
        <v>122</v>
      </c>
      <c r="M1326" t="s">
        <v>65</v>
      </c>
      <c r="N1326" t="s">
        <v>74</v>
      </c>
      <c r="O1326" t="s">
        <v>75</v>
      </c>
      <c r="P1326" t="s">
        <v>35</v>
      </c>
      <c r="Q1326">
        <v>185</v>
      </c>
      <c r="R1326">
        <v>410.15</v>
      </c>
      <c r="S1326">
        <v>75877.75</v>
      </c>
      <c r="T1326">
        <v>17.72</v>
      </c>
      <c r="U1326">
        <v>10</v>
      </c>
      <c r="V1326">
        <v>82</v>
      </c>
      <c r="W1326" t="s">
        <v>36</v>
      </c>
      <c r="X1326">
        <v>7586.7</v>
      </c>
    </row>
    <row r="1327" spans="1:24" x14ac:dyDescent="0.25">
      <c r="A1327" s="2">
        <v>101325</v>
      </c>
      <c r="B1327" s="1">
        <v>45535</v>
      </c>
      <c r="C1327" s="1">
        <v>45539</v>
      </c>
      <c r="D1327" s="1">
        <v>45542</v>
      </c>
      <c r="E1327" t="s">
        <v>3355</v>
      </c>
      <c r="F1327" t="s">
        <v>38</v>
      </c>
      <c r="G1327" t="s">
        <v>147</v>
      </c>
      <c r="H1327" t="s">
        <v>3356</v>
      </c>
      <c r="I1327" t="s">
        <v>134</v>
      </c>
      <c r="J1327" t="s">
        <v>52</v>
      </c>
      <c r="K1327" t="s">
        <v>974</v>
      </c>
      <c r="L1327" t="s">
        <v>31</v>
      </c>
      <c r="M1327" t="s">
        <v>65</v>
      </c>
      <c r="N1327" t="s">
        <v>45</v>
      </c>
      <c r="O1327" t="s">
        <v>46</v>
      </c>
      <c r="P1327" t="s">
        <v>68</v>
      </c>
      <c r="Q1327">
        <v>415</v>
      </c>
      <c r="R1327">
        <v>25.75</v>
      </c>
      <c r="S1327">
        <v>10686.25</v>
      </c>
      <c r="T1327">
        <v>55.4</v>
      </c>
      <c r="U1327">
        <v>3</v>
      </c>
      <c r="V1327">
        <v>457</v>
      </c>
      <c r="W1327" t="s">
        <v>36</v>
      </c>
      <c r="X1327">
        <v>1987.78</v>
      </c>
    </row>
    <row r="1328" spans="1:24" x14ac:dyDescent="0.25">
      <c r="A1328" s="2">
        <v>101326</v>
      </c>
      <c r="B1328" s="1">
        <v>45434</v>
      </c>
      <c r="C1328" s="1">
        <v>45435</v>
      </c>
      <c r="D1328" s="1">
        <v>45449</v>
      </c>
      <c r="E1328" t="s">
        <v>3357</v>
      </c>
      <c r="F1328" t="s">
        <v>25</v>
      </c>
      <c r="G1328" t="s">
        <v>172</v>
      </c>
      <c r="H1328" t="s">
        <v>3358</v>
      </c>
      <c r="I1328" t="s">
        <v>116</v>
      </c>
      <c r="J1328" t="s">
        <v>62</v>
      </c>
      <c r="K1328" t="s">
        <v>3359</v>
      </c>
      <c r="L1328" t="s">
        <v>44</v>
      </c>
      <c r="M1328" t="s">
        <v>25</v>
      </c>
      <c r="N1328" t="s">
        <v>55</v>
      </c>
      <c r="O1328" t="s">
        <v>56</v>
      </c>
      <c r="P1328" t="s">
        <v>123</v>
      </c>
      <c r="Q1328">
        <v>211</v>
      </c>
      <c r="R1328">
        <v>44.73</v>
      </c>
      <c r="S1328">
        <v>9438.0300000000007</v>
      </c>
      <c r="T1328">
        <v>11.72</v>
      </c>
      <c r="U1328">
        <v>14</v>
      </c>
      <c r="V1328">
        <v>3465</v>
      </c>
      <c r="W1328" t="s">
        <v>36</v>
      </c>
      <c r="X1328">
        <v>646.04</v>
      </c>
    </row>
    <row r="1329" spans="1:24" x14ac:dyDescent="0.25">
      <c r="A1329" s="2">
        <v>101327</v>
      </c>
      <c r="B1329" s="1">
        <v>45668</v>
      </c>
      <c r="C1329" s="1">
        <v>45669</v>
      </c>
      <c r="D1329" s="1">
        <v>45680</v>
      </c>
      <c r="E1329" t="s">
        <v>3360</v>
      </c>
      <c r="F1329" t="s">
        <v>32</v>
      </c>
      <c r="G1329" t="s">
        <v>255</v>
      </c>
      <c r="H1329" t="s">
        <v>3361</v>
      </c>
      <c r="I1329" t="s">
        <v>416</v>
      </c>
      <c r="J1329" t="s">
        <v>80</v>
      </c>
      <c r="K1329" t="s">
        <v>3362</v>
      </c>
      <c r="L1329" t="s">
        <v>44</v>
      </c>
      <c r="M1329" t="s">
        <v>38</v>
      </c>
      <c r="N1329" t="s">
        <v>55</v>
      </c>
      <c r="O1329" t="s">
        <v>56</v>
      </c>
      <c r="P1329" t="s">
        <v>76</v>
      </c>
      <c r="Q1329">
        <v>125</v>
      </c>
      <c r="R1329">
        <v>231.94</v>
      </c>
      <c r="S1329">
        <v>28992.5</v>
      </c>
      <c r="T1329">
        <v>10.3</v>
      </c>
      <c r="U1329">
        <v>11</v>
      </c>
      <c r="V1329">
        <v>108</v>
      </c>
      <c r="W1329" t="s">
        <v>57</v>
      </c>
      <c r="X1329">
        <v>7478.94</v>
      </c>
    </row>
    <row r="1330" spans="1:24" x14ac:dyDescent="0.25">
      <c r="A1330" s="2">
        <v>101328</v>
      </c>
      <c r="B1330" s="1">
        <v>45884</v>
      </c>
      <c r="C1330" s="1">
        <v>45884</v>
      </c>
      <c r="D1330" s="1">
        <v>45887</v>
      </c>
      <c r="E1330" t="s">
        <v>3363</v>
      </c>
      <c r="F1330" t="s">
        <v>65</v>
      </c>
      <c r="G1330" t="s">
        <v>142</v>
      </c>
      <c r="H1330" t="s">
        <v>3364</v>
      </c>
      <c r="I1330" t="s">
        <v>230</v>
      </c>
      <c r="J1330" t="s">
        <v>80</v>
      </c>
      <c r="K1330" t="s">
        <v>766</v>
      </c>
      <c r="L1330" t="s">
        <v>118</v>
      </c>
      <c r="M1330" t="s">
        <v>32</v>
      </c>
      <c r="N1330" t="s">
        <v>151</v>
      </c>
      <c r="O1330" t="s">
        <v>152</v>
      </c>
      <c r="P1330" t="s">
        <v>68</v>
      </c>
      <c r="Q1330">
        <v>81</v>
      </c>
      <c r="R1330">
        <v>58.71</v>
      </c>
      <c r="S1330">
        <v>4755.51</v>
      </c>
      <c r="T1330">
        <v>33.76</v>
      </c>
      <c r="U1330">
        <v>3</v>
      </c>
      <c r="V1330">
        <v>1324</v>
      </c>
      <c r="W1330" t="s">
        <v>36</v>
      </c>
      <c r="X1330">
        <v>554.34</v>
      </c>
    </row>
    <row r="1331" spans="1:24" x14ac:dyDescent="0.25">
      <c r="A1331" s="2">
        <v>101329</v>
      </c>
      <c r="B1331" s="1">
        <v>45753</v>
      </c>
      <c r="C1331" s="1">
        <v>45758</v>
      </c>
      <c r="D1331" s="1">
        <v>45779</v>
      </c>
      <c r="E1331" t="s">
        <v>3365</v>
      </c>
      <c r="F1331" t="s">
        <v>32</v>
      </c>
      <c r="G1331" t="s">
        <v>137</v>
      </c>
      <c r="H1331" t="s">
        <v>3366</v>
      </c>
      <c r="I1331" t="s">
        <v>134</v>
      </c>
      <c r="J1331" t="s">
        <v>52</v>
      </c>
      <c r="K1331" t="s">
        <v>1273</v>
      </c>
      <c r="L1331" t="s">
        <v>118</v>
      </c>
      <c r="M1331" t="s">
        <v>65</v>
      </c>
      <c r="N1331" t="s">
        <v>74</v>
      </c>
      <c r="O1331" t="s">
        <v>75</v>
      </c>
      <c r="P1331" t="s">
        <v>76</v>
      </c>
      <c r="Q1331">
        <v>363</v>
      </c>
      <c r="R1331">
        <v>46.36</v>
      </c>
      <c r="S1331">
        <v>16828.68</v>
      </c>
      <c r="T1331">
        <v>14.63</v>
      </c>
      <c r="U1331">
        <v>21</v>
      </c>
      <c r="V1331">
        <v>2577</v>
      </c>
      <c r="W1331" t="s">
        <v>47</v>
      </c>
      <c r="X1331">
        <v>-128.28</v>
      </c>
    </row>
    <row r="1332" spans="1:24" x14ac:dyDescent="0.25">
      <c r="A1332" s="2">
        <v>101330</v>
      </c>
      <c r="B1332" s="1">
        <v>45477</v>
      </c>
      <c r="C1332" s="1">
        <v>45482</v>
      </c>
      <c r="D1332" s="1">
        <v>45486</v>
      </c>
      <c r="E1332" t="s">
        <v>3367</v>
      </c>
      <c r="F1332" t="s">
        <v>25</v>
      </c>
      <c r="G1332" t="s">
        <v>233</v>
      </c>
      <c r="H1332" t="s">
        <v>3368</v>
      </c>
      <c r="I1332" t="s">
        <v>72</v>
      </c>
      <c r="J1332" t="s">
        <v>42</v>
      </c>
      <c r="K1332" t="s">
        <v>3018</v>
      </c>
      <c r="L1332" t="s">
        <v>91</v>
      </c>
      <c r="M1332" t="s">
        <v>38</v>
      </c>
      <c r="N1332" t="s">
        <v>102</v>
      </c>
      <c r="O1332" t="s">
        <v>103</v>
      </c>
      <c r="P1332" t="s">
        <v>123</v>
      </c>
      <c r="Q1332">
        <v>337</v>
      </c>
      <c r="R1332">
        <v>68.5</v>
      </c>
      <c r="S1332">
        <v>23084.5</v>
      </c>
      <c r="T1332">
        <v>18.88</v>
      </c>
      <c r="U1332">
        <v>4</v>
      </c>
      <c r="V1332">
        <v>603</v>
      </c>
      <c r="W1332" t="s">
        <v>36</v>
      </c>
      <c r="X1332">
        <v>4311.8500000000004</v>
      </c>
    </row>
    <row r="1333" spans="1:24" x14ac:dyDescent="0.25">
      <c r="A1333" s="2">
        <v>101331</v>
      </c>
      <c r="B1333" s="1">
        <v>45314</v>
      </c>
      <c r="C1333" s="1">
        <v>45314</v>
      </c>
      <c r="D1333" s="1">
        <v>45322</v>
      </c>
      <c r="E1333" t="s">
        <v>3369</v>
      </c>
      <c r="F1333" t="s">
        <v>32</v>
      </c>
      <c r="G1333" t="s">
        <v>110</v>
      </c>
      <c r="H1333" t="s">
        <v>3370</v>
      </c>
      <c r="I1333" t="s">
        <v>28</v>
      </c>
      <c r="J1333" t="s">
        <v>29</v>
      </c>
      <c r="K1333" t="s">
        <v>1880</v>
      </c>
      <c r="L1333" t="s">
        <v>98</v>
      </c>
      <c r="M1333" t="s">
        <v>25</v>
      </c>
      <c r="N1333" t="s">
        <v>55</v>
      </c>
      <c r="O1333" t="s">
        <v>56</v>
      </c>
      <c r="P1333" t="s">
        <v>35</v>
      </c>
      <c r="Q1333">
        <v>384</v>
      </c>
      <c r="R1333">
        <v>97</v>
      </c>
      <c r="S1333">
        <v>37248</v>
      </c>
      <c r="T1333">
        <v>23.36</v>
      </c>
      <c r="U1333">
        <v>8</v>
      </c>
      <c r="V1333">
        <v>2826</v>
      </c>
      <c r="W1333" t="s">
        <v>36</v>
      </c>
      <c r="X1333">
        <v>4219.25</v>
      </c>
    </row>
    <row r="1334" spans="1:24" x14ac:dyDescent="0.25">
      <c r="A1334" s="2">
        <v>101332</v>
      </c>
      <c r="B1334" s="1">
        <v>45517</v>
      </c>
      <c r="C1334" s="1">
        <v>45519</v>
      </c>
      <c r="D1334" s="1">
        <v>45524</v>
      </c>
      <c r="E1334" t="s">
        <v>3371</v>
      </c>
      <c r="F1334" t="s">
        <v>32</v>
      </c>
      <c r="G1334" t="s">
        <v>255</v>
      </c>
      <c r="H1334" t="s">
        <v>3372</v>
      </c>
      <c r="I1334" t="s">
        <v>182</v>
      </c>
      <c r="J1334" t="s">
        <v>80</v>
      </c>
      <c r="K1334" t="s">
        <v>3373</v>
      </c>
      <c r="L1334" t="s">
        <v>118</v>
      </c>
      <c r="M1334" t="s">
        <v>38</v>
      </c>
      <c r="N1334" t="s">
        <v>33</v>
      </c>
      <c r="O1334" t="s">
        <v>34</v>
      </c>
      <c r="P1334" t="s">
        <v>35</v>
      </c>
      <c r="Q1334">
        <v>21</v>
      </c>
      <c r="R1334">
        <v>227.87</v>
      </c>
      <c r="S1334">
        <v>4785.2700000000004</v>
      </c>
      <c r="T1334">
        <v>13.07</v>
      </c>
      <c r="U1334">
        <v>5</v>
      </c>
      <c r="V1334">
        <v>618</v>
      </c>
      <c r="W1334" t="s">
        <v>57</v>
      </c>
      <c r="X1334">
        <v>699.98</v>
      </c>
    </row>
    <row r="1335" spans="1:24" x14ac:dyDescent="0.25">
      <c r="A1335" s="2">
        <v>101333</v>
      </c>
      <c r="B1335" s="1">
        <v>45363</v>
      </c>
      <c r="C1335" s="1">
        <v>45365</v>
      </c>
      <c r="D1335" s="1">
        <v>45377</v>
      </c>
      <c r="E1335" t="s">
        <v>3374</v>
      </c>
      <c r="F1335" t="s">
        <v>54</v>
      </c>
      <c r="G1335" t="s">
        <v>225</v>
      </c>
      <c r="H1335" t="s">
        <v>3375</v>
      </c>
      <c r="I1335" t="s">
        <v>79</v>
      </c>
      <c r="J1335" t="s">
        <v>80</v>
      </c>
      <c r="K1335" t="s">
        <v>1371</v>
      </c>
      <c r="L1335" t="s">
        <v>91</v>
      </c>
      <c r="M1335" t="s">
        <v>54</v>
      </c>
      <c r="N1335" t="s">
        <v>55</v>
      </c>
      <c r="O1335" t="s">
        <v>56</v>
      </c>
      <c r="P1335" t="s">
        <v>76</v>
      </c>
      <c r="Q1335">
        <v>128</v>
      </c>
      <c r="R1335">
        <v>182.54</v>
      </c>
      <c r="S1335">
        <v>23365.119999999999</v>
      </c>
      <c r="T1335">
        <v>7.67</v>
      </c>
      <c r="U1335">
        <v>12</v>
      </c>
      <c r="V1335">
        <v>1312</v>
      </c>
      <c r="W1335" t="s">
        <v>57</v>
      </c>
      <c r="X1335">
        <v>3013.21</v>
      </c>
    </row>
    <row r="1336" spans="1:24" x14ac:dyDescent="0.25">
      <c r="A1336" s="2">
        <v>101334</v>
      </c>
      <c r="B1336" s="1">
        <v>45786</v>
      </c>
      <c r="C1336" s="1">
        <v>45786</v>
      </c>
      <c r="D1336" s="1">
        <v>45789</v>
      </c>
      <c r="E1336" t="s">
        <v>3376</v>
      </c>
      <c r="F1336" t="s">
        <v>32</v>
      </c>
      <c r="G1336" t="s">
        <v>273</v>
      </c>
      <c r="H1336" t="s">
        <v>3377</v>
      </c>
      <c r="I1336" t="s">
        <v>126</v>
      </c>
      <c r="J1336" t="s">
        <v>42</v>
      </c>
      <c r="K1336" t="s">
        <v>3378</v>
      </c>
      <c r="L1336" t="s">
        <v>212</v>
      </c>
      <c r="M1336" t="s">
        <v>32</v>
      </c>
      <c r="N1336" t="s">
        <v>55</v>
      </c>
      <c r="O1336" t="s">
        <v>56</v>
      </c>
      <c r="P1336" t="s">
        <v>68</v>
      </c>
      <c r="Q1336">
        <v>411</v>
      </c>
      <c r="R1336">
        <v>150.25</v>
      </c>
      <c r="S1336">
        <v>61752.75</v>
      </c>
      <c r="T1336">
        <v>40.85</v>
      </c>
      <c r="U1336">
        <v>3</v>
      </c>
      <c r="V1336">
        <v>1096</v>
      </c>
      <c r="W1336" t="s">
        <v>36</v>
      </c>
      <c r="X1336">
        <v>7423.94</v>
      </c>
    </row>
    <row r="1337" spans="1:24" x14ac:dyDescent="0.25">
      <c r="A1337" s="2">
        <v>101335</v>
      </c>
      <c r="B1337" s="1">
        <v>45444</v>
      </c>
      <c r="C1337" s="1">
        <v>45444</v>
      </c>
      <c r="D1337" s="1">
        <v>45449</v>
      </c>
      <c r="E1337" t="s">
        <v>3379</v>
      </c>
      <c r="F1337" t="s">
        <v>38</v>
      </c>
      <c r="G1337" t="s">
        <v>39</v>
      </c>
      <c r="H1337" t="s">
        <v>3380</v>
      </c>
      <c r="I1337" t="s">
        <v>144</v>
      </c>
      <c r="J1337" t="s">
        <v>52</v>
      </c>
      <c r="K1337" t="s">
        <v>1143</v>
      </c>
      <c r="L1337" t="s">
        <v>98</v>
      </c>
      <c r="M1337" t="s">
        <v>65</v>
      </c>
      <c r="N1337" t="s">
        <v>45</v>
      </c>
      <c r="O1337" t="s">
        <v>46</v>
      </c>
      <c r="P1337" t="s">
        <v>35</v>
      </c>
      <c r="Q1337">
        <v>390</v>
      </c>
      <c r="R1337">
        <v>57.95</v>
      </c>
      <c r="S1337">
        <v>22600.5</v>
      </c>
      <c r="T1337">
        <v>23.53</v>
      </c>
      <c r="U1337">
        <v>5</v>
      </c>
      <c r="V1337">
        <v>3280</v>
      </c>
      <c r="W1337" t="s">
        <v>36</v>
      </c>
      <c r="X1337">
        <v>1738.75</v>
      </c>
    </row>
    <row r="1338" spans="1:24" x14ac:dyDescent="0.25">
      <c r="A1338" s="2">
        <v>101336</v>
      </c>
      <c r="B1338" s="1">
        <v>45436</v>
      </c>
      <c r="C1338" s="1">
        <v>45439</v>
      </c>
      <c r="D1338" s="1">
        <v>45444</v>
      </c>
      <c r="E1338" t="s">
        <v>3381</v>
      </c>
      <c r="F1338" t="s">
        <v>65</v>
      </c>
      <c r="G1338" t="s">
        <v>142</v>
      </c>
      <c r="H1338" t="s">
        <v>3382</v>
      </c>
      <c r="I1338" t="s">
        <v>126</v>
      </c>
      <c r="J1338" t="s">
        <v>42</v>
      </c>
      <c r="K1338" t="s">
        <v>404</v>
      </c>
      <c r="L1338" t="s">
        <v>31</v>
      </c>
      <c r="M1338" t="s">
        <v>25</v>
      </c>
      <c r="N1338" t="s">
        <v>102</v>
      </c>
      <c r="O1338" t="s">
        <v>103</v>
      </c>
      <c r="P1338" t="s">
        <v>68</v>
      </c>
      <c r="Q1338">
        <v>95</v>
      </c>
      <c r="R1338">
        <v>393.14</v>
      </c>
      <c r="S1338">
        <v>37348.300000000003</v>
      </c>
      <c r="T1338">
        <v>34.67</v>
      </c>
      <c r="U1338">
        <v>5</v>
      </c>
      <c r="V1338">
        <v>1784</v>
      </c>
      <c r="W1338" t="s">
        <v>36</v>
      </c>
      <c r="X1338">
        <v>3440.75</v>
      </c>
    </row>
    <row r="1339" spans="1:24" x14ac:dyDescent="0.25">
      <c r="A1339" s="2">
        <v>101337</v>
      </c>
      <c r="B1339" s="1">
        <v>45680</v>
      </c>
      <c r="C1339" s="1">
        <v>45685</v>
      </c>
      <c r="D1339" s="1">
        <v>45702</v>
      </c>
      <c r="E1339" t="s">
        <v>3383</v>
      </c>
      <c r="F1339" t="s">
        <v>65</v>
      </c>
      <c r="G1339" t="s">
        <v>70</v>
      </c>
      <c r="H1339" t="s">
        <v>3384</v>
      </c>
      <c r="I1339" t="s">
        <v>238</v>
      </c>
      <c r="J1339" t="s">
        <v>62</v>
      </c>
      <c r="K1339" t="s">
        <v>2019</v>
      </c>
      <c r="L1339" t="s">
        <v>122</v>
      </c>
      <c r="M1339" t="s">
        <v>65</v>
      </c>
      <c r="N1339" t="s">
        <v>151</v>
      </c>
      <c r="O1339" t="s">
        <v>152</v>
      </c>
      <c r="P1339" t="s">
        <v>76</v>
      </c>
      <c r="Q1339">
        <v>274</v>
      </c>
      <c r="R1339">
        <v>36.75</v>
      </c>
      <c r="S1339">
        <v>10069.5</v>
      </c>
      <c r="T1339">
        <v>9.64</v>
      </c>
      <c r="U1339">
        <v>17</v>
      </c>
      <c r="V1339">
        <v>1773</v>
      </c>
      <c r="W1339" t="s">
        <v>36</v>
      </c>
      <c r="X1339">
        <v>1010.04</v>
      </c>
    </row>
    <row r="1340" spans="1:24" x14ac:dyDescent="0.25">
      <c r="A1340" s="2">
        <v>101338</v>
      </c>
      <c r="B1340" s="1">
        <v>45754</v>
      </c>
      <c r="C1340" s="1">
        <v>45754</v>
      </c>
      <c r="D1340" s="1">
        <v>45773</v>
      </c>
      <c r="E1340" t="s">
        <v>3385</v>
      </c>
      <c r="F1340" t="s">
        <v>32</v>
      </c>
      <c r="G1340" t="s">
        <v>110</v>
      </c>
      <c r="H1340" t="s">
        <v>3386</v>
      </c>
      <c r="I1340" t="s">
        <v>41</v>
      </c>
      <c r="J1340" t="s">
        <v>42</v>
      </c>
      <c r="K1340" t="s">
        <v>1951</v>
      </c>
      <c r="L1340" t="s">
        <v>64</v>
      </c>
      <c r="M1340" t="s">
        <v>38</v>
      </c>
      <c r="N1340" t="s">
        <v>74</v>
      </c>
      <c r="O1340" t="s">
        <v>75</v>
      </c>
      <c r="P1340" t="s">
        <v>76</v>
      </c>
      <c r="Q1340">
        <v>294</v>
      </c>
      <c r="R1340">
        <v>418.8</v>
      </c>
      <c r="S1340">
        <v>123127.2</v>
      </c>
      <c r="T1340">
        <v>13.38</v>
      </c>
      <c r="U1340">
        <v>19</v>
      </c>
      <c r="V1340">
        <v>93</v>
      </c>
      <c r="W1340" t="s">
        <v>36</v>
      </c>
      <c r="X1340">
        <v>18365.66</v>
      </c>
    </row>
    <row r="1341" spans="1:24" x14ac:dyDescent="0.25">
      <c r="A1341" s="2">
        <v>101339</v>
      </c>
      <c r="B1341" s="1">
        <v>45732</v>
      </c>
      <c r="C1341" s="1">
        <v>45737</v>
      </c>
      <c r="D1341" s="1">
        <v>45741</v>
      </c>
      <c r="E1341" t="s">
        <v>3387</v>
      </c>
      <c r="F1341" t="s">
        <v>25</v>
      </c>
      <c r="G1341" t="s">
        <v>26</v>
      </c>
      <c r="H1341" t="s">
        <v>3388</v>
      </c>
      <c r="I1341" t="s">
        <v>134</v>
      </c>
      <c r="J1341" t="s">
        <v>52</v>
      </c>
      <c r="K1341" t="s">
        <v>2107</v>
      </c>
      <c r="L1341" t="s">
        <v>122</v>
      </c>
      <c r="M1341" t="s">
        <v>54</v>
      </c>
      <c r="N1341" t="s">
        <v>55</v>
      </c>
      <c r="O1341" t="s">
        <v>56</v>
      </c>
      <c r="P1341" t="s">
        <v>68</v>
      </c>
      <c r="Q1341">
        <v>480</v>
      </c>
      <c r="R1341">
        <v>20.64</v>
      </c>
      <c r="S1341">
        <v>9907.2000000000007</v>
      </c>
      <c r="T1341">
        <v>59.62</v>
      </c>
      <c r="U1341">
        <v>4</v>
      </c>
      <c r="V1341">
        <v>3332</v>
      </c>
      <c r="W1341" t="s">
        <v>57</v>
      </c>
      <c r="X1341">
        <v>1786.97</v>
      </c>
    </row>
    <row r="1342" spans="1:24" x14ac:dyDescent="0.25">
      <c r="A1342" s="2">
        <v>101340</v>
      </c>
      <c r="B1342" s="1">
        <v>45304</v>
      </c>
      <c r="C1342" s="1">
        <v>45305</v>
      </c>
      <c r="D1342" s="1">
        <v>45310</v>
      </c>
      <c r="E1342" t="s">
        <v>3389</v>
      </c>
      <c r="F1342" t="s">
        <v>65</v>
      </c>
      <c r="G1342" t="s">
        <v>70</v>
      </c>
      <c r="H1342" t="s">
        <v>3390</v>
      </c>
      <c r="I1342" t="s">
        <v>139</v>
      </c>
      <c r="J1342" t="s">
        <v>42</v>
      </c>
      <c r="K1342" t="s">
        <v>392</v>
      </c>
      <c r="L1342" t="s">
        <v>31</v>
      </c>
      <c r="M1342" t="s">
        <v>65</v>
      </c>
      <c r="N1342" t="s">
        <v>66</v>
      </c>
      <c r="O1342" t="s">
        <v>67</v>
      </c>
      <c r="P1342" t="s">
        <v>68</v>
      </c>
      <c r="Q1342">
        <v>228</v>
      </c>
      <c r="R1342">
        <v>158.38</v>
      </c>
      <c r="S1342">
        <v>36110.639999999999</v>
      </c>
      <c r="T1342">
        <v>32.06</v>
      </c>
      <c r="U1342">
        <v>5</v>
      </c>
      <c r="V1342">
        <v>503</v>
      </c>
      <c r="W1342" t="s">
        <v>36</v>
      </c>
      <c r="X1342">
        <v>7205.96</v>
      </c>
    </row>
    <row r="1343" spans="1:24" x14ac:dyDescent="0.25">
      <c r="A1343" s="2">
        <v>101341</v>
      </c>
      <c r="B1343" s="1">
        <v>45900</v>
      </c>
      <c r="C1343" s="1">
        <v>45904</v>
      </c>
      <c r="D1343" s="1">
        <v>45906</v>
      </c>
      <c r="E1343" t="s">
        <v>3391</v>
      </c>
      <c r="F1343" t="s">
        <v>25</v>
      </c>
      <c r="G1343" t="s">
        <v>221</v>
      </c>
      <c r="H1343" t="s">
        <v>3392</v>
      </c>
      <c r="I1343" t="s">
        <v>198</v>
      </c>
      <c r="J1343" t="s">
        <v>52</v>
      </c>
      <c r="K1343" t="s">
        <v>3393</v>
      </c>
      <c r="L1343" t="s">
        <v>91</v>
      </c>
      <c r="M1343" t="s">
        <v>65</v>
      </c>
      <c r="N1343" t="s">
        <v>55</v>
      </c>
      <c r="O1343" t="s">
        <v>56</v>
      </c>
      <c r="P1343" t="s">
        <v>68</v>
      </c>
      <c r="Q1343">
        <v>260</v>
      </c>
      <c r="R1343">
        <v>13.37</v>
      </c>
      <c r="S1343">
        <v>3476.2</v>
      </c>
      <c r="T1343">
        <v>45.36</v>
      </c>
      <c r="U1343">
        <v>2</v>
      </c>
      <c r="V1343">
        <v>1109</v>
      </c>
      <c r="W1343" t="s">
        <v>36</v>
      </c>
      <c r="X1343">
        <v>496.41</v>
      </c>
    </row>
    <row r="1344" spans="1:24" x14ac:dyDescent="0.25">
      <c r="A1344" s="2">
        <v>101342</v>
      </c>
      <c r="B1344" s="1">
        <v>45627</v>
      </c>
      <c r="C1344" s="1">
        <v>45629</v>
      </c>
      <c r="D1344" s="1">
        <v>45650</v>
      </c>
      <c r="E1344" t="s">
        <v>3394</v>
      </c>
      <c r="F1344" t="s">
        <v>54</v>
      </c>
      <c r="G1344" t="s">
        <v>193</v>
      </c>
      <c r="H1344" t="s">
        <v>3395</v>
      </c>
      <c r="I1344" t="s">
        <v>278</v>
      </c>
      <c r="J1344" t="s">
        <v>29</v>
      </c>
      <c r="K1344" t="s">
        <v>2378</v>
      </c>
      <c r="L1344" t="s">
        <v>31</v>
      </c>
      <c r="M1344" t="s">
        <v>38</v>
      </c>
      <c r="N1344" t="s">
        <v>203</v>
      </c>
      <c r="O1344" t="s">
        <v>204</v>
      </c>
      <c r="P1344" t="s">
        <v>76</v>
      </c>
      <c r="Q1344">
        <v>11</v>
      </c>
      <c r="R1344">
        <v>60.86</v>
      </c>
      <c r="S1344">
        <v>669.46</v>
      </c>
      <c r="T1344">
        <v>8.2200000000000006</v>
      </c>
      <c r="U1344">
        <v>21</v>
      </c>
      <c r="V1344">
        <v>1096</v>
      </c>
      <c r="W1344" t="s">
        <v>36</v>
      </c>
      <c r="X1344">
        <v>165.99</v>
      </c>
    </row>
    <row r="1345" spans="1:24" x14ac:dyDescent="0.25">
      <c r="A1345" s="2">
        <v>101343</v>
      </c>
      <c r="B1345" s="1">
        <v>45747</v>
      </c>
      <c r="C1345" s="1">
        <v>45748</v>
      </c>
      <c r="D1345" s="1">
        <v>45772</v>
      </c>
      <c r="E1345" t="s">
        <v>3396</v>
      </c>
      <c r="F1345" t="s">
        <v>54</v>
      </c>
      <c r="G1345" t="s">
        <v>193</v>
      </c>
      <c r="H1345" t="s">
        <v>3397</v>
      </c>
      <c r="I1345" t="s">
        <v>207</v>
      </c>
      <c r="J1345" t="s">
        <v>80</v>
      </c>
      <c r="K1345" t="s">
        <v>985</v>
      </c>
      <c r="L1345" t="s">
        <v>122</v>
      </c>
      <c r="M1345" t="s">
        <v>54</v>
      </c>
      <c r="N1345" t="s">
        <v>33</v>
      </c>
      <c r="O1345" t="s">
        <v>34</v>
      </c>
      <c r="P1345" t="s">
        <v>76</v>
      </c>
      <c r="Q1345">
        <v>66</v>
      </c>
      <c r="R1345">
        <v>123.7</v>
      </c>
      <c r="S1345">
        <v>8164.2</v>
      </c>
      <c r="T1345">
        <v>6.83</v>
      </c>
      <c r="U1345">
        <v>24</v>
      </c>
      <c r="V1345">
        <v>1038</v>
      </c>
      <c r="W1345" t="s">
        <v>36</v>
      </c>
      <c r="X1345">
        <v>1686.5</v>
      </c>
    </row>
    <row r="1346" spans="1:24" x14ac:dyDescent="0.25">
      <c r="A1346" s="2">
        <v>101344</v>
      </c>
      <c r="B1346" s="1">
        <v>46005</v>
      </c>
      <c r="C1346" s="1">
        <v>46006</v>
      </c>
      <c r="D1346" s="1">
        <v>46012</v>
      </c>
      <c r="E1346" t="s">
        <v>3398</v>
      </c>
      <c r="F1346" t="s">
        <v>32</v>
      </c>
      <c r="G1346" t="s">
        <v>137</v>
      </c>
      <c r="H1346" t="s">
        <v>3399</v>
      </c>
      <c r="I1346" t="s">
        <v>191</v>
      </c>
      <c r="J1346" t="s">
        <v>62</v>
      </c>
      <c r="K1346" t="s">
        <v>331</v>
      </c>
      <c r="L1346" t="s">
        <v>31</v>
      </c>
      <c r="M1346" t="s">
        <v>38</v>
      </c>
      <c r="N1346" t="s">
        <v>92</v>
      </c>
      <c r="O1346" t="s">
        <v>93</v>
      </c>
      <c r="P1346" t="s">
        <v>123</v>
      </c>
      <c r="Q1346">
        <v>236</v>
      </c>
      <c r="R1346">
        <v>25.85</v>
      </c>
      <c r="S1346">
        <v>6100.6</v>
      </c>
      <c r="T1346">
        <v>16.43</v>
      </c>
      <c r="U1346">
        <v>6</v>
      </c>
      <c r="V1346">
        <v>3519</v>
      </c>
      <c r="W1346" t="s">
        <v>36</v>
      </c>
      <c r="X1346">
        <v>784.12</v>
      </c>
    </row>
    <row r="1347" spans="1:24" x14ac:dyDescent="0.25">
      <c r="A1347" s="2">
        <v>101345</v>
      </c>
      <c r="B1347" s="1">
        <v>45607</v>
      </c>
      <c r="C1347" s="1">
        <v>45610</v>
      </c>
      <c r="D1347" s="1">
        <v>45632</v>
      </c>
      <c r="E1347" t="s">
        <v>390</v>
      </c>
      <c r="F1347" t="s">
        <v>65</v>
      </c>
      <c r="G1347" t="s">
        <v>70</v>
      </c>
      <c r="H1347" t="s">
        <v>3400</v>
      </c>
      <c r="I1347" t="s">
        <v>28</v>
      </c>
      <c r="J1347" t="s">
        <v>29</v>
      </c>
      <c r="K1347" t="s">
        <v>1228</v>
      </c>
      <c r="L1347" t="s">
        <v>122</v>
      </c>
      <c r="M1347" t="s">
        <v>54</v>
      </c>
      <c r="N1347" t="s">
        <v>55</v>
      </c>
      <c r="O1347" t="s">
        <v>56</v>
      </c>
      <c r="P1347" t="s">
        <v>76</v>
      </c>
      <c r="Q1347">
        <v>360</v>
      </c>
      <c r="R1347">
        <v>12.87</v>
      </c>
      <c r="S1347">
        <v>4633.2</v>
      </c>
      <c r="T1347">
        <v>14.58</v>
      </c>
      <c r="U1347">
        <v>22</v>
      </c>
      <c r="V1347">
        <v>1401</v>
      </c>
      <c r="W1347" t="s">
        <v>188</v>
      </c>
      <c r="X1347">
        <v>602.16</v>
      </c>
    </row>
    <row r="1348" spans="1:24" x14ac:dyDescent="0.25">
      <c r="A1348" s="2">
        <v>101346</v>
      </c>
      <c r="B1348" s="1">
        <v>45794</v>
      </c>
      <c r="C1348" s="1">
        <v>45797</v>
      </c>
      <c r="D1348" s="1">
        <v>45822</v>
      </c>
      <c r="E1348" t="s">
        <v>3401</v>
      </c>
      <c r="F1348" t="s">
        <v>25</v>
      </c>
      <c r="G1348" t="s">
        <v>244</v>
      </c>
      <c r="H1348" t="s">
        <v>3402</v>
      </c>
      <c r="I1348" t="s">
        <v>72</v>
      </c>
      <c r="J1348" t="s">
        <v>42</v>
      </c>
      <c r="K1348" t="s">
        <v>1717</v>
      </c>
      <c r="L1348" t="s">
        <v>31</v>
      </c>
      <c r="M1348" t="s">
        <v>54</v>
      </c>
      <c r="N1348" t="s">
        <v>203</v>
      </c>
      <c r="O1348" t="s">
        <v>204</v>
      </c>
      <c r="P1348" t="s">
        <v>76</v>
      </c>
      <c r="Q1348">
        <v>58</v>
      </c>
      <c r="R1348">
        <v>426.29</v>
      </c>
      <c r="S1348">
        <v>24724.82</v>
      </c>
      <c r="T1348">
        <v>9.08</v>
      </c>
      <c r="U1348">
        <v>25</v>
      </c>
      <c r="V1348">
        <v>1112</v>
      </c>
      <c r="W1348" t="s">
        <v>36</v>
      </c>
      <c r="X1348">
        <v>2909.63</v>
      </c>
    </row>
    <row r="1349" spans="1:24" x14ac:dyDescent="0.25">
      <c r="A1349" s="2">
        <v>101347</v>
      </c>
      <c r="B1349" s="1">
        <v>45424</v>
      </c>
      <c r="C1349" s="1">
        <v>45424</v>
      </c>
      <c r="D1349" s="1">
        <v>45433</v>
      </c>
      <c r="E1349" t="s">
        <v>3403</v>
      </c>
      <c r="F1349" t="s">
        <v>38</v>
      </c>
      <c r="G1349" t="s">
        <v>49</v>
      </c>
      <c r="H1349" t="s">
        <v>3404</v>
      </c>
      <c r="I1349" t="s">
        <v>149</v>
      </c>
      <c r="J1349" t="s">
        <v>42</v>
      </c>
      <c r="K1349" t="s">
        <v>3018</v>
      </c>
      <c r="L1349" t="s">
        <v>44</v>
      </c>
      <c r="M1349" t="s">
        <v>54</v>
      </c>
      <c r="N1349" t="s">
        <v>203</v>
      </c>
      <c r="O1349" t="s">
        <v>204</v>
      </c>
      <c r="P1349" t="s">
        <v>35</v>
      </c>
      <c r="Q1349">
        <v>398</v>
      </c>
      <c r="R1349">
        <v>438.45</v>
      </c>
      <c r="S1349">
        <v>174503.1</v>
      </c>
      <c r="T1349">
        <v>23.76</v>
      </c>
      <c r="U1349">
        <v>9</v>
      </c>
      <c r="V1349">
        <v>910</v>
      </c>
      <c r="W1349" t="s">
        <v>36</v>
      </c>
      <c r="X1349">
        <v>21069.37</v>
      </c>
    </row>
    <row r="1350" spans="1:24" x14ac:dyDescent="0.25">
      <c r="A1350" s="2">
        <v>101348</v>
      </c>
      <c r="B1350" s="1">
        <v>45859</v>
      </c>
      <c r="C1350" s="1">
        <v>45860</v>
      </c>
      <c r="D1350" s="1">
        <v>45870</v>
      </c>
      <c r="E1350" t="s">
        <v>2859</v>
      </c>
      <c r="F1350" t="s">
        <v>25</v>
      </c>
      <c r="G1350" t="s">
        <v>59</v>
      </c>
      <c r="H1350" t="s">
        <v>3405</v>
      </c>
      <c r="I1350" t="s">
        <v>41</v>
      </c>
      <c r="J1350" t="s">
        <v>42</v>
      </c>
      <c r="K1350" t="s">
        <v>1755</v>
      </c>
      <c r="L1350" t="s">
        <v>122</v>
      </c>
      <c r="M1350" t="s">
        <v>32</v>
      </c>
      <c r="N1350" t="s">
        <v>33</v>
      </c>
      <c r="O1350" t="s">
        <v>34</v>
      </c>
      <c r="P1350" t="s">
        <v>35</v>
      </c>
      <c r="Q1350">
        <v>19</v>
      </c>
      <c r="R1350">
        <v>240.27</v>
      </c>
      <c r="S1350">
        <v>4565.13</v>
      </c>
      <c r="T1350">
        <v>13.01</v>
      </c>
      <c r="U1350">
        <v>10</v>
      </c>
      <c r="V1350">
        <v>283</v>
      </c>
      <c r="W1350" t="s">
        <v>36</v>
      </c>
      <c r="X1350">
        <v>478.6</v>
      </c>
    </row>
    <row r="1351" spans="1:24" x14ac:dyDescent="0.25">
      <c r="A1351" s="2">
        <v>101349</v>
      </c>
      <c r="B1351" s="1">
        <v>45300</v>
      </c>
      <c r="C1351" s="1">
        <v>45304</v>
      </c>
      <c r="D1351" s="1">
        <v>45307</v>
      </c>
      <c r="E1351" t="s">
        <v>3406</v>
      </c>
      <c r="F1351" t="s">
        <v>32</v>
      </c>
      <c r="G1351" t="s">
        <v>255</v>
      </c>
      <c r="H1351" t="s">
        <v>3407</v>
      </c>
      <c r="I1351" t="s">
        <v>198</v>
      </c>
      <c r="J1351" t="s">
        <v>52</v>
      </c>
      <c r="K1351" t="s">
        <v>1374</v>
      </c>
      <c r="L1351" t="s">
        <v>187</v>
      </c>
      <c r="M1351" t="s">
        <v>25</v>
      </c>
      <c r="N1351" t="s">
        <v>102</v>
      </c>
      <c r="O1351" t="s">
        <v>103</v>
      </c>
      <c r="P1351" t="s">
        <v>68</v>
      </c>
      <c r="Q1351">
        <v>382</v>
      </c>
      <c r="R1351">
        <v>8.2799999999999994</v>
      </c>
      <c r="S1351">
        <v>3162.96</v>
      </c>
      <c r="T1351">
        <v>53.27</v>
      </c>
      <c r="U1351">
        <v>3</v>
      </c>
      <c r="V1351">
        <v>1154</v>
      </c>
      <c r="W1351" t="s">
        <v>47</v>
      </c>
      <c r="X1351">
        <v>-199.35</v>
      </c>
    </row>
    <row r="1352" spans="1:24" x14ac:dyDescent="0.25">
      <c r="A1352" s="2">
        <v>101350</v>
      </c>
      <c r="B1352" s="1">
        <v>45606</v>
      </c>
      <c r="C1352" s="1">
        <v>45608</v>
      </c>
      <c r="D1352" s="1">
        <v>45609</v>
      </c>
      <c r="E1352" t="s">
        <v>3408</v>
      </c>
      <c r="F1352" t="s">
        <v>25</v>
      </c>
      <c r="G1352" t="s">
        <v>244</v>
      </c>
      <c r="H1352" t="s">
        <v>3409</v>
      </c>
      <c r="I1352" t="s">
        <v>61</v>
      </c>
      <c r="J1352" t="s">
        <v>62</v>
      </c>
      <c r="K1352" t="s">
        <v>775</v>
      </c>
      <c r="L1352" t="s">
        <v>212</v>
      </c>
      <c r="M1352" t="s">
        <v>54</v>
      </c>
      <c r="N1352" t="s">
        <v>66</v>
      </c>
      <c r="O1352" t="s">
        <v>67</v>
      </c>
      <c r="P1352" t="s">
        <v>68</v>
      </c>
      <c r="Q1352">
        <v>460</v>
      </c>
      <c r="R1352">
        <v>17.12</v>
      </c>
      <c r="S1352">
        <v>7875.2</v>
      </c>
      <c r="T1352">
        <v>58.32</v>
      </c>
      <c r="U1352">
        <v>1</v>
      </c>
      <c r="V1352">
        <v>2819</v>
      </c>
      <c r="W1352" t="s">
        <v>36</v>
      </c>
      <c r="X1352">
        <v>627.49</v>
      </c>
    </row>
    <row r="1353" spans="1:24" x14ac:dyDescent="0.25">
      <c r="A1353" s="2">
        <v>101351</v>
      </c>
      <c r="B1353" s="1">
        <v>45827</v>
      </c>
      <c r="C1353" s="1">
        <v>45828</v>
      </c>
      <c r="D1353" s="1">
        <v>45831</v>
      </c>
      <c r="E1353" t="s">
        <v>3410</v>
      </c>
      <c r="F1353" t="s">
        <v>65</v>
      </c>
      <c r="G1353" t="s">
        <v>154</v>
      </c>
      <c r="H1353" t="s">
        <v>3364</v>
      </c>
      <c r="I1353" t="s">
        <v>191</v>
      </c>
      <c r="J1353" t="s">
        <v>62</v>
      </c>
      <c r="K1353" t="s">
        <v>867</v>
      </c>
      <c r="L1353" t="s">
        <v>187</v>
      </c>
      <c r="M1353" t="s">
        <v>38</v>
      </c>
      <c r="N1353" t="s">
        <v>107</v>
      </c>
      <c r="O1353" t="s">
        <v>108</v>
      </c>
      <c r="P1353" t="s">
        <v>68</v>
      </c>
      <c r="Q1353">
        <v>380</v>
      </c>
      <c r="R1353">
        <v>10.37</v>
      </c>
      <c r="S1353">
        <v>3940.6</v>
      </c>
      <c r="T1353">
        <v>53.14</v>
      </c>
      <c r="U1353">
        <v>3</v>
      </c>
      <c r="V1353">
        <v>475</v>
      </c>
      <c r="W1353" t="s">
        <v>36</v>
      </c>
      <c r="X1353">
        <v>153.85</v>
      </c>
    </row>
    <row r="1354" spans="1:24" x14ac:dyDescent="0.25">
      <c r="A1354" s="2">
        <v>101352</v>
      </c>
      <c r="B1354" s="1">
        <v>45488</v>
      </c>
      <c r="C1354" s="1">
        <v>45491</v>
      </c>
      <c r="D1354" s="1">
        <v>45506</v>
      </c>
      <c r="E1354" t="s">
        <v>3411</v>
      </c>
      <c r="F1354" t="s">
        <v>25</v>
      </c>
      <c r="G1354" t="s">
        <v>59</v>
      </c>
      <c r="H1354" t="s">
        <v>3412</v>
      </c>
      <c r="I1354" t="s">
        <v>41</v>
      </c>
      <c r="J1354" t="s">
        <v>42</v>
      </c>
      <c r="K1354" t="s">
        <v>3413</v>
      </c>
      <c r="L1354" t="s">
        <v>118</v>
      </c>
      <c r="M1354" t="s">
        <v>65</v>
      </c>
      <c r="N1354" t="s">
        <v>33</v>
      </c>
      <c r="O1354" t="s">
        <v>34</v>
      </c>
      <c r="P1354" t="s">
        <v>35</v>
      </c>
      <c r="Q1354">
        <v>145</v>
      </c>
      <c r="R1354">
        <v>73.39</v>
      </c>
      <c r="S1354">
        <v>10641.55</v>
      </c>
      <c r="T1354">
        <v>16.579999999999998</v>
      </c>
      <c r="U1354">
        <v>15</v>
      </c>
      <c r="V1354">
        <v>578</v>
      </c>
      <c r="W1354" t="s">
        <v>188</v>
      </c>
      <c r="X1354">
        <v>1373.6</v>
      </c>
    </row>
    <row r="1355" spans="1:24" x14ac:dyDescent="0.25">
      <c r="A1355" s="2">
        <v>101353</v>
      </c>
      <c r="B1355" s="1">
        <v>45813</v>
      </c>
      <c r="C1355" s="1">
        <v>45818</v>
      </c>
      <c r="D1355" s="1">
        <v>45824</v>
      </c>
      <c r="E1355" t="s">
        <v>3002</v>
      </c>
      <c r="F1355" t="s">
        <v>32</v>
      </c>
      <c r="G1355" t="s">
        <v>364</v>
      </c>
      <c r="H1355" t="s">
        <v>3414</v>
      </c>
      <c r="I1355" t="s">
        <v>89</v>
      </c>
      <c r="J1355" t="s">
        <v>62</v>
      </c>
      <c r="K1355" t="s">
        <v>1419</v>
      </c>
      <c r="L1355" t="s">
        <v>31</v>
      </c>
      <c r="M1355" t="s">
        <v>54</v>
      </c>
      <c r="N1355" t="s">
        <v>203</v>
      </c>
      <c r="O1355" t="s">
        <v>204</v>
      </c>
      <c r="P1355" t="s">
        <v>123</v>
      </c>
      <c r="Q1355">
        <v>116</v>
      </c>
      <c r="R1355">
        <v>7.29</v>
      </c>
      <c r="S1355">
        <v>845.64</v>
      </c>
      <c r="T1355">
        <v>13.51</v>
      </c>
      <c r="U1355">
        <v>6</v>
      </c>
      <c r="V1355">
        <v>4314</v>
      </c>
      <c r="W1355" t="s">
        <v>36</v>
      </c>
      <c r="X1355">
        <v>34.090000000000003</v>
      </c>
    </row>
    <row r="1356" spans="1:24" x14ac:dyDescent="0.25">
      <c r="A1356" s="2">
        <v>101354</v>
      </c>
      <c r="B1356" s="1">
        <v>45685</v>
      </c>
      <c r="C1356" s="1">
        <v>45686</v>
      </c>
      <c r="D1356" s="1">
        <v>45709</v>
      </c>
      <c r="E1356" t="s">
        <v>3415</v>
      </c>
      <c r="F1356" t="s">
        <v>65</v>
      </c>
      <c r="G1356" t="s">
        <v>142</v>
      </c>
      <c r="H1356" t="s">
        <v>3416</v>
      </c>
      <c r="I1356" t="s">
        <v>28</v>
      </c>
      <c r="J1356" t="s">
        <v>29</v>
      </c>
      <c r="K1356" t="s">
        <v>1242</v>
      </c>
      <c r="L1356" t="s">
        <v>91</v>
      </c>
      <c r="M1356" t="s">
        <v>25</v>
      </c>
      <c r="N1356" t="s">
        <v>92</v>
      </c>
      <c r="O1356" t="s">
        <v>93</v>
      </c>
      <c r="P1356" t="s">
        <v>76</v>
      </c>
      <c r="Q1356">
        <v>123</v>
      </c>
      <c r="R1356">
        <v>49.94</v>
      </c>
      <c r="S1356">
        <v>6142.62</v>
      </c>
      <c r="T1356">
        <v>10.26</v>
      </c>
      <c r="U1356">
        <v>23</v>
      </c>
      <c r="V1356">
        <v>1986</v>
      </c>
      <c r="W1356" t="s">
        <v>36</v>
      </c>
      <c r="X1356">
        <v>1129.99</v>
      </c>
    </row>
    <row r="1357" spans="1:24" x14ac:dyDescent="0.25">
      <c r="A1357" s="2">
        <v>101355</v>
      </c>
      <c r="B1357" s="1">
        <v>45402</v>
      </c>
      <c r="C1357" s="1">
        <v>45407</v>
      </c>
      <c r="D1357" s="1">
        <v>45431</v>
      </c>
      <c r="E1357" t="s">
        <v>2035</v>
      </c>
      <c r="F1357" t="s">
        <v>25</v>
      </c>
      <c r="G1357" t="s">
        <v>244</v>
      </c>
      <c r="H1357" t="s">
        <v>3417</v>
      </c>
      <c r="I1357" t="s">
        <v>139</v>
      </c>
      <c r="J1357" t="s">
        <v>42</v>
      </c>
      <c r="K1357" t="s">
        <v>1509</v>
      </c>
      <c r="L1357" t="s">
        <v>64</v>
      </c>
      <c r="M1357" t="s">
        <v>25</v>
      </c>
      <c r="N1357" t="s">
        <v>55</v>
      </c>
      <c r="O1357" t="s">
        <v>56</v>
      </c>
      <c r="P1357" t="s">
        <v>76</v>
      </c>
      <c r="Q1357">
        <v>442</v>
      </c>
      <c r="R1357">
        <v>238.16</v>
      </c>
      <c r="S1357">
        <v>105266.72</v>
      </c>
      <c r="T1357">
        <v>11.91</v>
      </c>
      <c r="U1357">
        <v>24</v>
      </c>
      <c r="V1357">
        <v>405</v>
      </c>
      <c r="W1357" t="s">
        <v>36</v>
      </c>
      <c r="X1357">
        <v>22597.61</v>
      </c>
    </row>
    <row r="1358" spans="1:24" x14ac:dyDescent="0.25">
      <c r="A1358" s="2">
        <v>101356</v>
      </c>
      <c r="B1358" s="1">
        <v>45711</v>
      </c>
      <c r="C1358" s="1">
        <v>45711</v>
      </c>
      <c r="D1358" s="1">
        <v>45715</v>
      </c>
      <c r="E1358" t="s">
        <v>3418</v>
      </c>
      <c r="F1358" t="s">
        <v>25</v>
      </c>
      <c r="G1358" t="s">
        <v>169</v>
      </c>
      <c r="H1358" t="s">
        <v>3419</v>
      </c>
      <c r="I1358" t="s">
        <v>41</v>
      </c>
      <c r="J1358" t="s">
        <v>42</v>
      </c>
      <c r="K1358" t="s">
        <v>489</v>
      </c>
      <c r="L1358" t="s">
        <v>212</v>
      </c>
      <c r="M1358" t="s">
        <v>32</v>
      </c>
      <c r="N1358" t="s">
        <v>66</v>
      </c>
      <c r="O1358" t="s">
        <v>67</v>
      </c>
      <c r="P1358" t="s">
        <v>68</v>
      </c>
      <c r="Q1358">
        <v>349</v>
      </c>
      <c r="R1358">
        <v>113.13</v>
      </c>
      <c r="S1358">
        <v>39482.370000000003</v>
      </c>
      <c r="T1358">
        <v>51.13</v>
      </c>
      <c r="U1358">
        <v>4</v>
      </c>
      <c r="V1358">
        <v>1592</v>
      </c>
      <c r="W1358" t="s">
        <v>36</v>
      </c>
      <c r="X1358">
        <v>7223.75</v>
      </c>
    </row>
    <row r="1359" spans="1:24" x14ac:dyDescent="0.25">
      <c r="A1359" s="2">
        <v>101357</v>
      </c>
      <c r="B1359" s="1">
        <v>45857</v>
      </c>
      <c r="C1359" s="1">
        <v>45858</v>
      </c>
      <c r="D1359" s="1">
        <v>45871</v>
      </c>
      <c r="E1359" t="s">
        <v>3420</v>
      </c>
      <c r="F1359" t="s">
        <v>38</v>
      </c>
      <c r="G1359" t="s">
        <v>83</v>
      </c>
      <c r="H1359" t="s">
        <v>3421</v>
      </c>
      <c r="I1359" t="s">
        <v>85</v>
      </c>
      <c r="J1359" t="s">
        <v>52</v>
      </c>
      <c r="K1359" t="s">
        <v>455</v>
      </c>
      <c r="L1359" t="s">
        <v>91</v>
      </c>
      <c r="M1359" t="s">
        <v>32</v>
      </c>
      <c r="N1359" t="s">
        <v>107</v>
      </c>
      <c r="O1359" t="s">
        <v>108</v>
      </c>
      <c r="P1359" t="s">
        <v>123</v>
      </c>
      <c r="Q1359">
        <v>480</v>
      </c>
      <c r="R1359">
        <v>61.11</v>
      </c>
      <c r="S1359">
        <v>29332.799999999999</v>
      </c>
      <c r="T1359">
        <v>22.36</v>
      </c>
      <c r="U1359">
        <v>13</v>
      </c>
      <c r="V1359">
        <v>3905</v>
      </c>
      <c r="W1359" t="s">
        <v>36</v>
      </c>
      <c r="X1359">
        <v>5625.55</v>
      </c>
    </row>
    <row r="1360" spans="1:24" x14ac:dyDescent="0.25">
      <c r="A1360" s="2">
        <v>101358</v>
      </c>
      <c r="B1360" s="1">
        <v>45755</v>
      </c>
      <c r="C1360" s="1">
        <v>45756</v>
      </c>
      <c r="D1360" s="1">
        <v>45758</v>
      </c>
      <c r="E1360" t="s">
        <v>3422</v>
      </c>
      <c r="F1360" t="s">
        <v>65</v>
      </c>
      <c r="G1360" t="s">
        <v>70</v>
      </c>
      <c r="H1360" t="s">
        <v>3423</v>
      </c>
      <c r="I1360" t="s">
        <v>177</v>
      </c>
      <c r="J1360" t="s">
        <v>29</v>
      </c>
      <c r="K1360" t="s">
        <v>1679</v>
      </c>
      <c r="L1360" t="s">
        <v>64</v>
      </c>
      <c r="M1360" t="s">
        <v>65</v>
      </c>
      <c r="N1360" t="s">
        <v>33</v>
      </c>
      <c r="O1360" t="s">
        <v>34</v>
      </c>
      <c r="P1360" t="s">
        <v>68</v>
      </c>
      <c r="Q1360">
        <v>163</v>
      </c>
      <c r="R1360">
        <v>38.17</v>
      </c>
      <c r="S1360">
        <v>6221.71</v>
      </c>
      <c r="T1360">
        <v>28.94</v>
      </c>
      <c r="U1360">
        <v>2</v>
      </c>
      <c r="V1360">
        <v>2284</v>
      </c>
      <c r="W1360" t="s">
        <v>36</v>
      </c>
      <c r="X1360">
        <v>1163.82</v>
      </c>
    </row>
    <row r="1361" spans="1:24" x14ac:dyDescent="0.25">
      <c r="A1361" s="2">
        <v>101359</v>
      </c>
      <c r="B1361" s="1">
        <v>45414</v>
      </c>
      <c r="C1361" s="1">
        <v>45414</v>
      </c>
      <c r="D1361" s="1">
        <v>45418</v>
      </c>
      <c r="E1361" t="s">
        <v>3424</v>
      </c>
      <c r="F1361" t="s">
        <v>32</v>
      </c>
      <c r="G1361" t="s">
        <v>180</v>
      </c>
      <c r="H1361" t="s">
        <v>3425</v>
      </c>
      <c r="I1361" t="s">
        <v>238</v>
      </c>
      <c r="J1361" t="s">
        <v>62</v>
      </c>
      <c r="K1361" t="s">
        <v>1617</v>
      </c>
      <c r="L1361" t="s">
        <v>122</v>
      </c>
      <c r="M1361" t="s">
        <v>54</v>
      </c>
      <c r="N1361" t="s">
        <v>92</v>
      </c>
      <c r="O1361" t="s">
        <v>93</v>
      </c>
      <c r="P1361" t="s">
        <v>35</v>
      </c>
      <c r="Q1361">
        <v>314</v>
      </c>
      <c r="R1361">
        <v>10.5</v>
      </c>
      <c r="S1361">
        <v>3297</v>
      </c>
      <c r="T1361">
        <v>21.38</v>
      </c>
      <c r="U1361">
        <v>4</v>
      </c>
      <c r="V1361">
        <v>1608</v>
      </c>
      <c r="W1361" t="s">
        <v>36</v>
      </c>
      <c r="X1361">
        <v>219.82</v>
      </c>
    </row>
    <row r="1362" spans="1:24" x14ac:dyDescent="0.25">
      <c r="A1362" s="2">
        <v>101360</v>
      </c>
      <c r="B1362" s="1">
        <v>45322</v>
      </c>
      <c r="C1362" s="1">
        <v>45327</v>
      </c>
      <c r="D1362" s="1">
        <v>45337</v>
      </c>
      <c r="E1362" t="s">
        <v>3426</v>
      </c>
      <c r="F1362" t="s">
        <v>25</v>
      </c>
      <c r="G1362" t="s">
        <v>172</v>
      </c>
      <c r="H1362" t="s">
        <v>3427</v>
      </c>
      <c r="I1362" t="s">
        <v>51</v>
      </c>
      <c r="J1362" t="s">
        <v>52</v>
      </c>
      <c r="K1362" t="s">
        <v>2754</v>
      </c>
      <c r="L1362" t="s">
        <v>98</v>
      </c>
      <c r="M1362" t="s">
        <v>32</v>
      </c>
      <c r="N1362" t="s">
        <v>33</v>
      </c>
      <c r="O1362" t="s">
        <v>34</v>
      </c>
      <c r="P1362" t="s">
        <v>123</v>
      </c>
      <c r="Q1362">
        <v>341</v>
      </c>
      <c r="R1362">
        <v>68.06</v>
      </c>
      <c r="S1362">
        <v>23208.46</v>
      </c>
      <c r="T1362">
        <v>18.98</v>
      </c>
      <c r="U1362">
        <v>10</v>
      </c>
      <c r="V1362">
        <v>1334</v>
      </c>
      <c r="W1362" t="s">
        <v>36</v>
      </c>
      <c r="X1362">
        <v>3797.71</v>
      </c>
    </row>
    <row r="1363" spans="1:24" x14ac:dyDescent="0.25">
      <c r="A1363" s="2">
        <v>101361</v>
      </c>
      <c r="B1363" s="1">
        <v>45345</v>
      </c>
      <c r="C1363" s="1">
        <v>45345</v>
      </c>
      <c r="D1363" s="1">
        <v>45348</v>
      </c>
      <c r="E1363" t="s">
        <v>3428</v>
      </c>
      <c r="F1363" t="s">
        <v>32</v>
      </c>
      <c r="G1363" t="s">
        <v>273</v>
      </c>
      <c r="H1363" t="s">
        <v>3429</v>
      </c>
      <c r="I1363" t="s">
        <v>207</v>
      </c>
      <c r="J1363" t="s">
        <v>80</v>
      </c>
      <c r="K1363" t="s">
        <v>1402</v>
      </c>
      <c r="L1363" t="s">
        <v>64</v>
      </c>
      <c r="M1363" t="s">
        <v>54</v>
      </c>
      <c r="N1363" t="s">
        <v>203</v>
      </c>
      <c r="O1363" t="s">
        <v>204</v>
      </c>
      <c r="P1363" t="s">
        <v>68</v>
      </c>
      <c r="Q1363">
        <v>353</v>
      </c>
      <c r="R1363">
        <v>285.7</v>
      </c>
      <c r="S1363">
        <v>100852.1</v>
      </c>
      <c r="T1363">
        <v>51.39</v>
      </c>
      <c r="U1363">
        <v>3</v>
      </c>
      <c r="V1363">
        <v>1846</v>
      </c>
      <c r="W1363" t="s">
        <v>36</v>
      </c>
      <c r="X1363">
        <v>21521.59</v>
      </c>
    </row>
    <row r="1364" spans="1:24" x14ac:dyDescent="0.25">
      <c r="A1364" s="2">
        <v>101362</v>
      </c>
      <c r="B1364" s="1">
        <v>45519</v>
      </c>
      <c r="C1364" s="1">
        <v>45523</v>
      </c>
      <c r="D1364" s="1">
        <v>45530</v>
      </c>
      <c r="E1364" t="s">
        <v>1330</v>
      </c>
      <c r="F1364" t="s">
        <v>54</v>
      </c>
      <c r="G1364" t="s">
        <v>225</v>
      </c>
      <c r="H1364" t="s">
        <v>884</v>
      </c>
      <c r="I1364" t="s">
        <v>28</v>
      </c>
      <c r="J1364" t="s">
        <v>29</v>
      </c>
      <c r="K1364" t="s">
        <v>2692</v>
      </c>
      <c r="L1364" t="s">
        <v>31</v>
      </c>
      <c r="M1364" t="s">
        <v>54</v>
      </c>
      <c r="N1364" t="s">
        <v>203</v>
      </c>
      <c r="O1364" t="s">
        <v>204</v>
      </c>
      <c r="P1364" t="s">
        <v>123</v>
      </c>
      <c r="Q1364">
        <v>46</v>
      </c>
      <c r="R1364">
        <v>108.11</v>
      </c>
      <c r="S1364">
        <v>4973.0600000000004</v>
      </c>
      <c r="T1364">
        <v>8.75</v>
      </c>
      <c r="U1364">
        <v>7</v>
      </c>
      <c r="V1364">
        <v>1588</v>
      </c>
      <c r="W1364" t="s">
        <v>36</v>
      </c>
      <c r="X1364">
        <v>1424.91</v>
      </c>
    </row>
    <row r="1365" spans="1:24" x14ac:dyDescent="0.25">
      <c r="A1365" s="2">
        <v>101363</v>
      </c>
      <c r="B1365" s="1">
        <v>45816</v>
      </c>
      <c r="C1365" s="1">
        <v>45819</v>
      </c>
      <c r="D1365" s="1">
        <v>45830</v>
      </c>
      <c r="E1365" t="s">
        <v>3430</v>
      </c>
      <c r="F1365" t="s">
        <v>38</v>
      </c>
      <c r="G1365" t="s">
        <v>147</v>
      </c>
      <c r="H1365" t="s">
        <v>3431</v>
      </c>
      <c r="I1365" t="s">
        <v>79</v>
      </c>
      <c r="J1365" t="s">
        <v>80</v>
      </c>
      <c r="K1365" t="s">
        <v>183</v>
      </c>
      <c r="L1365" t="s">
        <v>118</v>
      </c>
      <c r="M1365" t="s">
        <v>32</v>
      </c>
      <c r="N1365" t="s">
        <v>203</v>
      </c>
      <c r="O1365" t="s">
        <v>204</v>
      </c>
      <c r="P1365" t="s">
        <v>123</v>
      </c>
      <c r="Q1365">
        <v>244</v>
      </c>
      <c r="R1365">
        <v>279.79000000000002</v>
      </c>
      <c r="S1365">
        <v>68268.759999999995</v>
      </c>
      <c r="T1365">
        <v>16.62</v>
      </c>
      <c r="U1365">
        <v>11</v>
      </c>
      <c r="V1365">
        <v>2175</v>
      </c>
      <c r="W1365" t="s">
        <v>36</v>
      </c>
      <c r="X1365">
        <v>10931.41</v>
      </c>
    </row>
    <row r="1366" spans="1:24" x14ac:dyDescent="0.25">
      <c r="A1366" s="2">
        <v>101364</v>
      </c>
      <c r="B1366" s="1">
        <v>45773</v>
      </c>
      <c r="C1366" s="1">
        <v>45775</v>
      </c>
      <c r="D1366" s="1">
        <v>45781</v>
      </c>
      <c r="E1366" t="s">
        <v>3432</v>
      </c>
      <c r="F1366" t="s">
        <v>38</v>
      </c>
      <c r="G1366" t="s">
        <v>39</v>
      </c>
      <c r="H1366" t="s">
        <v>3433</v>
      </c>
      <c r="I1366" t="s">
        <v>144</v>
      </c>
      <c r="J1366" t="s">
        <v>52</v>
      </c>
      <c r="K1366" t="s">
        <v>1063</v>
      </c>
      <c r="L1366" t="s">
        <v>31</v>
      </c>
      <c r="M1366" t="s">
        <v>25</v>
      </c>
      <c r="N1366" t="s">
        <v>45</v>
      </c>
      <c r="O1366" t="s">
        <v>46</v>
      </c>
      <c r="P1366" t="s">
        <v>35</v>
      </c>
      <c r="Q1366">
        <v>306</v>
      </c>
      <c r="R1366">
        <v>14.93</v>
      </c>
      <c r="S1366">
        <v>4568.58</v>
      </c>
      <c r="T1366">
        <v>21.15</v>
      </c>
      <c r="U1366">
        <v>6</v>
      </c>
      <c r="V1366">
        <v>3569</v>
      </c>
      <c r="W1366" t="s">
        <v>36</v>
      </c>
      <c r="X1366">
        <v>354.26</v>
      </c>
    </row>
    <row r="1367" spans="1:24" x14ac:dyDescent="0.25">
      <c r="A1367" s="2">
        <v>101365</v>
      </c>
      <c r="B1367" s="1">
        <v>45399</v>
      </c>
      <c r="C1367" s="1">
        <v>45402</v>
      </c>
      <c r="D1367" s="1">
        <v>45404</v>
      </c>
      <c r="E1367" t="s">
        <v>3434</v>
      </c>
      <c r="F1367" t="s">
        <v>25</v>
      </c>
      <c r="G1367" t="s">
        <v>244</v>
      </c>
      <c r="H1367" t="s">
        <v>3435</v>
      </c>
      <c r="I1367" t="s">
        <v>139</v>
      </c>
      <c r="J1367" t="s">
        <v>42</v>
      </c>
      <c r="K1367" t="s">
        <v>838</v>
      </c>
      <c r="L1367" t="s">
        <v>118</v>
      </c>
      <c r="M1367" t="s">
        <v>54</v>
      </c>
      <c r="N1367" t="s">
        <v>66</v>
      </c>
      <c r="O1367" t="s">
        <v>67</v>
      </c>
      <c r="P1367" t="s">
        <v>68</v>
      </c>
      <c r="Q1367">
        <v>260</v>
      </c>
      <c r="R1367">
        <v>187.05</v>
      </c>
      <c r="S1367">
        <v>48633</v>
      </c>
      <c r="T1367">
        <v>45.36</v>
      </c>
      <c r="U1367">
        <v>2</v>
      </c>
      <c r="V1367">
        <v>175</v>
      </c>
      <c r="W1367" t="s">
        <v>36</v>
      </c>
      <c r="X1367">
        <v>4956.6000000000004</v>
      </c>
    </row>
    <row r="1368" spans="1:24" x14ac:dyDescent="0.25">
      <c r="A1368" s="2">
        <v>101366</v>
      </c>
      <c r="B1368" s="1">
        <v>45815</v>
      </c>
      <c r="C1368" s="1">
        <v>45816</v>
      </c>
      <c r="D1368" s="1">
        <v>45823</v>
      </c>
      <c r="E1368" t="s">
        <v>3436</v>
      </c>
      <c r="F1368" t="s">
        <v>25</v>
      </c>
      <c r="G1368" t="s">
        <v>169</v>
      </c>
      <c r="H1368" t="s">
        <v>3437</v>
      </c>
      <c r="I1368" t="s">
        <v>28</v>
      </c>
      <c r="J1368" t="s">
        <v>29</v>
      </c>
      <c r="K1368" t="s">
        <v>3438</v>
      </c>
      <c r="L1368" t="s">
        <v>98</v>
      </c>
      <c r="M1368" t="s">
        <v>54</v>
      </c>
      <c r="N1368" t="s">
        <v>66</v>
      </c>
      <c r="O1368" t="s">
        <v>67</v>
      </c>
      <c r="P1368" t="s">
        <v>35</v>
      </c>
      <c r="Q1368">
        <v>218</v>
      </c>
      <c r="R1368">
        <v>97.71</v>
      </c>
      <c r="S1368">
        <v>21300.78</v>
      </c>
      <c r="T1368">
        <v>18.649999999999999</v>
      </c>
      <c r="U1368">
        <v>7</v>
      </c>
      <c r="V1368">
        <v>1020</v>
      </c>
      <c r="W1368" t="s">
        <v>36</v>
      </c>
      <c r="X1368">
        <v>5306.9</v>
      </c>
    </row>
    <row r="1369" spans="1:24" x14ac:dyDescent="0.25">
      <c r="A1369" s="2">
        <v>101367</v>
      </c>
      <c r="B1369" s="1">
        <v>45773</v>
      </c>
      <c r="C1369" s="1">
        <v>45775</v>
      </c>
      <c r="D1369" s="1">
        <v>45779</v>
      </c>
      <c r="E1369" t="s">
        <v>3439</v>
      </c>
      <c r="F1369" t="s">
        <v>32</v>
      </c>
      <c r="G1369" t="s">
        <v>273</v>
      </c>
      <c r="H1369" t="s">
        <v>3440</v>
      </c>
      <c r="I1369" t="s">
        <v>89</v>
      </c>
      <c r="J1369" t="s">
        <v>62</v>
      </c>
      <c r="K1369" t="s">
        <v>3441</v>
      </c>
      <c r="L1369" t="s">
        <v>122</v>
      </c>
      <c r="M1369" t="s">
        <v>25</v>
      </c>
      <c r="N1369" t="s">
        <v>66</v>
      </c>
      <c r="O1369" t="s">
        <v>67</v>
      </c>
      <c r="P1369" t="s">
        <v>123</v>
      </c>
      <c r="Q1369">
        <v>151</v>
      </c>
      <c r="R1369">
        <v>26.88</v>
      </c>
      <c r="S1369">
        <v>4058.88</v>
      </c>
      <c r="T1369">
        <v>14.36</v>
      </c>
      <c r="U1369">
        <v>4</v>
      </c>
      <c r="V1369">
        <v>2992</v>
      </c>
      <c r="W1369" t="s">
        <v>36</v>
      </c>
      <c r="X1369">
        <v>547.53</v>
      </c>
    </row>
    <row r="1370" spans="1:24" x14ac:dyDescent="0.25">
      <c r="A1370" s="2">
        <v>101368</v>
      </c>
      <c r="B1370" s="1">
        <v>45547</v>
      </c>
      <c r="C1370" s="1">
        <v>45547</v>
      </c>
      <c r="D1370" s="1">
        <v>45561</v>
      </c>
      <c r="E1370" t="s">
        <v>3442</v>
      </c>
      <c r="F1370" t="s">
        <v>25</v>
      </c>
      <c r="G1370" t="s">
        <v>26</v>
      </c>
      <c r="H1370" t="s">
        <v>3443</v>
      </c>
      <c r="I1370" t="s">
        <v>207</v>
      </c>
      <c r="J1370" t="s">
        <v>80</v>
      </c>
      <c r="K1370" t="s">
        <v>2711</v>
      </c>
      <c r="L1370" t="s">
        <v>187</v>
      </c>
      <c r="M1370" t="s">
        <v>25</v>
      </c>
      <c r="N1370" t="s">
        <v>55</v>
      </c>
      <c r="O1370" t="s">
        <v>56</v>
      </c>
      <c r="P1370" t="s">
        <v>123</v>
      </c>
      <c r="Q1370">
        <v>155</v>
      </c>
      <c r="R1370">
        <v>191.94</v>
      </c>
      <c r="S1370">
        <v>29750.7</v>
      </c>
      <c r="T1370">
        <v>10.71</v>
      </c>
      <c r="U1370">
        <v>14</v>
      </c>
      <c r="V1370">
        <v>1326</v>
      </c>
      <c r="W1370" t="s">
        <v>36</v>
      </c>
      <c r="X1370">
        <v>4245.7299999999996</v>
      </c>
    </row>
    <row r="1371" spans="1:24" x14ac:dyDescent="0.25">
      <c r="A1371" s="2">
        <v>101369</v>
      </c>
      <c r="B1371" s="1">
        <v>45580</v>
      </c>
      <c r="C1371" s="1">
        <v>45581</v>
      </c>
      <c r="D1371" s="1">
        <v>45586</v>
      </c>
      <c r="E1371" t="s">
        <v>3444</v>
      </c>
      <c r="F1371" t="s">
        <v>54</v>
      </c>
      <c r="G1371" t="s">
        <v>225</v>
      </c>
      <c r="H1371" t="s">
        <v>3445</v>
      </c>
      <c r="I1371" t="s">
        <v>89</v>
      </c>
      <c r="J1371" t="s">
        <v>62</v>
      </c>
      <c r="K1371" t="s">
        <v>1705</v>
      </c>
      <c r="L1371" t="s">
        <v>122</v>
      </c>
      <c r="M1371" t="s">
        <v>65</v>
      </c>
      <c r="N1371" t="s">
        <v>66</v>
      </c>
      <c r="O1371" t="s">
        <v>67</v>
      </c>
      <c r="P1371" t="s">
        <v>35</v>
      </c>
      <c r="Q1371">
        <v>400</v>
      </c>
      <c r="R1371">
        <v>9.77</v>
      </c>
      <c r="S1371">
        <v>3908</v>
      </c>
      <c r="T1371">
        <v>23.81</v>
      </c>
      <c r="U1371">
        <v>5</v>
      </c>
      <c r="V1371">
        <v>1679</v>
      </c>
      <c r="W1371" t="s">
        <v>36</v>
      </c>
      <c r="X1371">
        <v>643.12</v>
      </c>
    </row>
    <row r="1372" spans="1:24" x14ac:dyDescent="0.25">
      <c r="A1372" s="2">
        <v>101370</v>
      </c>
      <c r="B1372" s="1">
        <v>45866</v>
      </c>
      <c r="C1372" s="1">
        <v>45870</v>
      </c>
      <c r="D1372" s="1">
        <v>45876</v>
      </c>
      <c r="E1372" t="s">
        <v>3446</v>
      </c>
      <c r="F1372" t="s">
        <v>32</v>
      </c>
      <c r="G1372" t="s">
        <v>364</v>
      </c>
      <c r="H1372" t="s">
        <v>3447</v>
      </c>
      <c r="I1372" t="s">
        <v>149</v>
      </c>
      <c r="J1372" t="s">
        <v>42</v>
      </c>
      <c r="K1372" t="s">
        <v>356</v>
      </c>
      <c r="L1372" t="s">
        <v>91</v>
      </c>
      <c r="M1372" t="s">
        <v>32</v>
      </c>
      <c r="N1372" t="s">
        <v>66</v>
      </c>
      <c r="O1372" t="s">
        <v>67</v>
      </c>
      <c r="P1372" t="s">
        <v>35</v>
      </c>
      <c r="Q1372">
        <v>228</v>
      </c>
      <c r="R1372">
        <v>78.62</v>
      </c>
      <c r="S1372">
        <v>17925.36</v>
      </c>
      <c r="T1372">
        <v>14.03</v>
      </c>
      <c r="U1372">
        <v>6</v>
      </c>
      <c r="V1372">
        <v>1708</v>
      </c>
      <c r="W1372" t="s">
        <v>36</v>
      </c>
      <c r="X1372">
        <v>1484.11</v>
      </c>
    </row>
    <row r="1373" spans="1:24" x14ac:dyDescent="0.25">
      <c r="A1373" s="2">
        <v>101371</v>
      </c>
      <c r="B1373" s="1">
        <v>45868</v>
      </c>
      <c r="C1373" s="1">
        <v>45869</v>
      </c>
      <c r="D1373" s="1">
        <v>45881</v>
      </c>
      <c r="E1373" t="s">
        <v>3448</v>
      </c>
      <c r="F1373" t="s">
        <v>32</v>
      </c>
      <c r="G1373" t="s">
        <v>255</v>
      </c>
      <c r="H1373" t="s">
        <v>3449</v>
      </c>
      <c r="I1373" t="s">
        <v>134</v>
      </c>
      <c r="J1373" t="s">
        <v>52</v>
      </c>
      <c r="K1373" t="s">
        <v>1617</v>
      </c>
      <c r="L1373" t="s">
        <v>113</v>
      </c>
      <c r="M1373" t="s">
        <v>54</v>
      </c>
      <c r="N1373" t="s">
        <v>74</v>
      </c>
      <c r="O1373" t="s">
        <v>75</v>
      </c>
      <c r="P1373" t="s">
        <v>123</v>
      </c>
      <c r="Q1373">
        <v>37</v>
      </c>
      <c r="R1373">
        <v>43.76</v>
      </c>
      <c r="S1373">
        <v>1619.12</v>
      </c>
      <c r="T1373">
        <v>11.59</v>
      </c>
      <c r="U1373">
        <v>12</v>
      </c>
      <c r="V1373">
        <v>215</v>
      </c>
      <c r="W1373" t="s">
        <v>36</v>
      </c>
      <c r="X1373">
        <v>161.05000000000001</v>
      </c>
    </row>
    <row r="1374" spans="1:24" x14ac:dyDescent="0.25">
      <c r="A1374" s="2">
        <v>101372</v>
      </c>
      <c r="B1374" s="1">
        <v>45745</v>
      </c>
      <c r="C1374" s="1">
        <v>45746</v>
      </c>
      <c r="D1374" s="1">
        <v>45755</v>
      </c>
      <c r="E1374" t="s">
        <v>3450</v>
      </c>
      <c r="F1374" t="s">
        <v>25</v>
      </c>
      <c r="G1374" t="s">
        <v>169</v>
      </c>
      <c r="H1374" t="s">
        <v>3451</v>
      </c>
      <c r="I1374" t="s">
        <v>126</v>
      </c>
      <c r="J1374" t="s">
        <v>42</v>
      </c>
      <c r="K1374" t="s">
        <v>2486</v>
      </c>
      <c r="L1374" t="s">
        <v>187</v>
      </c>
      <c r="M1374" t="s">
        <v>25</v>
      </c>
      <c r="N1374" t="s">
        <v>55</v>
      </c>
      <c r="O1374" t="s">
        <v>56</v>
      </c>
      <c r="P1374" t="s">
        <v>123</v>
      </c>
      <c r="Q1374">
        <v>254</v>
      </c>
      <c r="R1374">
        <v>429.82</v>
      </c>
      <c r="S1374">
        <v>109174.28</v>
      </c>
      <c r="T1374">
        <v>12.49</v>
      </c>
      <c r="U1374">
        <v>9</v>
      </c>
      <c r="V1374">
        <v>992</v>
      </c>
      <c r="W1374" t="s">
        <v>36</v>
      </c>
      <c r="X1374">
        <v>11840.52</v>
      </c>
    </row>
    <row r="1375" spans="1:24" x14ac:dyDescent="0.25">
      <c r="A1375" s="2">
        <v>101373</v>
      </c>
      <c r="B1375" s="1">
        <v>45701</v>
      </c>
      <c r="C1375" s="1">
        <v>45706</v>
      </c>
      <c r="D1375" s="1">
        <v>45723</v>
      </c>
      <c r="E1375" t="s">
        <v>3452</v>
      </c>
      <c r="F1375" t="s">
        <v>38</v>
      </c>
      <c r="G1375" t="s">
        <v>49</v>
      </c>
      <c r="H1375" t="s">
        <v>3453</v>
      </c>
      <c r="I1375" t="s">
        <v>72</v>
      </c>
      <c r="J1375" t="s">
        <v>42</v>
      </c>
      <c r="K1375" t="s">
        <v>610</v>
      </c>
      <c r="L1375" t="s">
        <v>91</v>
      </c>
      <c r="M1375" t="s">
        <v>54</v>
      </c>
      <c r="N1375" t="s">
        <v>102</v>
      </c>
      <c r="O1375" t="s">
        <v>103</v>
      </c>
      <c r="P1375" t="s">
        <v>76</v>
      </c>
      <c r="Q1375">
        <v>482</v>
      </c>
      <c r="R1375">
        <v>276.64999999999998</v>
      </c>
      <c r="S1375">
        <v>133345.29999999999</v>
      </c>
      <c r="T1375">
        <v>16.8</v>
      </c>
      <c r="U1375">
        <v>17</v>
      </c>
      <c r="V1375">
        <v>992</v>
      </c>
      <c r="W1375" t="s">
        <v>36</v>
      </c>
      <c r="X1375">
        <v>14785.67</v>
      </c>
    </row>
    <row r="1376" spans="1:24" x14ac:dyDescent="0.25">
      <c r="A1376" s="2">
        <v>101374</v>
      </c>
      <c r="B1376" s="1">
        <v>45719</v>
      </c>
      <c r="C1376" s="1">
        <v>45719</v>
      </c>
      <c r="D1376" s="1">
        <v>45723</v>
      </c>
      <c r="E1376" t="s">
        <v>3454</v>
      </c>
      <c r="F1376" t="s">
        <v>38</v>
      </c>
      <c r="G1376" t="s">
        <v>147</v>
      </c>
      <c r="H1376" t="s">
        <v>3455</v>
      </c>
      <c r="I1376" t="s">
        <v>28</v>
      </c>
      <c r="J1376" t="s">
        <v>29</v>
      </c>
      <c r="K1376" t="s">
        <v>3456</v>
      </c>
      <c r="L1376" t="s">
        <v>91</v>
      </c>
      <c r="M1376" t="s">
        <v>32</v>
      </c>
      <c r="N1376" t="s">
        <v>107</v>
      </c>
      <c r="O1376" t="s">
        <v>108</v>
      </c>
      <c r="P1376" t="s">
        <v>68</v>
      </c>
      <c r="Q1376">
        <v>25</v>
      </c>
      <c r="R1376">
        <v>13.78</v>
      </c>
      <c r="S1376">
        <v>344.5</v>
      </c>
      <c r="T1376">
        <v>30.13</v>
      </c>
      <c r="U1376">
        <v>4</v>
      </c>
      <c r="V1376">
        <v>2732</v>
      </c>
      <c r="W1376" t="s">
        <v>36</v>
      </c>
      <c r="X1376">
        <v>8.65</v>
      </c>
    </row>
    <row r="1377" spans="1:24" x14ac:dyDescent="0.25">
      <c r="A1377" s="2">
        <v>101375</v>
      </c>
      <c r="B1377" s="1">
        <v>45948</v>
      </c>
      <c r="C1377" s="1">
        <v>45953</v>
      </c>
      <c r="D1377" s="1">
        <v>45955</v>
      </c>
      <c r="E1377" t="s">
        <v>3457</v>
      </c>
      <c r="F1377" t="s">
        <v>38</v>
      </c>
      <c r="G1377" t="s">
        <v>39</v>
      </c>
      <c r="H1377" t="s">
        <v>944</v>
      </c>
      <c r="I1377" t="s">
        <v>191</v>
      </c>
      <c r="J1377" t="s">
        <v>62</v>
      </c>
      <c r="K1377" t="s">
        <v>1292</v>
      </c>
      <c r="L1377" t="s">
        <v>91</v>
      </c>
      <c r="M1377" t="s">
        <v>38</v>
      </c>
      <c r="N1377" t="s">
        <v>151</v>
      </c>
      <c r="O1377" t="s">
        <v>152</v>
      </c>
      <c r="P1377" t="s">
        <v>35</v>
      </c>
      <c r="Q1377">
        <v>70</v>
      </c>
      <c r="R1377">
        <v>28.65</v>
      </c>
      <c r="S1377">
        <v>2005.5</v>
      </c>
      <c r="T1377">
        <v>10.71</v>
      </c>
      <c r="U1377">
        <v>2</v>
      </c>
      <c r="V1377">
        <v>3754</v>
      </c>
      <c r="W1377" t="s">
        <v>36</v>
      </c>
      <c r="X1377">
        <v>276.17</v>
      </c>
    </row>
    <row r="1378" spans="1:24" x14ac:dyDescent="0.25">
      <c r="A1378" s="2">
        <v>101376</v>
      </c>
      <c r="B1378" s="1">
        <v>45684</v>
      </c>
      <c r="C1378" s="1">
        <v>45688</v>
      </c>
      <c r="D1378" s="1">
        <v>45699</v>
      </c>
      <c r="E1378" t="s">
        <v>2266</v>
      </c>
      <c r="F1378" t="s">
        <v>54</v>
      </c>
      <c r="G1378" t="s">
        <v>193</v>
      </c>
      <c r="H1378" t="s">
        <v>3458</v>
      </c>
      <c r="I1378" t="s">
        <v>144</v>
      </c>
      <c r="J1378" t="s">
        <v>52</v>
      </c>
      <c r="K1378" t="s">
        <v>2195</v>
      </c>
      <c r="L1378" t="s">
        <v>44</v>
      </c>
      <c r="M1378" t="s">
        <v>54</v>
      </c>
      <c r="N1378" t="s">
        <v>92</v>
      </c>
      <c r="O1378" t="s">
        <v>93</v>
      </c>
      <c r="P1378" t="s">
        <v>76</v>
      </c>
      <c r="Q1378">
        <v>138</v>
      </c>
      <c r="R1378">
        <v>66.81</v>
      </c>
      <c r="S1378">
        <v>9219.7800000000007</v>
      </c>
      <c r="T1378">
        <v>7.8</v>
      </c>
      <c r="U1378">
        <v>11</v>
      </c>
      <c r="V1378">
        <v>2062</v>
      </c>
      <c r="W1378" t="s">
        <v>57</v>
      </c>
      <c r="X1378">
        <v>637.98</v>
      </c>
    </row>
    <row r="1379" spans="1:24" x14ac:dyDescent="0.25">
      <c r="A1379" s="2">
        <v>101377</v>
      </c>
      <c r="B1379" s="1">
        <v>46009</v>
      </c>
      <c r="C1379" s="1">
        <v>46013</v>
      </c>
      <c r="D1379" s="1">
        <v>46018</v>
      </c>
      <c r="E1379" t="s">
        <v>3459</v>
      </c>
      <c r="F1379" t="s">
        <v>54</v>
      </c>
      <c r="G1379" t="s">
        <v>129</v>
      </c>
      <c r="H1379" t="s">
        <v>3460</v>
      </c>
      <c r="I1379" t="s">
        <v>89</v>
      </c>
      <c r="J1379" t="s">
        <v>62</v>
      </c>
      <c r="K1379" t="s">
        <v>1003</v>
      </c>
      <c r="L1379" t="s">
        <v>64</v>
      </c>
      <c r="M1379" t="s">
        <v>54</v>
      </c>
      <c r="N1379" t="s">
        <v>45</v>
      </c>
      <c r="O1379" t="s">
        <v>46</v>
      </c>
      <c r="P1379" t="s">
        <v>68</v>
      </c>
      <c r="Q1379">
        <v>359</v>
      </c>
      <c r="R1379">
        <v>7.01</v>
      </c>
      <c r="S1379">
        <v>2516.59</v>
      </c>
      <c r="T1379">
        <v>38.35</v>
      </c>
      <c r="U1379">
        <v>5</v>
      </c>
      <c r="V1379">
        <v>2021</v>
      </c>
      <c r="W1379" t="s">
        <v>36</v>
      </c>
      <c r="X1379">
        <v>222.37</v>
      </c>
    </row>
    <row r="1380" spans="1:24" x14ac:dyDescent="0.25">
      <c r="A1380" s="2">
        <v>101378</v>
      </c>
      <c r="B1380" s="1">
        <v>45396</v>
      </c>
      <c r="C1380" s="1">
        <v>45396</v>
      </c>
      <c r="D1380" s="1">
        <v>45408</v>
      </c>
      <c r="E1380" t="s">
        <v>3461</v>
      </c>
      <c r="F1380" t="s">
        <v>25</v>
      </c>
      <c r="G1380" t="s">
        <v>172</v>
      </c>
      <c r="H1380" t="s">
        <v>3462</v>
      </c>
      <c r="I1380" t="s">
        <v>139</v>
      </c>
      <c r="J1380" t="s">
        <v>42</v>
      </c>
      <c r="K1380" t="s">
        <v>1492</v>
      </c>
      <c r="L1380" t="s">
        <v>212</v>
      </c>
      <c r="M1380" t="s">
        <v>65</v>
      </c>
      <c r="N1380" t="s">
        <v>151</v>
      </c>
      <c r="O1380" t="s">
        <v>152</v>
      </c>
      <c r="P1380" t="s">
        <v>68</v>
      </c>
      <c r="Q1380">
        <v>113</v>
      </c>
      <c r="R1380">
        <v>232.05</v>
      </c>
      <c r="S1380">
        <v>26221.65</v>
      </c>
      <c r="T1380">
        <v>35.83</v>
      </c>
      <c r="U1380">
        <v>12</v>
      </c>
      <c r="V1380">
        <v>1140</v>
      </c>
      <c r="W1380" t="s">
        <v>188</v>
      </c>
      <c r="X1380">
        <v>4641.53</v>
      </c>
    </row>
    <row r="1381" spans="1:24" x14ac:dyDescent="0.25">
      <c r="A1381" s="2">
        <v>101379</v>
      </c>
      <c r="B1381" s="1">
        <v>45934</v>
      </c>
      <c r="C1381" s="1">
        <v>45938</v>
      </c>
      <c r="D1381" s="1">
        <v>45955</v>
      </c>
      <c r="E1381" t="s">
        <v>3463</v>
      </c>
      <c r="F1381" t="s">
        <v>65</v>
      </c>
      <c r="G1381" t="s">
        <v>70</v>
      </c>
      <c r="H1381" t="s">
        <v>3464</v>
      </c>
      <c r="I1381" t="s">
        <v>198</v>
      </c>
      <c r="J1381" t="s">
        <v>52</v>
      </c>
      <c r="K1381" t="s">
        <v>1676</v>
      </c>
      <c r="L1381" t="s">
        <v>44</v>
      </c>
      <c r="M1381" t="s">
        <v>32</v>
      </c>
      <c r="N1381" t="s">
        <v>55</v>
      </c>
      <c r="O1381" t="s">
        <v>56</v>
      </c>
      <c r="P1381" t="s">
        <v>76</v>
      </c>
      <c r="Q1381">
        <v>237</v>
      </c>
      <c r="R1381">
        <v>69.53</v>
      </c>
      <c r="S1381">
        <v>16478.61</v>
      </c>
      <c r="T1381">
        <v>12.34</v>
      </c>
      <c r="U1381">
        <v>17</v>
      </c>
      <c r="V1381">
        <v>1528</v>
      </c>
      <c r="W1381" t="s">
        <v>36</v>
      </c>
      <c r="X1381">
        <v>1970.76</v>
      </c>
    </row>
    <row r="1382" spans="1:24" x14ac:dyDescent="0.25">
      <c r="A1382" s="2">
        <v>101380</v>
      </c>
      <c r="B1382" s="1">
        <v>45522</v>
      </c>
      <c r="C1382" s="1">
        <v>45523</v>
      </c>
      <c r="D1382" s="1">
        <v>45527</v>
      </c>
      <c r="E1382" t="s">
        <v>3465</v>
      </c>
      <c r="F1382" t="s">
        <v>65</v>
      </c>
      <c r="G1382" t="s">
        <v>70</v>
      </c>
      <c r="H1382" t="s">
        <v>3466</v>
      </c>
      <c r="I1382" t="s">
        <v>85</v>
      </c>
      <c r="J1382" t="s">
        <v>52</v>
      </c>
      <c r="K1382" t="s">
        <v>3467</v>
      </c>
      <c r="L1382" t="s">
        <v>187</v>
      </c>
      <c r="M1382" t="s">
        <v>32</v>
      </c>
      <c r="N1382" t="s">
        <v>107</v>
      </c>
      <c r="O1382" t="s">
        <v>108</v>
      </c>
      <c r="P1382" t="s">
        <v>35</v>
      </c>
      <c r="Q1382">
        <v>78</v>
      </c>
      <c r="R1382">
        <v>37.520000000000003</v>
      </c>
      <c r="S1382">
        <v>2926.56</v>
      </c>
      <c r="T1382">
        <v>14.69</v>
      </c>
      <c r="U1382">
        <v>4</v>
      </c>
      <c r="V1382">
        <v>3926</v>
      </c>
      <c r="W1382" t="s">
        <v>36</v>
      </c>
      <c r="X1382">
        <v>405.87</v>
      </c>
    </row>
    <row r="1383" spans="1:24" x14ac:dyDescent="0.25">
      <c r="A1383" s="2">
        <v>101381</v>
      </c>
      <c r="B1383" s="1">
        <v>45733</v>
      </c>
      <c r="C1383" s="1">
        <v>45738</v>
      </c>
      <c r="D1383" s="1">
        <v>45748</v>
      </c>
      <c r="E1383" t="s">
        <v>3468</v>
      </c>
      <c r="F1383" t="s">
        <v>38</v>
      </c>
      <c r="G1383" t="s">
        <v>147</v>
      </c>
      <c r="H1383" t="s">
        <v>3469</v>
      </c>
      <c r="I1383" t="s">
        <v>149</v>
      </c>
      <c r="J1383" t="s">
        <v>42</v>
      </c>
      <c r="K1383" t="s">
        <v>1127</v>
      </c>
      <c r="L1383" t="s">
        <v>113</v>
      </c>
      <c r="M1383" t="s">
        <v>25</v>
      </c>
      <c r="N1383" t="s">
        <v>151</v>
      </c>
      <c r="O1383" t="s">
        <v>152</v>
      </c>
      <c r="P1383" t="s">
        <v>35</v>
      </c>
      <c r="Q1383">
        <v>10</v>
      </c>
      <c r="R1383">
        <v>357.11</v>
      </c>
      <c r="S1383">
        <v>3571.1</v>
      </c>
      <c r="T1383">
        <v>12.76</v>
      </c>
      <c r="U1383">
        <v>10</v>
      </c>
      <c r="V1383">
        <v>430</v>
      </c>
      <c r="W1383" t="s">
        <v>36</v>
      </c>
      <c r="X1383">
        <v>453.35</v>
      </c>
    </row>
    <row r="1384" spans="1:24" x14ac:dyDescent="0.25">
      <c r="A1384" s="2">
        <v>101382</v>
      </c>
      <c r="B1384" s="1">
        <v>45323</v>
      </c>
      <c r="C1384" s="1">
        <v>45323</v>
      </c>
      <c r="D1384" s="1">
        <v>45325</v>
      </c>
      <c r="E1384" t="s">
        <v>3470</v>
      </c>
      <c r="F1384" t="s">
        <v>25</v>
      </c>
      <c r="G1384" t="s">
        <v>169</v>
      </c>
      <c r="H1384" t="s">
        <v>3471</v>
      </c>
      <c r="I1384" t="s">
        <v>139</v>
      </c>
      <c r="J1384" t="s">
        <v>42</v>
      </c>
      <c r="K1384" t="s">
        <v>864</v>
      </c>
      <c r="L1384" t="s">
        <v>98</v>
      </c>
      <c r="M1384" t="s">
        <v>54</v>
      </c>
      <c r="N1384" t="s">
        <v>102</v>
      </c>
      <c r="O1384" t="s">
        <v>103</v>
      </c>
      <c r="P1384" t="s">
        <v>68</v>
      </c>
      <c r="Q1384">
        <v>450</v>
      </c>
      <c r="R1384">
        <v>305.17</v>
      </c>
      <c r="S1384">
        <v>137326.5</v>
      </c>
      <c r="T1384">
        <v>57.67</v>
      </c>
      <c r="U1384">
        <v>2</v>
      </c>
      <c r="V1384">
        <v>1427</v>
      </c>
      <c r="W1384" t="s">
        <v>36</v>
      </c>
      <c r="X1384">
        <v>1321.67</v>
      </c>
    </row>
    <row r="1385" spans="1:24" x14ac:dyDescent="0.25">
      <c r="A1385" s="2">
        <v>101383</v>
      </c>
      <c r="B1385" s="1">
        <v>45438</v>
      </c>
      <c r="C1385" s="1">
        <v>45441</v>
      </c>
      <c r="D1385" s="1">
        <v>45452</v>
      </c>
      <c r="E1385" t="s">
        <v>3472</v>
      </c>
      <c r="F1385" t="s">
        <v>65</v>
      </c>
      <c r="G1385" t="s">
        <v>154</v>
      </c>
      <c r="H1385" t="s">
        <v>3473</v>
      </c>
      <c r="I1385" t="s">
        <v>28</v>
      </c>
      <c r="J1385" t="s">
        <v>29</v>
      </c>
      <c r="K1385" t="s">
        <v>3474</v>
      </c>
      <c r="L1385" t="s">
        <v>44</v>
      </c>
      <c r="M1385" t="s">
        <v>65</v>
      </c>
      <c r="N1385" t="s">
        <v>203</v>
      </c>
      <c r="O1385" t="s">
        <v>204</v>
      </c>
      <c r="P1385" t="s">
        <v>76</v>
      </c>
      <c r="Q1385">
        <v>196</v>
      </c>
      <c r="R1385">
        <v>70.790000000000006</v>
      </c>
      <c r="S1385">
        <v>13874.84</v>
      </c>
      <c r="T1385">
        <v>8.59</v>
      </c>
      <c r="U1385">
        <v>11</v>
      </c>
      <c r="V1385">
        <v>525</v>
      </c>
      <c r="W1385" t="s">
        <v>36</v>
      </c>
      <c r="X1385">
        <v>1572.63</v>
      </c>
    </row>
    <row r="1386" spans="1:24" x14ac:dyDescent="0.25">
      <c r="A1386" s="2">
        <v>101384</v>
      </c>
      <c r="B1386" s="1">
        <v>45813</v>
      </c>
      <c r="C1386" s="1">
        <v>45815</v>
      </c>
      <c r="D1386" s="1">
        <v>45821</v>
      </c>
      <c r="E1386" t="s">
        <v>3475</v>
      </c>
      <c r="F1386" t="s">
        <v>38</v>
      </c>
      <c r="G1386" t="s">
        <v>49</v>
      </c>
      <c r="H1386" t="s">
        <v>3476</v>
      </c>
      <c r="I1386" t="s">
        <v>149</v>
      </c>
      <c r="J1386" t="s">
        <v>42</v>
      </c>
      <c r="K1386" t="s">
        <v>2874</v>
      </c>
      <c r="L1386" t="s">
        <v>91</v>
      </c>
      <c r="M1386" t="s">
        <v>54</v>
      </c>
      <c r="N1386" t="s">
        <v>55</v>
      </c>
      <c r="O1386" t="s">
        <v>56</v>
      </c>
      <c r="P1386" t="s">
        <v>35</v>
      </c>
      <c r="Q1386">
        <v>411</v>
      </c>
      <c r="R1386">
        <v>399.7</v>
      </c>
      <c r="S1386">
        <v>164276.70000000001</v>
      </c>
      <c r="T1386">
        <v>24.13</v>
      </c>
      <c r="U1386">
        <v>6</v>
      </c>
      <c r="V1386">
        <v>1638</v>
      </c>
      <c r="W1386" t="s">
        <v>36</v>
      </c>
      <c r="X1386">
        <v>31925.87</v>
      </c>
    </row>
    <row r="1387" spans="1:24" x14ac:dyDescent="0.25">
      <c r="A1387" s="2">
        <v>101385</v>
      </c>
      <c r="B1387" s="1">
        <v>45814</v>
      </c>
      <c r="C1387" s="1">
        <v>45815</v>
      </c>
      <c r="D1387" s="1">
        <v>45819</v>
      </c>
      <c r="E1387" t="s">
        <v>3477</v>
      </c>
      <c r="F1387" t="s">
        <v>65</v>
      </c>
      <c r="G1387" t="s">
        <v>70</v>
      </c>
      <c r="H1387" t="s">
        <v>3478</v>
      </c>
      <c r="I1387" t="s">
        <v>61</v>
      </c>
      <c r="J1387" t="s">
        <v>62</v>
      </c>
      <c r="K1387" t="s">
        <v>1371</v>
      </c>
      <c r="L1387" t="s">
        <v>44</v>
      </c>
      <c r="M1387" t="s">
        <v>25</v>
      </c>
      <c r="N1387" t="s">
        <v>45</v>
      </c>
      <c r="O1387" t="s">
        <v>46</v>
      </c>
      <c r="P1387" t="s">
        <v>35</v>
      </c>
      <c r="Q1387">
        <v>157</v>
      </c>
      <c r="R1387">
        <v>28.75</v>
      </c>
      <c r="S1387">
        <v>4513.75</v>
      </c>
      <c r="T1387">
        <v>16.920000000000002</v>
      </c>
      <c r="U1387">
        <v>4</v>
      </c>
      <c r="V1387">
        <v>402</v>
      </c>
      <c r="W1387" t="s">
        <v>57</v>
      </c>
      <c r="X1387">
        <v>375.52</v>
      </c>
    </row>
    <row r="1388" spans="1:24" x14ac:dyDescent="0.25">
      <c r="A1388" s="2">
        <v>101386</v>
      </c>
      <c r="B1388" s="1">
        <v>45802</v>
      </c>
      <c r="C1388" s="1">
        <v>45807</v>
      </c>
      <c r="D1388" s="1">
        <v>45824</v>
      </c>
      <c r="E1388" t="s">
        <v>2024</v>
      </c>
      <c r="F1388" t="s">
        <v>32</v>
      </c>
      <c r="G1388" t="s">
        <v>180</v>
      </c>
      <c r="H1388" t="s">
        <v>3479</v>
      </c>
      <c r="I1388" t="s">
        <v>116</v>
      </c>
      <c r="J1388" t="s">
        <v>62</v>
      </c>
      <c r="K1388" t="s">
        <v>2711</v>
      </c>
      <c r="L1388" t="s">
        <v>118</v>
      </c>
      <c r="M1388" t="s">
        <v>38</v>
      </c>
      <c r="N1388" t="s">
        <v>102</v>
      </c>
      <c r="O1388" t="s">
        <v>103</v>
      </c>
      <c r="P1388" t="s">
        <v>76</v>
      </c>
      <c r="Q1388">
        <v>444</v>
      </c>
      <c r="R1388">
        <v>22.91</v>
      </c>
      <c r="S1388">
        <v>10172.040000000001</v>
      </c>
      <c r="T1388">
        <v>16.11</v>
      </c>
      <c r="U1388">
        <v>17</v>
      </c>
      <c r="V1388">
        <v>354</v>
      </c>
      <c r="W1388" t="s">
        <v>36</v>
      </c>
      <c r="X1388">
        <v>1109.93</v>
      </c>
    </row>
    <row r="1389" spans="1:24" x14ac:dyDescent="0.25">
      <c r="A1389" s="2">
        <v>101387</v>
      </c>
      <c r="B1389" s="1">
        <v>45609</v>
      </c>
      <c r="C1389" s="1">
        <v>45612</v>
      </c>
      <c r="D1389" s="1">
        <v>45617</v>
      </c>
      <c r="E1389" t="s">
        <v>3480</v>
      </c>
      <c r="F1389" t="s">
        <v>54</v>
      </c>
      <c r="G1389" t="s">
        <v>193</v>
      </c>
      <c r="H1389" t="s">
        <v>3481</v>
      </c>
      <c r="I1389" t="s">
        <v>278</v>
      </c>
      <c r="J1389" t="s">
        <v>29</v>
      </c>
      <c r="K1389" t="s">
        <v>737</v>
      </c>
      <c r="L1389" t="s">
        <v>64</v>
      </c>
      <c r="M1389" t="s">
        <v>38</v>
      </c>
      <c r="N1389" t="s">
        <v>203</v>
      </c>
      <c r="O1389" t="s">
        <v>204</v>
      </c>
      <c r="P1389" t="s">
        <v>68</v>
      </c>
      <c r="Q1389">
        <v>122</v>
      </c>
      <c r="R1389">
        <v>11.55</v>
      </c>
      <c r="S1389">
        <v>1409.1</v>
      </c>
      <c r="T1389">
        <v>36.42</v>
      </c>
      <c r="U1389">
        <v>5</v>
      </c>
      <c r="V1389">
        <v>2936</v>
      </c>
      <c r="W1389" t="s">
        <v>36</v>
      </c>
      <c r="X1389">
        <v>253.33</v>
      </c>
    </row>
    <row r="1390" spans="1:24" x14ac:dyDescent="0.25">
      <c r="A1390" s="2">
        <v>101388</v>
      </c>
      <c r="B1390" s="1">
        <v>45345</v>
      </c>
      <c r="C1390" s="1">
        <v>45345</v>
      </c>
      <c r="D1390" s="1">
        <v>45348</v>
      </c>
      <c r="E1390" t="s">
        <v>3482</v>
      </c>
      <c r="F1390" t="s">
        <v>54</v>
      </c>
      <c r="G1390" t="s">
        <v>193</v>
      </c>
      <c r="H1390" t="s">
        <v>3483</v>
      </c>
      <c r="I1390" t="s">
        <v>116</v>
      </c>
      <c r="J1390" t="s">
        <v>62</v>
      </c>
      <c r="K1390" t="s">
        <v>858</v>
      </c>
      <c r="L1390" t="s">
        <v>212</v>
      </c>
      <c r="M1390" t="s">
        <v>25</v>
      </c>
      <c r="N1390" t="s">
        <v>66</v>
      </c>
      <c r="O1390" t="s">
        <v>67</v>
      </c>
      <c r="P1390" t="s">
        <v>35</v>
      </c>
      <c r="Q1390">
        <v>451</v>
      </c>
      <c r="R1390">
        <v>14.26</v>
      </c>
      <c r="S1390">
        <v>6431.26</v>
      </c>
      <c r="T1390">
        <v>25.26</v>
      </c>
      <c r="U1390">
        <v>3</v>
      </c>
      <c r="V1390">
        <v>2060</v>
      </c>
      <c r="W1390" t="s">
        <v>36</v>
      </c>
      <c r="X1390">
        <v>457.17</v>
      </c>
    </row>
    <row r="1391" spans="1:24" x14ac:dyDescent="0.25">
      <c r="A1391" s="2">
        <v>101389</v>
      </c>
      <c r="B1391" s="1">
        <v>45861</v>
      </c>
      <c r="C1391" s="1">
        <v>45866</v>
      </c>
      <c r="D1391" s="1">
        <v>45879</v>
      </c>
      <c r="E1391" t="s">
        <v>3484</v>
      </c>
      <c r="F1391" t="s">
        <v>25</v>
      </c>
      <c r="G1391" t="s">
        <v>59</v>
      </c>
      <c r="H1391" t="s">
        <v>3485</v>
      </c>
      <c r="I1391" t="s">
        <v>126</v>
      </c>
      <c r="J1391" t="s">
        <v>42</v>
      </c>
      <c r="K1391" t="s">
        <v>512</v>
      </c>
      <c r="L1391" t="s">
        <v>98</v>
      </c>
      <c r="M1391" t="s">
        <v>38</v>
      </c>
      <c r="N1391" t="s">
        <v>33</v>
      </c>
      <c r="O1391" t="s">
        <v>34</v>
      </c>
      <c r="P1391" t="s">
        <v>123</v>
      </c>
      <c r="Q1391">
        <v>20</v>
      </c>
      <c r="R1391">
        <v>406.09</v>
      </c>
      <c r="S1391">
        <v>8121.8</v>
      </c>
      <c r="T1391">
        <v>11.18</v>
      </c>
      <c r="U1391">
        <v>13</v>
      </c>
      <c r="V1391">
        <v>1690</v>
      </c>
      <c r="W1391" t="s">
        <v>36</v>
      </c>
      <c r="X1391">
        <v>1692.4</v>
      </c>
    </row>
    <row r="1392" spans="1:24" x14ac:dyDescent="0.25">
      <c r="A1392" s="2">
        <v>101390</v>
      </c>
      <c r="B1392" s="1">
        <v>45786</v>
      </c>
      <c r="C1392" s="1">
        <v>45788</v>
      </c>
      <c r="D1392" s="1">
        <v>45802</v>
      </c>
      <c r="E1392" t="s">
        <v>3486</v>
      </c>
      <c r="F1392" t="s">
        <v>25</v>
      </c>
      <c r="G1392" t="s">
        <v>233</v>
      </c>
      <c r="H1392" t="s">
        <v>3487</v>
      </c>
      <c r="I1392" t="s">
        <v>28</v>
      </c>
      <c r="J1392" t="s">
        <v>29</v>
      </c>
      <c r="K1392" t="s">
        <v>1347</v>
      </c>
      <c r="L1392" t="s">
        <v>98</v>
      </c>
      <c r="M1392" t="s">
        <v>32</v>
      </c>
      <c r="N1392" t="s">
        <v>33</v>
      </c>
      <c r="O1392" t="s">
        <v>34</v>
      </c>
      <c r="P1392" t="s">
        <v>123</v>
      </c>
      <c r="Q1392">
        <v>226</v>
      </c>
      <c r="R1392">
        <v>69.62</v>
      </c>
      <c r="S1392">
        <v>15734.12</v>
      </c>
      <c r="T1392">
        <v>16.18</v>
      </c>
      <c r="U1392">
        <v>14</v>
      </c>
      <c r="V1392">
        <v>3209</v>
      </c>
      <c r="W1392" t="s">
        <v>36</v>
      </c>
      <c r="X1392">
        <v>1598.51</v>
      </c>
    </row>
    <row r="1393" spans="1:24" x14ac:dyDescent="0.25">
      <c r="A1393" s="2">
        <v>101391</v>
      </c>
      <c r="B1393" s="1">
        <v>45485</v>
      </c>
      <c r="C1393" s="1">
        <v>45489</v>
      </c>
      <c r="D1393" s="1">
        <v>45492</v>
      </c>
      <c r="E1393" t="s">
        <v>3488</v>
      </c>
      <c r="F1393" t="s">
        <v>38</v>
      </c>
      <c r="G1393" t="s">
        <v>83</v>
      </c>
      <c r="H1393" t="s">
        <v>3489</v>
      </c>
      <c r="I1393" t="s">
        <v>246</v>
      </c>
      <c r="J1393" t="s">
        <v>29</v>
      </c>
      <c r="K1393" t="s">
        <v>3490</v>
      </c>
      <c r="L1393" t="s">
        <v>44</v>
      </c>
      <c r="M1393" t="s">
        <v>32</v>
      </c>
      <c r="N1393" t="s">
        <v>92</v>
      </c>
      <c r="O1393" t="s">
        <v>93</v>
      </c>
      <c r="P1393" t="s">
        <v>68</v>
      </c>
      <c r="Q1393">
        <v>262</v>
      </c>
      <c r="R1393">
        <v>43.02</v>
      </c>
      <c r="S1393">
        <v>11271.24</v>
      </c>
      <c r="T1393">
        <v>45.49</v>
      </c>
      <c r="U1393">
        <v>3</v>
      </c>
      <c r="V1393">
        <v>1245</v>
      </c>
      <c r="W1393" t="s">
        <v>36</v>
      </c>
      <c r="X1393">
        <v>3329.84</v>
      </c>
    </row>
    <row r="1394" spans="1:24" x14ac:dyDescent="0.25">
      <c r="A1394" s="2">
        <v>101392</v>
      </c>
      <c r="B1394" s="1">
        <v>45915</v>
      </c>
      <c r="C1394" s="1">
        <v>45918</v>
      </c>
      <c r="D1394" s="1">
        <v>45922</v>
      </c>
      <c r="E1394" t="s">
        <v>3491</v>
      </c>
      <c r="F1394" t="s">
        <v>54</v>
      </c>
      <c r="G1394" t="s">
        <v>165</v>
      </c>
      <c r="H1394" t="s">
        <v>3492</v>
      </c>
      <c r="I1394" t="s">
        <v>230</v>
      </c>
      <c r="J1394" t="s">
        <v>80</v>
      </c>
      <c r="K1394" t="s">
        <v>907</v>
      </c>
      <c r="L1394" t="s">
        <v>44</v>
      </c>
      <c r="M1394" t="s">
        <v>38</v>
      </c>
      <c r="N1394" t="s">
        <v>92</v>
      </c>
      <c r="O1394" t="s">
        <v>93</v>
      </c>
      <c r="P1394" t="s">
        <v>68</v>
      </c>
      <c r="Q1394">
        <v>189</v>
      </c>
      <c r="R1394">
        <v>50.87</v>
      </c>
      <c r="S1394">
        <v>9614.43</v>
      </c>
      <c r="T1394">
        <v>40.76</v>
      </c>
      <c r="U1394">
        <v>4</v>
      </c>
      <c r="V1394">
        <v>1575</v>
      </c>
      <c r="W1394" t="s">
        <v>36</v>
      </c>
      <c r="X1394">
        <v>2164.81</v>
      </c>
    </row>
    <row r="1395" spans="1:24" x14ac:dyDescent="0.25">
      <c r="A1395" s="2">
        <v>101393</v>
      </c>
      <c r="B1395" s="1">
        <v>45555</v>
      </c>
      <c r="C1395" s="1">
        <v>45556</v>
      </c>
      <c r="D1395" s="1">
        <v>45566</v>
      </c>
      <c r="E1395" t="s">
        <v>3493</v>
      </c>
      <c r="F1395" t="s">
        <v>65</v>
      </c>
      <c r="G1395" t="s">
        <v>154</v>
      </c>
      <c r="H1395" t="s">
        <v>3494</v>
      </c>
      <c r="I1395" t="s">
        <v>182</v>
      </c>
      <c r="J1395" t="s">
        <v>80</v>
      </c>
      <c r="K1395" t="s">
        <v>1567</v>
      </c>
      <c r="L1395" t="s">
        <v>212</v>
      </c>
      <c r="M1395" t="s">
        <v>32</v>
      </c>
      <c r="N1395" t="s">
        <v>92</v>
      </c>
      <c r="O1395" t="s">
        <v>93</v>
      </c>
      <c r="P1395" t="s">
        <v>35</v>
      </c>
      <c r="Q1395">
        <v>141</v>
      </c>
      <c r="R1395">
        <v>319.26</v>
      </c>
      <c r="S1395">
        <v>45015.66</v>
      </c>
      <c r="T1395">
        <v>16.47</v>
      </c>
      <c r="U1395">
        <v>10</v>
      </c>
      <c r="V1395">
        <v>530</v>
      </c>
      <c r="W1395" t="s">
        <v>57</v>
      </c>
      <c r="X1395">
        <v>9935.49</v>
      </c>
    </row>
    <row r="1396" spans="1:24" x14ac:dyDescent="0.25">
      <c r="A1396" s="2">
        <v>101394</v>
      </c>
      <c r="B1396" s="1">
        <v>45928</v>
      </c>
      <c r="C1396" s="1">
        <v>45929</v>
      </c>
      <c r="D1396" s="1">
        <v>45933</v>
      </c>
      <c r="E1396" t="s">
        <v>3495</v>
      </c>
      <c r="F1396" t="s">
        <v>38</v>
      </c>
      <c r="G1396" t="s">
        <v>147</v>
      </c>
      <c r="H1396" t="s">
        <v>3496</v>
      </c>
      <c r="I1396" t="s">
        <v>278</v>
      </c>
      <c r="J1396" t="s">
        <v>29</v>
      </c>
      <c r="K1396" t="s">
        <v>3497</v>
      </c>
      <c r="L1396" t="s">
        <v>44</v>
      </c>
      <c r="M1396" t="s">
        <v>54</v>
      </c>
      <c r="N1396" t="s">
        <v>102</v>
      </c>
      <c r="O1396" t="s">
        <v>103</v>
      </c>
      <c r="P1396" t="s">
        <v>68</v>
      </c>
      <c r="Q1396">
        <v>444</v>
      </c>
      <c r="R1396">
        <v>35.409999999999997</v>
      </c>
      <c r="S1396">
        <v>15722.04</v>
      </c>
      <c r="T1396">
        <v>57.28</v>
      </c>
      <c r="U1396">
        <v>4</v>
      </c>
      <c r="V1396">
        <v>1667</v>
      </c>
      <c r="W1396" t="s">
        <v>36</v>
      </c>
      <c r="X1396">
        <v>1834.09</v>
      </c>
    </row>
    <row r="1397" spans="1:24" x14ac:dyDescent="0.25">
      <c r="A1397" s="2">
        <v>101395</v>
      </c>
      <c r="B1397" s="1">
        <v>45899</v>
      </c>
      <c r="C1397" s="1">
        <v>45902</v>
      </c>
      <c r="D1397" s="1">
        <v>45915</v>
      </c>
      <c r="E1397" t="s">
        <v>3498</v>
      </c>
      <c r="F1397" t="s">
        <v>65</v>
      </c>
      <c r="G1397" t="s">
        <v>142</v>
      </c>
      <c r="H1397" t="s">
        <v>3499</v>
      </c>
      <c r="I1397" t="s">
        <v>149</v>
      </c>
      <c r="J1397" t="s">
        <v>42</v>
      </c>
      <c r="K1397" t="s">
        <v>303</v>
      </c>
      <c r="L1397" t="s">
        <v>187</v>
      </c>
      <c r="M1397" t="s">
        <v>32</v>
      </c>
      <c r="N1397" t="s">
        <v>102</v>
      </c>
      <c r="O1397" t="s">
        <v>103</v>
      </c>
      <c r="P1397" t="s">
        <v>123</v>
      </c>
      <c r="Q1397">
        <v>487</v>
      </c>
      <c r="R1397">
        <v>431.19</v>
      </c>
      <c r="S1397">
        <v>209989.53</v>
      </c>
      <c r="T1397">
        <v>22.53</v>
      </c>
      <c r="U1397">
        <v>13</v>
      </c>
      <c r="V1397">
        <v>54</v>
      </c>
      <c r="W1397" t="s">
        <v>36</v>
      </c>
      <c r="X1397">
        <v>26327.82</v>
      </c>
    </row>
    <row r="1398" spans="1:24" x14ac:dyDescent="0.25">
      <c r="A1398" s="2">
        <v>101396</v>
      </c>
      <c r="B1398" s="1">
        <v>45633</v>
      </c>
      <c r="C1398" s="1">
        <v>45637</v>
      </c>
      <c r="D1398" s="1">
        <v>45639</v>
      </c>
      <c r="E1398" t="s">
        <v>3500</v>
      </c>
      <c r="F1398" t="s">
        <v>32</v>
      </c>
      <c r="G1398" t="s">
        <v>180</v>
      </c>
      <c r="H1398" t="s">
        <v>3501</v>
      </c>
      <c r="I1398" t="s">
        <v>139</v>
      </c>
      <c r="J1398" t="s">
        <v>42</v>
      </c>
      <c r="K1398" t="s">
        <v>3292</v>
      </c>
      <c r="L1398" t="s">
        <v>91</v>
      </c>
      <c r="M1398" t="s">
        <v>32</v>
      </c>
      <c r="N1398" t="s">
        <v>55</v>
      </c>
      <c r="O1398" t="s">
        <v>56</v>
      </c>
      <c r="P1398" t="s">
        <v>35</v>
      </c>
      <c r="Q1398">
        <v>12</v>
      </c>
      <c r="R1398">
        <v>380.82</v>
      </c>
      <c r="S1398">
        <v>4569.84</v>
      </c>
      <c r="T1398">
        <v>9.49</v>
      </c>
      <c r="U1398">
        <v>2</v>
      </c>
      <c r="V1398">
        <v>1075</v>
      </c>
      <c r="W1398" t="s">
        <v>36</v>
      </c>
      <c r="X1398">
        <v>569.65</v>
      </c>
    </row>
    <row r="1399" spans="1:24" x14ac:dyDescent="0.25">
      <c r="A1399" s="2">
        <v>101397</v>
      </c>
      <c r="B1399" s="1">
        <v>45492</v>
      </c>
      <c r="C1399" s="1">
        <v>45495</v>
      </c>
      <c r="D1399" s="1">
        <v>45508</v>
      </c>
      <c r="E1399" t="s">
        <v>2538</v>
      </c>
      <c r="F1399" t="s">
        <v>25</v>
      </c>
      <c r="G1399" t="s">
        <v>244</v>
      </c>
      <c r="H1399" t="s">
        <v>3502</v>
      </c>
      <c r="I1399" t="s">
        <v>182</v>
      </c>
      <c r="J1399" t="s">
        <v>80</v>
      </c>
      <c r="K1399" t="s">
        <v>3093</v>
      </c>
      <c r="L1399" t="s">
        <v>44</v>
      </c>
      <c r="M1399" t="s">
        <v>65</v>
      </c>
      <c r="N1399" t="s">
        <v>92</v>
      </c>
      <c r="O1399" t="s">
        <v>93</v>
      </c>
      <c r="P1399" t="s">
        <v>123</v>
      </c>
      <c r="Q1399">
        <v>83</v>
      </c>
      <c r="R1399">
        <v>305.73</v>
      </c>
      <c r="S1399">
        <v>25375.59</v>
      </c>
      <c r="T1399">
        <v>12.71</v>
      </c>
      <c r="U1399">
        <v>13</v>
      </c>
      <c r="V1399">
        <v>1770</v>
      </c>
      <c r="W1399" t="s">
        <v>36</v>
      </c>
      <c r="X1399">
        <v>5235.25</v>
      </c>
    </row>
    <row r="1400" spans="1:24" x14ac:dyDescent="0.25">
      <c r="A1400" s="2">
        <v>101398</v>
      </c>
      <c r="B1400" s="1">
        <v>45727</v>
      </c>
      <c r="C1400" s="1">
        <v>45727</v>
      </c>
      <c r="D1400" s="1">
        <v>45733</v>
      </c>
      <c r="E1400" t="s">
        <v>3503</v>
      </c>
      <c r="F1400" t="s">
        <v>38</v>
      </c>
      <c r="G1400" t="s">
        <v>39</v>
      </c>
      <c r="H1400" t="s">
        <v>3504</v>
      </c>
      <c r="I1400" t="s">
        <v>41</v>
      </c>
      <c r="J1400" t="s">
        <v>42</v>
      </c>
      <c r="K1400" t="s">
        <v>756</v>
      </c>
      <c r="L1400" t="s">
        <v>122</v>
      </c>
      <c r="M1400" t="s">
        <v>25</v>
      </c>
      <c r="N1400" t="s">
        <v>203</v>
      </c>
      <c r="O1400" t="s">
        <v>204</v>
      </c>
      <c r="P1400" t="s">
        <v>123</v>
      </c>
      <c r="Q1400">
        <v>158</v>
      </c>
      <c r="R1400">
        <v>97.79</v>
      </c>
      <c r="S1400">
        <v>15450.82</v>
      </c>
      <c r="T1400">
        <v>14.53</v>
      </c>
      <c r="U1400">
        <v>6</v>
      </c>
      <c r="V1400">
        <v>643</v>
      </c>
      <c r="W1400" t="s">
        <v>36</v>
      </c>
      <c r="X1400">
        <v>2814.79</v>
      </c>
    </row>
    <row r="1401" spans="1:24" x14ac:dyDescent="0.25">
      <c r="A1401" s="2">
        <v>101399</v>
      </c>
      <c r="B1401" s="1">
        <v>45334</v>
      </c>
      <c r="C1401" s="1">
        <v>45334</v>
      </c>
      <c r="D1401" s="1">
        <v>45340</v>
      </c>
      <c r="E1401" t="s">
        <v>3505</v>
      </c>
      <c r="F1401" t="s">
        <v>32</v>
      </c>
      <c r="G1401" t="s">
        <v>137</v>
      </c>
      <c r="H1401" t="s">
        <v>3506</v>
      </c>
      <c r="I1401" t="s">
        <v>246</v>
      </c>
      <c r="J1401" t="s">
        <v>29</v>
      </c>
      <c r="K1401" t="s">
        <v>328</v>
      </c>
      <c r="L1401" t="s">
        <v>64</v>
      </c>
      <c r="M1401" t="s">
        <v>65</v>
      </c>
      <c r="N1401" t="s">
        <v>55</v>
      </c>
      <c r="O1401" t="s">
        <v>56</v>
      </c>
      <c r="P1401" t="s">
        <v>123</v>
      </c>
      <c r="Q1401">
        <v>424</v>
      </c>
      <c r="R1401">
        <v>75.92</v>
      </c>
      <c r="S1401">
        <v>32190.080000000002</v>
      </c>
      <c r="T1401">
        <v>21</v>
      </c>
      <c r="U1401">
        <v>6</v>
      </c>
      <c r="V1401">
        <v>1788</v>
      </c>
      <c r="W1401" t="s">
        <v>36</v>
      </c>
      <c r="X1401">
        <v>6006.01</v>
      </c>
    </row>
    <row r="1402" spans="1:24" x14ac:dyDescent="0.25">
      <c r="A1402" s="2">
        <v>101400</v>
      </c>
      <c r="B1402" s="1">
        <v>45925</v>
      </c>
      <c r="C1402" s="1">
        <v>45930</v>
      </c>
      <c r="D1402" s="1">
        <v>45935</v>
      </c>
      <c r="E1402" t="s">
        <v>3507</v>
      </c>
      <c r="F1402" t="s">
        <v>32</v>
      </c>
      <c r="G1402" t="s">
        <v>255</v>
      </c>
      <c r="H1402" t="s">
        <v>1155</v>
      </c>
      <c r="I1402" t="s">
        <v>416</v>
      </c>
      <c r="J1402" t="s">
        <v>80</v>
      </c>
      <c r="K1402" t="s">
        <v>936</v>
      </c>
      <c r="L1402" t="s">
        <v>98</v>
      </c>
      <c r="M1402" t="s">
        <v>54</v>
      </c>
      <c r="N1402" t="s">
        <v>151</v>
      </c>
      <c r="O1402" t="s">
        <v>152</v>
      </c>
      <c r="P1402" t="s">
        <v>123</v>
      </c>
      <c r="Q1402">
        <v>385</v>
      </c>
      <c r="R1402">
        <v>202.25</v>
      </c>
      <c r="S1402">
        <v>77866.25</v>
      </c>
      <c r="T1402">
        <v>20.05</v>
      </c>
      <c r="U1402">
        <v>5</v>
      </c>
      <c r="V1402">
        <v>2057</v>
      </c>
      <c r="W1402" t="s">
        <v>36</v>
      </c>
      <c r="X1402">
        <v>20631.810000000001</v>
      </c>
    </row>
    <row r="1403" spans="1:24" x14ac:dyDescent="0.25">
      <c r="A1403" s="2">
        <v>101401</v>
      </c>
      <c r="B1403" s="1">
        <v>45872</v>
      </c>
      <c r="C1403" s="1">
        <v>45877</v>
      </c>
      <c r="D1403" s="1">
        <v>45888</v>
      </c>
      <c r="E1403" t="s">
        <v>3508</v>
      </c>
      <c r="F1403" t="s">
        <v>54</v>
      </c>
      <c r="G1403" t="s">
        <v>193</v>
      </c>
      <c r="H1403" t="s">
        <v>1018</v>
      </c>
      <c r="I1403" t="s">
        <v>238</v>
      </c>
      <c r="J1403" t="s">
        <v>62</v>
      </c>
      <c r="K1403" t="s">
        <v>3509</v>
      </c>
      <c r="L1403" t="s">
        <v>212</v>
      </c>
      <c r="M1403" t="s">
        <v>25</v>
      </c>
      <c r="N1403" t="s">
        <v>55</v>
      </c>
      <c r="O1403" t="s">
        <v>56</v>
      </c>
      <c r="P1403" t="s">
        <v>76</v>
      </c>
      <c r="Q1403">
        <v>340</v>
      </c>
      <c r="R1403">
        <v>6.61</v>
      </c>
      <c r="S1403">
        <v>2247.4</v>
      </c>
      <c r="T1403">
        <v>14.22</v>
      </c>
      <c r="U1403">
        <v>11</v>
      </c>
      <c r="V1403">
        <v>500</v>
      </c>
      <c r="W1403" t="s">
        <v>36</v>
      </c>
      <c r="X1403">
        <v>313.18</v>
      </c>
    </row>
    <row r="1404" spans="1:24" x14ac:dyDescent="0.25">
      <c r="A1404" s="2">
        <v>101402</v>
      </c>
      <c r="B1404" s="1">
        <v>45835</v>
      </c>
      <c r="C1404" s="1">
        <v>45835</v>
      </c>
      <c r="D1404" s="1">
        <v>45842</v>
      </c>
      <c r="E1404" t="s">
        <v>3510</v>
      </c>
      <c r="F1404" t="s">
        <v>25</v>
      </c>
      <c r="G1404" t="s">
        <v>59</v>
      </c>
      <c r="H1404" t="s">
        <v>3511</v>
      </c>
      <c r="I1404" t="s">
        <v>177</v>
      </c>
      <c r="J1404" t="s">
        <v>29</v>
      </c>
      <c r="K1404" t="s">
        <v>1327</v>
      </c>
      <c r="L1404" t="s">
        <v>113</v>
      </c>
      <c r="M1404" t="s">
        <v>32</v>
      </c>
      <c r="N1404" t="s">
        <v>151</v>
      </c>
      <c r="O1404" t="s">
        <v>152</v>
      </c>
      <c r="P1404" t="s">
        <v>123</v>
      </c>
      <c r="Q1404">
        <v>496</v>
      </c>
      <c r="R1404">
        <v>55.7</v>
      </c>
      <c r="S1404">
        <v>27627.200000000001</v>
      </c>
      <c r="T1404">
        <v>22.74</v>
      </c>
      <c r="U1404">
        <v>7</v>
      </c>
      <c r="V1404">
        <v>1543</v>
      </c>
      <c r="W1404" t="s">
        <v>57</v>
      </c>
      <c r="X1404">
        <v>3638.45</v>
      </c>
    </row>
    <row r="1405" spans="1:24" x14ac:dyDescent="0.25">
      <c r="A1405" s="2">
        <v>101403</v>
      </c>
      <c r="B1405" s="1">
        <v>45698</v>
      </c>
      <c r="C1405" s="1">
        <v>45703</v>
      </c>
      <c r="D1405" s="1">
        <v>45722</v>
      </c>
      <c r="E1405" t="s">
        <v>2724</v>
      </c>
      <c r="F1405" t="s">
        <v>25</v>
      </c>
      <c r="G1405" t="s">
        <v>59</v>
      </c>
      <c r="H1405" t="s">
        <v>3512</v>
      </c>
      <c r="I1405" t="s">
        <v>207</v>
      </c>
      <c r="J1405" t="s">
        <v>80</v>
      </c>
      <c r="K1405" t="s">
        <v>529</v>
      </c>
      <c r="L1405" t="s">
        <v>98</v>
      </c>
      <c r="M1405" t="s">
        <v>32</v>
      </c>
      <c r="N1405" t="s">
        <v>33</v>
      </c>
      <c r="O1405" t="s">
        <v>34</v>
      </c>
      <c r="P1405" t="s">
        <v>76</v>
      </c>
      <c r="Q1405">
        <v>66</v>
      </c>
      <c r="R1405">
        <v>234.89</v>
      </c>
      <c r="S1405">
        <v>15502.74</v>
      </c>
      <c r="T1405">
        <v>9.2200000000000006</v>
      </c>
      <c r="U1405">
        <v>19</v>
      </c>
      <c r="V1405">
        <v>2159</v>
      </c>
      <c r="W1405" t="s">
        <v>36</v>
      </c>
      <c r="X1405">
        <v>3463.75</v>
      </c>
    </row>
    <row r="1406" spans="1:24" x14ac:dyDescent="0.25">
      <c r="A1406" s="2">
        <v>101404</v>
      </c>
      <c r="B1406" s="1">
        <v>45317</v>
      </c>
      <c r="C1406" s="1">
        <v>45319</v>
      </c>
      <c r="D1406" s="1">
        <v>45337</v>
      </c>
      <c r="E1406" t="s">
        <v>3513</v>
      </c>
      <c r="F1406" t="s">
        <v>25</v>
      </c>
      <c r="G1406" t="s">
        <v>169</v>
      </c>
      <c r="H1406" t="s">
        <v>3514</v>
      </c>
      <c r="I1406" t="s">
        <v>416</v>
      </c>
      <c r="J1406" t="s">
        <v>80</v>
      </c>
      <c r="K1406" t="s">
        <v>297</v>
      </c>
      <c r="L1406" t="s">
        <v>98</v>
      </c>
      <c r="M1406" t="s">
        <v>54</v>
      </c>
      <c r="N1406" t="s">
        <v>203</v>
      </c>
      <c r="O1406" t="s">
        <v>204</v>
      </c>
      <c r="P1406" t="s">
        <v>76</v>
      </c>
      <c r="Q1406">
        <v>298</v>
      </c>
      <c r="R1406">
        <v>99.52</v>
      </c>
      <c r="S1406">
        <v>29656.959999999999</v>
      </c>
      <c r="T1406">
        <v>13.45</v>
      </c>
      <c r="U1406">
        <v>18</v>
      </c>
      <c r="V1406">
        <v>378</v>
      </c>
      <c r="W1406" t="s">
        <v>36</v>
      </c>
      <c r="X1406">
        <v>7264.24</v>
      </c>
    </row>
    <row r="1407" spans="1:24" x14ac:dyDescent="0.25">
      <c r="A1407" s="2">
        <v>101405</v>
      </c>
      <c r="B1407" s="1">
        <v>45401</v>
      </c>
      <c r="C1407" s="1">
        <v>45405</v>
      </c>
      <c r="D1407" s="1">
        <v>45424</v>
      </c>
      <c r="E1407" t="s">
        <v>3515</v>
      </c>
      <c r="F1407" t="s">
        <v>65</v>
      </c>
      <c r="G1407" t="s">
        <v>70</v>
      </c>
      <c r="H1407" t="s">
        <v>3516</v>
      </c>
      <c r="I1407" t="s">
        <v>41</v>
      </c>
      <c r="J1407" t="s">
        <v>42</v>
      </c>
      <c r="K1407" t="s">
        <v>2265</v>
      </c>
      <c r="L1407" t="s">
        <v>91</v>
      </c>
      <c r="M1407" t="s">
        <v>65</v>
      </c>
      <c r="N1407" t="s">
        <v>107</v>
      </c>
      <c r="O1407" t="s">
        <v>108</v>
      </c>
      <c r="P1407" t="s">
        <v>76</v>
      </c>
      <c r="Q1407">
        <v>434</v>
      </c>
      <c r="R1407">
        <v>294.45</v>
      </c>
      <c r="S1407">
        <v>127791.3</v>
      </c>
      <c r="T1407">
        <v>11.8</v>
      </c>
      <c r="U1407">
        <v>19</v>
      </c>
      <c r="V1407">
        <v>1141</v>
      </c>
      <c r="W1407" t="s">
        <v>188</v>
      </c>
      <c r="X1407">
        <v>16472</v>
      </c>
    </row>
    <row r="1408" spans="1:24" x14ac:dyDescent="0.25">
      <c r="A1408" s="2">
        <v>101406</v>
      </c>
      <c r="B1408" s="1">
        <v>45795</v>
      </c>
      <c r="C1408" s="1">
        <v>45800</v>
      </c>
      <c r="D1408" s="1">
        <v>45820</v>
      </c>
      <c r="E1408" t="s">
        <v>3517</v>
      </c>
      <c r="F1408" t="s">
        <v>32</v>
      </c>
      <c r="G1408" t="s">
        <v>95</v>
      </c>
      <c r="H1408" t="s">
        <v>3518</v>
      </c>
      <c r="I1408" t="s">
        <v>182</v>
      </c>
      <c r="J1408" t="s">
        <v>80</v>
      </c>
      <c r="K1408" t="s">
        <v>3519</v>
      </c>
      <c r="L1408" t="s">
        <v>113</v>
      </c>
      <c r="M1408" t="s">
        <v>38</v>
      </c>
      <c r="N1408" t="s">
        <v>66</v>
      </c>
      <c r="O1408" t="s">
        <v>67</v>
      </c>
      <c r="P1408" t="s">
        <v>76</v>
      </c>
      <c r="Q1408">
        <v>346</v>
      </c>
      <c r="R1408">
        <v>184.5</v>
      </c>
      <c r="S1408">
        <v>63837</v>
      </c>
      <c r="T1408">
        <v>14.32</v>
      </c>
      <c r="U1408">
        <v>20</v>
      </c>
      <c r="V1408">
        <v>2014</v>
      </c>
      <c r="W1408" t="s">
        <v>47</v>
      </c>
      <c r="X1408">
        <v>-29.21</v>
      </c>
    </row>
    <row r="1409" spans="1:24" x14ac:dyDescent="0.25">
      <c r="A1409" s="2">
        <v>101407</v>
      </c>
      <c r="B1409" s="1">
        <v>45454</v>
      </c>
      <c r="C1409" s="1">
        <v>45454</v>
      </c>
      <c r="D1409" s="1">
        <v>45465</v>
      </c>
      <c r="E1409" t="s">
        <v>3520</v>
      </c>
      <c r="F1409" t="s">
        <v>65</v>
      </c>
      <c r="G1409" t="s">
        <v>142</v>
      </c>
      <c r="H1409" t="s">
        <v>3521</v>
      </c>
      <c r="I1409" t="s">
        <v>51</v>
      </c>
      <c r="J1409" t="s">
        <v>52</v>
      </c>
      <c r="K1409" t="s">
        <v>3522</v>
      </c>
      <c r="L1409" t="s">
        <v>187</v>
      </c>
      <c r="M1409" t="s">
        <v>38</v>
      </c>
      <c r="N1409" t="s">
        <v>55</v>
      </c>
      <c r="O1409" t="s">
        <v>56</v>
      </c>
      <c r="P1409" t="s">
        <v>123</v>
      </c>
      <c r="Q1409">
        <v>464</v>
      </c>
      <c r="R1409">
        <v>75.66</v>
      </c>
      <c r="S1409">
        <v>35106.239999999998</v>
      </c>
      <c r="T1409">
        <v>21.97</v>
      </c>
      <c r="U1409">
        <v>11</v>
      </c>
      <c r="V1409">
        <v>1190</v>
      </c>
      <c r="W1409" t="s">
        <v>36</v>
      </c>
      <c r="X1409">
        <v>4159.76</v>
      </c>
    </row>
    <row r="1410" spans="1:24" x14ac:dyDescent="0.25">
      <c r="A1410" s="2">
        <v>101408</v>
      </c>
      <c r="B1410" s="1">
        <v>45371</v>
      </c>
      <c r="C1410" s="1">
        <v>45376</v>
      </c>
      <c r="D1410" s="1">
        <v>45394</v>
      </c>
      <c r="E1410" t="s">
        <v>3523</v>
      </c>
      <c r="F1410" t="s">
        <v>25</v>
      </c>
      <c r="G1410" t="s">
        <v>26</v>
      </c>
      <c r="H1410" t="s">
        <v>3524</v>
      </c>
      <c r="I1410" t="s">
        <v>144</v>
      </c>
      <c r="J1410" t="s">
        <v>52</v>
      </c>
      <c r="K1410" t="s">
        <v>3525</v>
      </c>
      <c r="L1410" t="s">
        <v>122</v>
      </c>
      <c r="M1410" t="s">
        <v>65</v>
      </c>
      <c r="N1410" t="s">
        <v>74</v>
      </c>
      <c r="O1410" t="s">
        <v>75</v>
      </c>
      <c r="P1410" t="s">
        <v>76</v>
      </c>
      <c r="Q1410">
        <v>455</v>
      </c>
      <c r="R1410">
        <v>24.9</v>
      </c>
      <c r="S1410">
        <v>11329.5</v>
      </c>
      <c r="T1410">
        <v>16.309999999999999</v>
      </c>
      <c r="U1410">
        <v>18</v>
      </c>
      <c r="V1410">
        <v>1637</v>
      </c>
      <c r="W1410" t="s">
        <v>47</v>
      </c>
      <c r="X1410">
        <v>-67.08</v>
      </c>
    </row>
    <row r="1411" spans="1:24" x14ac:dyDescent="0.25">
      <c r="A1411" s="2">
        <v>101409</v>
      </c>
      <c r="B1411" s="1">
        <v>45501</v>
      </c>
      <c r="C1411" s="1">
        <v>45502</v>
      </c>
      <c r="D1411" s="1">
        <v>45512</v>
      </c>
      <c r="E1411" t="s">
        <v>3526</v>
      </c>
      <c r="F1411" t="s">
        <v>32</v>
      </c>
      <c r="G1411" t="s">
        <v>137</v>
      </c>
      <c r="H1411" t="s">
        <v>3527</v>
      </c>
      <c r="I1411" t="s">
        <v>61</v>
      </c>
      <c r="J1411" t="s">
        <v>62</v>
      </c>
      <c r="K1411" t="s">
        <v>3528</v>
      </c>
      <c r="L1411" t="s">
        <v>64</v>
      </c>
      <c r="M1411" t="s">
        <v>25</v>
      </c>
      <c r="N1411" t="s">
        <v>203</v>
      </c>
      <c r="O1411" t="s">
        <v>204</v>
      </c>
      <c r="P1411" t="s">
        <v>35</v>
      </c>
      <c r="Q1411">
        <v>189</v>
      </c>
      <c r="R1411">
        <v>14.25</v>
      </c>
      <c r="S1411">
        <v>2693.25</v>
      </c>
      <c r="T1411">
        <v>17.829999999999998</v>
      </c>
      <c r="U1411">
        <v>10</v>
      </c>
      <c r="V1411">
        <v>501</v>
      </c>
      <c r="W1411" t="s">
        <v>47</v>
      </c>
      <c r="X1411">
        <v>-158.04</v>
      </c>
    </row>
    <row r="1412" spans="1:24" x14ac:dyDescent="0.25">
      <c r="A1412" s="2">
        <v>101410</v>
      </c>
      <c r="B1412" s="1">
        <v>45580</v>
      </c>
      <c r="C1412" s="1">
        <v>45584</v>
      </c>
      <c r="D1412" s="1">
        <v>45589</v>
      </c>
      <c r="E1412" t="s">
        <v>3529</v>
      </c>
      <c r="F1412" t="s">
        <v>38</v>
      </c>
      <c r="G1412" t="s">
        <v>217</v>
      </c>
      <c r="H1412" t="s">
        <v>3530</v>
      </c>
      <c r="I1412" t="s">
        <v>230</v>
      </c>
      <c r="J1412" t="s">
        <v>80</v>
      </c>
      <c r="K1412" t="s">
        <v>2548</v>
      </c>
      <c r="L1412" t="s">
        <v>113</v>
      </c>
      <c r="M1412" t="s">
        <v>38</v>
      </c>
      <c r="N1412" t="s">
        <v>33</v>
      </c>
      <c r="O1412" t="s">
        <v>34</v>
      </c>
      <c r="P1412" t="s">
        <v>68</v>
      </c>
      <c r="Q1412">
        <v>265</v>
      </c>
      <c r="R1412">
        <v>54.11</v>
      </c>
      <c r="S1412">
        <v>14339.15</v>
      </c>
      <c r="T1412">
        <v>33.840000000000003</v>
      </c>
      <c r="U1412">
        <v>5</v>
      </c>
      <c r="V1412">
        <v>1771</v>
      </c>
      <c r="W1412" t="s">
        <v>36</v>
      </c>
      <c r="X1412">
        <v>1709.53</v>
      </c>
    </row>
    <row r="1413" spans="1:24" x14ac:dyDescent="0.25">
      <c r="A1413" s="2">
        <v>101411</v>
      </c>
      <c r="B1413" s="1">
        <v>45395</v>
      </c>
      <c r="C1413" s="1">
        <v>45397</v>
      </c>
      <c r="D1413" s="1">
        <v>45401</v>
      </c>
      <c r="E1413" t="s">
        <v>2055</v>
      </c>
      <c r="F1413" t="s">
        <v>32</v>
      </c>
      <c r="G1413" t="s">
        <v>255</v>
      </c>
      <c r="H1413" t="s">
        <v>3531</v>
      </c>
      <c r="I1413" t="s">
        <v>61</v>
      </c>
      <c r="J1413" t="s">
        <v>62</v>
      </c>
      <c r="K1413" t="s">
        <v>1829</v>
      </c>
      <c r="L1413" t="s">
        <v>118</v>
      </c>
      <c r="M1413" t="s">
        <v>32</v>
      </c>
      <c r="N1413" t="s">
        <v>55</v>
      </c>
      <c r="O1413" t="s">
        <v>56</v>
      </c>
      <c r="P1413" t="s">
        <v>35</v>
      </c>
      <c r="Q1413">
        <v>47</v>
      </c>
      <c r="R1413">
        <v>11.83</v>
      </c>
      <c r="S1413">
        <v>556.01</v>
      </c>
      <c r="T1413">
        <v>10.23</v>
      </c>
      <c r="U1413">
        <v>4</v>
      </c>
      <c r="V1413">
        <v>1978</v>
      </c>
      <c r="W1413" t="s">
        <v>36</v>
      </c>
      <c r="X1413">
        <v>73.849999999999994</v>
      </c>
    </row>
    <row r="1414" spans="1:24" x14ac:dyDescent="0.25">
      <c r="A1414" s="2">
        <v>101412</v>
      </c>
      <c r="B1414" s="1">
        <v>45648</v>
      </c>
      <c r="C1414" s="1">
        <v>45653</v>
      </c>
      <c r="D1414" s="1">
        <v>45657</v>
      </c>
      <c r="E1414" t="s">
        <v>3532</v>
      </c>
      <c r="F1414" t="s">
        <v>32</v>
      </c>
      <c r="G1414" t="s">
        <v>95</v>
      </c>
      <c r="H1414" t="s">
        <v>3533</v>
      </c>
      <c r="I1414" t="s">
        <v>191</v>
      </c>
      <c r="J1414" t="s">
        <v>62</v>
      </c>
      <c r="K1414" t="s">
        <v>3534</v>
      </c>
      <c r="L1414" t="s">
        <v>212</v>
      </c>
      <c r="M1414" t="s">
        <v>25</v>
      </c>
      <c r="N1414" t="s">
        <v>74</v>
      </c>
      <c r="O1414" t="s">
        <v>75</v>
      </c>
      <c r="P1414" t="s">
        <v>123</v>
      </c>
      <c r="Q1414">
        <v>434</v>
      </c>
      <c r="R1414">
        <v>38.67</v>
      </c>
      <c r="S1414">
        <v>16782.78</v>
      </c>
      <c r="T1414">
        <v>21.24</v>
      </c>
      <c r="U1414">
        <v>4</v>
      </c>
      <c r="V1414">
        <v>2474</v>
      </c>
      <c r="W1414" t="s">
        <v>36</v>
      </c>
      <c r="X1414">
        <v>2377.25</v>
      </c>
    </row>
    <row r="1415" spans="1:24" x14ac:dyDescent="0.25">
      <c r="A1415" s="2">
        <v>101413</v>
      </c>
      <c r="B1415" s="1">
        <v>45593</v>
      </c>
      <c r="C1415" s="1">
        <v>45595</v>
      </c>
      <c r="D1415" s="1">
        <v>45596</v>
      </c>
      <c r="E1415" t="s">
        <v>3535</v>
      </c>
      <c r="F1415" t="s">
        <v>25</v>
      </c>
      <c r="G1415" t="s">
        <v>169</v>
      </c>
      <c r="H1415" t="s">
        <v>3536</v>
      </c>
      <c r="I1415" t="s">
        <v>368</v>
      </c>
      <c r="J1415" t="s">
        <v>29</v>
      </c>
      <c r="K1415" t="s">
        <v>737</v>
      </c>
      <c r="L1415" t="s">
        <v>44</v>
      </c>
      <c r="M1415" t="s">
        <v>54</v>
      </c>
      <c r="N1415" t="s">
        <v>92</v>
      </c>
      <c r="O1415" t="s">
        <v>93</v>
      </c>
      <c r="P1415" t="s">
        <v>68</v>
      </c>
      <c r="Q1415">
        <v>18</v>
      </c>
      <c r="R1415">
        <v>96.14</v>
      </c>
      <c r="S1415">
        <v>1730.52</v>
      </c>
      <c r="T1415">
        <v>29.68</v>
      </c>
      <c r="U1415">
        <v>1</v>
      </c>
      <c r="V1415">
        <v>3335</v>
      </c>
      <c r="W1415" t="s">
        <v>36</v>
      </c>
      <c r="X1415">
        <v>233.33</v>
      </c>
    </row>
    <row r="1416" spans="1:24" x14ac:dyDescent="0.25">
      <c r="A1416" s="2">
        <v>101414</v>
      </c>
      <c r="B1416" s="1">
        <v>45973</v>
      </c>
      <c r="C1416" s="1">
        <v>45978</v>
      </c>
      <c r="D1416" s="1">
        <v>45988</v>
      </c>
      <c r="E1416" t="s">
        <v>3537</v>
      </c>
      <c r="F1416" t="s">
        <v>54</v>
      </c>
      <c r="G1416" t="s">
        <v>165</v>
      </c>
      <c r="H1416" t="s">
        <v>3538</v>
      </c>
      <c r="I1416" t="s">
        <v>368</v>
      </c>
      <c r="J1416" t="s">
        <v>29</v>
      </c>
      <c r="K1416" t="s">
        <v>3539</v>
      </c>
      <c r="L1416" t="s">
        <v>91</v>
      </c>
      <c r="M1416" t="s">
        <v>38</v>
      </c>
      <c r="N1416" t="s">
        <v>74</v>
      </c>
      <c r="O1416" t="s">
        <v>75</v>
      </c>
      <c r="P1416" t="s">
        <v>123</v>
      </c>
      <c r="Q1416">
        <v>381</v>
      </c>
      <c r="R1416">
        <v>17.8</v>
      </c>
      <c r="S1416">
        <v>6781.8</v>
      </c>
      <c r="T1416">
        <v>19.95</v>
      </c>
      <c r="U1416">
        <v>10</v>
      </c>
      <c r="V1416">
        <v>2143</v>
      </c>
      <c r="W1416" t="s">
        <v>36</v>
      </c>
      <c r="X1416">
        <v>784.63</v>
      </c>
    </row>
    <row r="1417" spans="1:24" x14ac:dyDescent="0.25">
      <c r="A1417" s="2">
        <v>101415</v>
      </c>
      <c r="B1417" s="1">
        <v>45991</v>
      </c>
      <c r="C1417" s="1">
        <v>45994</v>
      </c>
      <c r="D1417" s="1">
        <v>46001</v>
      </c>
      <c r="E1417" t="s">
        <v>3540</v>
      </c>
      <c r="F1417" t="s">
        <v>32</v>
      </c>
      <c r="G1417" t="s">
        <v>137</v>
      </c>
      <c r="H1417" t="s">
        <v>3541</v>
      </c>
      <c r="I1417" t="s">
        <v>207</v>
      </c>
      <c r="J1417" t="s">
        <v>80</v>
      </c>
      <c r="K1417" t="s">
        <v>3542</v>
      </c>
      <c r="L1417" t="s">
        <v>122</v>
      </c>
      <c r="M1417" t="s">
        <v>38</v>
      </c>
      <c r="N1417" t="s">
        <v>55</v>
      </c>
      <c r="O1417" t="s">
        <v>56</v>
      </c>
      <c r="P1417" t="s">
        <v>35</v>
      </c>
      <c r="Q1417">
        <v>239</v>
      </c>
      <c r="R1417">
        <v>159.05000000000001</v>
      </c>
      <c r="S1417">
        <v>38012.949999999997</v>
      </c>
      <c r="T1417">
        <v>19.25</v>
      </c>
      <c r="U1417">
        <v>7</v>
      </c>
      <c r="V1417">
        <v>104</v>
      </c>
      <c r="W1417" t="s">
        <v>47</v>
      </c>
      <c r="X1417">
        <v>-247.25</v>
      </c>
    </row>
    <row r="1418" spans="1:24" x14ac:dyDescent="0.25">
      <c r="A1418" s="2">
        <v>101416</v>
      </c>
      <c r="B1418" s="1">
        <v>45645</v>
      </c>
      <c r="C1418" s="1">
        <v>45648</v>
      </c>
      <c r="D1418" s="1">
        <v>45665</v>
      </c>
      <c r="E1418" t="s">
        <v>3543</v>
      </c>
      <c r="F1418" t="s">
        <v>38</v>
      </c>
      <c r="G1418" t="s">
        <v>39</v>
      </c>
      <c r="H1418" t="s">
        <v>3544</v>
      </c>
      <c r="I1418" t="s">
        <v>207</v>
      </c>
      <c r="J1418" t="s">
        <v>80</v>
      </c>
      <c r="K1418" t="s">
        <v>2816</v>
      </c>
      <c r="L1418" t="s">
        <v>91</v>
      </c>
      <c r="M1418" t="s">
        <v>65</v>
      </c>
      <c r="N1418" t="s">
        <v>55</v>
      </c>
      <c r="O1418" t="s">
        <v>56</v>
      </c>
      <c r="P1418" t="s">
        <v>76</v>
      </c>
      <c r="Q1418">
        <v>69</v>
      </c>
      <c r="R1418">
        <v>282.63</v>
      </c>
      <c r="S1418">
        <v>19501.47</v>
      </c>
      <c r="T1418">
        <v>9.2799999999999994</v>
      </c>
      <c r="U1418">
        <v>17</v>
      </c>
      <c r="V1418">
        <v>409</v>
      </c>
      <c r="W1418" t="s">
        <v>36</v>
      </c>
      <c r="X1418">
        <v>1753.97</v>
      </c>
    </row>
    <row r="1419" spans="1:24" x14ac:dyDescent="0.25">
      <c r="A1419" s="2">
        <v>101417</v>
      </c>
      <c r="B1419" s="1">
        <v>45562</v>
      </c>
      <c r="C1419" s="1">
        <v>45564</v>
      </c>
      <c r="D1419" s="1">
        <v>45572</v>
      </c>
      <c r="E1419" t="s">
        <v>3545</v>
      </c>
      <c r="F1419" t="s">
        <v>25</v>
      </c>
      <c r="G1419" t="s">
        <v>59</v>
      </c>
      <c r="H1419" t="s">
        <v>3546</v>
      </c>
      <c r="I1419" t="s">
        <v>41</v>
      </c>
      <c r="J1419" t="s">
        <v>42</v>
      </c>
      <c r="K1419" t="s">
        <v>3181</v>
      </c>
      <c r="L1419" t="s">
        <v>187</v>
      </c>
      <c r="M1419" t="s">
        <v>38</v>
      </c>
      <c r="N1419" t="s">
        <v>203</v>
      </c>
      <c r="O1419" t="s">
        <v>204</v>
      </c>
      <c r="P1419" t="s">
        <v>35</v>
      </c>
      <c r="Q1419">
        <v>77</v>
      </c>
      <c r="R1419">
        <v>388.89</v>
      </c>
      <c r="S1419">
        <v>29944.53</v>
      </c>
      <c r="T1419">
        <v>14.66</v>
      </c>
      <c r="U1419">
        <v>8</v>
      </c>
      <c r="V1419">
        <v>482</v>
      </c>
      <c r="W1419" t="s">
        <v>36</v>
      </c>
      <c r="X1419">
        <v>4655.8599999999997</v>
      </c>
    </row>
    <row r="1420" spans="1:24" x14ac:dyDescent="0.25">
      <c r="A1420" s="2">
        <v>101418</v>
      </c>
      <c r="B1420" s="1">
        <v>45841</v>
      </c>
      <c r="C1420" s="1">
        <v>45843</v>
      </c>
      <c r="D1420" s="1">
        <v>45848</v>
      </c>
      <c r="E1420" t="s">
        <v>3547</v>
      </c>
      <c r="F1420" t="s">
        <v>54</v>
      </c>
      <c r="G1420" t="s">
        <v>225</v>
      </c>
      <c r="H1420" t="s">
        <v>3548</v>
      </c>
      <c r="I1420" t="s">
        <v>198</v>
      </c>
      <c r="J1420" t="s">
        <v>52</v>
      </c>
      <c r="K1420" t="s">
        <v>3549</v>
      </c>
      <c r="L1420" t="s">
        <v>113</v>
      </c>
      <c r="M1420" t="s">
        <v>38</v>
      </c>
      <c r="N1420" t="s">
        <v>55</v>
      </c>
      <c r="O1420" t="s">
        <v>56</v>
      </c>
      <c r="P1420" t="s">
        <v>35</v>
      </c>
      <c r="Q1420">
        <v>356</v>
      </c>
      <c r="R1420">
        <v>87.23</v>
      </c>
      <c r="S1420">
        <v>31053.88</v>
      </c>
      <c r="T1420">
        <v>22.57</v>
      </c>
      <c r="U1420">
        <v>5</v>
      </c>
      <c r="V1420">
        <v>1902</v>
      </c>
      <c r="W1420" t="s">
        <v>36</v>
      </c>
      <c r="X1420">
        <v>4495.2700000000004</v>
      </c>
    </row>
    <row r="1421" spans="1:24" x14ac:dyDescent="0.25">
      <c r="A1421" s="2">
        <v>101419</v>
      </c>
      <c r="B1421" s="1">
        <v>45614</v>
      </c>
      <c r="C1421" s="1">
        <v>45618</v>
      </c>
      <c r="D1421" s="1">
        <v>45628</v>
      </c>
      <c r="E1421" t="s">
        <v>3550</v>
      </c>
      <c r="F1421" t="s">
        <v>65</v>
      </c>
      <c r="G1421" t="s">
        <v>154</v>
      </c>
      <c r="H1421" t="s">
        <v>3551</v>
      </c>
      <c r="I1421" t="s">
        <v>191</v>
      </c>
      <c r="J1421" t="s">
        <v>62</v>
      </c>
      <c r="K1421" t="s">
        <v>3552</v>
      </c>
      <c r="L1421" t="s">
        <v>113</v>
      </c>
      <c r="M1421" t="s">
        <v>38</v>
      </c>
      <c r="N1421" t="s">
        <v>203</v>
      </c>
      <c r="O1421" t="s">
        <v>204</v>
      </c>
      <c r="P1421" t="s">
        <v>35</v>
      </c>
      <c r="Q1421">
        <v>84</v>
      </c>
      <c r="R1421">
        <v>41.04</v>
      </c>
      <c r="S1421">
        <v>3447.36</v>
      </c>
      <c r="T1421">
        <v>14.86</v>
      </c>
      <c r="U1421">
        <v>10</v>
      </c>
      <c r="V1421">
        <v>2520</v>
      </c>
      <c r="W1421" t="s">
        <v>36</v>
      </c>
      <c r="X1421">
        <v>571.83000000000004</v>
      </c>
    </row>
    <row r="1422" spans="1:24" x14ac:dyDescent="0.25">
      <c r="A1422" s="2">
        <v>101420</v>
      </c>
      <c r="B1422" s="1">
        <v>45458</v>
      </c>
      <c r="C1422" s="1">
        <v>45461</v>
      </c>
      <c r="D1422" s="1">
        <v>45463</v>
      </c>
      <c r="E1422" t="s">
        <v>3553</v>
      </c>
      <c r="F1422" t="s">
        <v>32</v>
      </c>
      <c r="G1422" t="s">
        <v>180</v>
      </c>
      <c r="H1422" t="s">
        <v>3554</v>
      </c>
      <c r="I1422" t="s">
        <v>416</v>
      </c>
      <c r="J1422" t="s">
        <v>80</v>
      </c>
      <c r="K1422" t="s">
        <v>2766</v>
      </c>
      <c r="L1422" t="s">
        <v>64</v>
      </c>
      <c r="M1422" t="s">
        <v>54</v>
      </c>
      <c r="N1422" t="s">
        <v>203</v>
      </c>
      <c r="O1422" t="s">
        <v>204</v>
      </c>
      <c r="P1422" t="s">
        <v>35</v>
      </c>
      <c r="Q1422">
        <v>472</v>
      </c>
      <c r="R1422">
        <v>189.04</v>
      </c>
      <c r="S1422">
        <v>89226.880000000005</v>
      </c>
      <c r="T1422">
        <v>25.86</v>
      </c>
      <c r="U1422">
        <v>2</v>
      </c>
      <c r="V1422">
        <v>1721</v>
      </c>
      <c r="W1422" t="s">
        <v>36</v>
      </c>
      <c r="X1422">
        <v>5198.49</v>
      </c>
    </row>
    <row r="1423" spans="1:24" x14ac:dyDescent="0.25">
      <c r="A1423" s="2">
        <v>101421</v>
      </c>
      <c r="B1423" s="1">
        <v>45679</v>
      </c>
      <c r="C1423" s="1">
        <v>45682</v>
      </c>
      <c r="D1423" s="1">
        <v>45696</v>
      </c>
      <c r="E1423" t="s">
        <v>3555</v>
      </c>
      <c r="F1423" t="s">
        <v>25</v>
      </c>
      <c r="G1423" t="s">
        <v>169</v>
      </c>
      <c r="H1423" t="s">
        <v>3556</v>
      </c>
      <c r="I1423" t="s">
        <v>116</v>
      </c>
      <c r="J1423" t="s">
        <v>62</v>
      </c>
      <c r="K1423" t="s">
        <v>1617</v>
      </c>
      <c r="L1423" t="s">
        <v>98</v>
      </c>
      <c r="M1423" t="s">
        <v>65</v>
      </c>
      <c r="N1423" t="s">
        <v>107</v>
      </c>
      <c r="O1423" t="s">
        <v>108</v>
      </c>
      <c r="P1423" t="s">
        <v>123</v>
      </c>
      <c r="Q1423">
        <v>121</v>
      </c>
      <c r="R1423">
        <v>48.26</v>
      </c>
      <c r="S1423">
        <v>5839.46</v>
      </c>
      <c r="T1423">
        <v>13.63</v>
      </c>
      <c r="U1423">
        <v>14</v>
      </c>
      <c r="V1423">
        <v>1738</v>
      </c>
      <c r="W1423" t="s">
        <v>36</v>
      </c>
      <c r="X1423">
        <v>891.8</v>
      </c>
    </row>
    <row r="1424" spans="1:24" x14ac:dyDescent="0.25">
      <c r="A1424" s="2">
        <v>101422</v>
      </c>
      <c r="B1424" s="1">
        <v>45534</v>
      </c>
      <c r="C1424" s="1">
        <v>45535</v>
      </c>
      <c r="D1424" s="1">
        <v>45539</v>
      </c>
      <c r="E1424" t="s">
        <v>3557</v>
      </c>
      <c r="F1424" t="s">
        <v>54</v>
      </c>
      <c r="G1424" t="s">
        <v>193</v>
      </c>
      <c r="H1424" t="s">
        <v>3558</v>
      </c>
      <c r="I1424" t="s">
        <v>72</v>
      </c>
      <c r="J1424" t="s">
        <v>42</v>
      </c>
      <c r="K1424" t="s">
        <v>2598</v>
      </c>
      <c r="L1424" t="s">
        <v>187</v>
      </c>
      <c r="M1424" t="s">
        <v>25</v>
      </c>
      <c r="N1424" t="s">
        <v>151</v>
      </c>
      <c r="O1424" t="s">
        <v>152</v>
      </c>
      <c r="P1424" t="s">
        <v>68</v>
      </c>
      <c r="Q1424">
        <v>240</v>
      </c>
      <c r="R1424">
        <v>214.03</v>
      </c>
      <c r="S1424">
        <v>51367.199999999997</v>
      </c>
      <c r="T1424">
        <v>44.06</v>
      </c>
      <c r="U1424">
        <v>4</v>
      </c>
      <c r="V1424">
        <v>1752</v>
      </c>
      <c r="W1424" t="s">
        <v>36</v>
      </c>
      <c r="X1424">
        <v>11151.42</v>
      </c>
    </row>
    <row r="1425" spans="1:24" x14ac:dyDescent="0.25">
      <c r="A1425" s="2">
        <v>101423</v>
      </c>
      <c r="B1425" s="1">
        <v>45672</v>
      </c>
      <c r="C1425" s="1">
        <v>45673</v>
      </c>
      <c r="D1425" s="1">
        <v>45691</v>
      </c>
      <c r="E1425" t="s">
        <v>3559</v>
      </c>
      <c r="F1425" t="s">
        <v>65</v>
      </c>
      <c r="G1425" t="s">
        <v>142</v>
      </c>
      <c r="H1425" t="s">
        <v>3560</v>
      </c>
      <c r="I1425" t="s">
        <v>134</v>
      </c>
      <c r="J1425" t="s">
        <v>52</v>
      </c>
      <c r="K1425" t="s">
        <v>3561</v>
      </c>
      <c r="L1425" t="s">
        <v>64</v>
      </c>
      <c r="M1425" t="s">
        <v>32</v>
      </c>
      <c r="N1425" t="s">
        <v>55</v>
      </c>
      <c r="O1425" t="s">
        <v>56</v>
      </c>
      <c r="P1425" t="s">
        <v>76</v>
      </c>
      <c r="Q1425">
        <v>249</v>
      </c>
      <c r="R1425">
        <v>17.36</v>
      </c>
      <c r="S1425">
        <v>4322.6400000000003</v>
      </c>
      <c r="T1425">
        <v>12.56</v>
      </c>
      <c r="U1425">
        <v>18</v>
      </c>
      <c r="V1425">
        <v>930</v>
      </c>
      <c r="W1425" t="s">
        <v>36</v>
      </c>
      <c r="X1425">
        <v>822.07</v>
      </c>
    </row>
    <row r="1426" spans="1:24" x14ac:dyDescent="0.25">
      <c r="A1426" s="2">
        <v>101424</v>
      </c>
      <c r="B1426" s="1">
        <v>45683</v>
      </c>
      <c r="C1426" s="1">
        <v>45683</v>
      </c>
      <c r="D1426" s="1">
        <v>45697</v>
      </c>
      <c r="E1426" t="s">
        <v>3562</v>
      </c>
      <c r="F1426" t="s">
        <v>32</v>
      </c>
      <c r="G1426" t="s">
        <v>110</v>
      </c>
      <c r="H1426" t="s">
        <v>3563</v>
      </c>
      <c r="I1426" t="s">
        <v>230</v>
      </c>
      <c r="J1426" t="s">
        <v>80</v>
      </c>
      <c r="K1426" t="s">
        <v>2086</v>
      </c>
      <c r="L1426" t="s">
        <v>212</v>
      </c>
      <c r="M1426" t="s">
        <v>54</v>
      </c>
      <c r="N1426" t="s">
        <v>151</v>
      </c>
      <c r="O1426" t="s">
        <v>152</v>
      </c>
      <c r="P1426" t="s">
        <v>123</v>
      </c>
      <c r="Q1426">
        <v>453</v>
      </c>
      <c r="R1426">
        <v>271.52</v>
      </c>
      <c r="S1426">
        <v>122998.56</v>
      </c>
      <c r="T1426">
        <v>21.7</v>
      </c>
      <c r="U1426">
        <v>14</v>
      </c>
      <c r="V1426">
        <v>727</v>
      </c>
      <c r="W1426" t="s">
        <v>36</v>
      </c>
      <c r="X1426">
        <v>22805.06</v>
      </c>
    </row>
    <row r="1427" spans="1:24" x14ac:dyDescent="0.25">
      <c r="A1427" s="2">
        <v>101425</v>
      </c>
      <c r="B1427" s="1">
        <v>45352</v>
      </c>
      <c r="C1427" s="1">
        <v>45357</v>
      </c>
      <c r="D1427" s="1">
        <v>45361</v>
      </c>
      <c r="E1427" t="s">
        <v>3564</v>
      </c>
      <c r="F1427" t="s">
        <v>32</v>
      </c>
      <c r="G1427" t="s">
        <v>255</v>
      </c>
      <c r="H1427" t="s">
        <v>3565</v>
      </c>
      <c r="I1427" t="s">
        <v>230</v>
      </c>
      <c r="J1427" t="s">
        <v>80</v>
      </c>
      <c r="K1427" t="s">
        <v>562</v>
      </c>
      <c r="L1427" t="s">
        <v>91</v>
      </c>
      <c r="M1427" t="s">
        <v>65</v>
      </c>
      <c r="N1427" t="s">
        <v>102</v>
      </c>
      <c r="O1427" t="s">
        <v>103</v>
      </c>
      <c r="P1427" t="s">
        <v>123</v>
      </c>
      <c r="Q1427">
        <v>119</v>
      </c>
      <c r="R1427">
        <v>264.56</v>
      </c>
      <c r="S1427">
        <v>31482.639999999999</v>
      </c>
      <c r="T1427">
        <v>13.58</v>
      </c>
      <c r="U1427">
        <v>4</v>
      </c>
      <c r="V1427">
        <v>504</v>
      </c>
      <c r="W1427" t="s">
        <v>36</v>
      </c>
      <c r="X1427">
        <v>7283.33</v>
      </c>
    </row>
    <row r="1428" spans="1:24" x14ac:dyDescent="0.25">
      <c r="A1428" s="2">
        <v>101426</v>
      </c>
      <c r="B1428" s="1">
        <v>45429</v>
      </c>
      <c r="C1428" s="1">
        <v>45433</v>
      </c>
      <c r="D1428" s="1">
        <v>45448</v>
      </c>
      <c r="E1428" t="s">
        <v>3566</v>
      </c>
      <c r="F1428" t="s">
        <v>54</v>
      </c>
      <c r="G1428" t="s">
        <v>193</v>
      </c>
      <c r="H1428" t="s">
        <v>3567</v>
      </c>
      <c r="I1428" t="s">
        <v>126</v>
      </c>
      <c r="J1428" t="s">
        <v>42</v>
      </c>
      <c r="K1428" t="s">
        <v>3568</v>
      </c>
      <c r="L1428" t="s">
        <v>118</v>
      </c>
      <c r="M1428" t="s">
        <v>25</v>
      </c>
      <c r="N1428" t="s">
        <v>55</v>
      </c>
      <c r="O1428" t="s">
        <v>56</v>
      </c>
      <c r="P1428" t="s">
        <v>76</v>
      </c>
      <c r="Q1428">
        <v>173</v>
      </c>
      <c r="R1428">
        <v>230.12</v>
      </c>
      <c r="S1428">
        <v>39810.76</v>
      </c>
      <c r="T1428">
        <v>11.17</v>
      </c>
      <c r="U1428">
        <v>15</v>
      </c>
      <c r="V1428">
        <v>744</v>
      </c>
      <c r="W1428" t="s">
        <v>36</v>
      </c>
      <c r="X1428">
        <v>5291.12</v>
      </c>
    </row>
    <row r="1429" spans="1:24" x14ac:dyDescent="0.25">
      <c r="A1429" s="2">
        <v>101427</v>
      </c>
      <c r="B1429" s="1">
        <v>45888</v>
      </c>
      <c r="C1429" s="1">
        <v>45890</v>
      </c>
      <c r="D1429" s="1">
        <v>45902</v>
      </c>
      <c r="E1429" t="s">
        <v>3569</v>
      </c>
      <c r="F1429" t="s">
        <v>65</v>
      </c>
      <c r="G1429" t="s">
        <v>142</v>
      </c>
      <c r="H1429" t="s">
        <v>3570</v>
      </c>
      <c r="I1429" t="s">
        <v>238</v>
      </c>
      <c r="J1429" t="s">
        <v>62</v>
      </c>
      <c r="K1429" t="s">
        <v>991</v>
      </c>
      <c r="L1429" t="s">
        <v>31</v>
      </c>
      <c r="M1429" t="s">
        <v>25</v>
      </c>
      <c r="N1429" t="s">
        <v>33</v>
      </c>
      <c r="O1429" t="s">
        <v>34</v>
      </c>
      <c r="P1429" t="s">
        <v>123</v>
      </c>
      <c r="Q1429">
        <v>412</v>
      </c>
      <c r="R1429">
        <v>36.729999999999997</v>
      </c>
      <c r="S1429">
        <v>15132.76</v>
      </c>
      <c r="T1429">
        <v>20.7</v>
      </c>
      <c r="U1429">
        <v>12</v>
      </c>
      <c r="V1429">
        <v>3328</v>
      </c>
      <c r="W1429" t="s">
        <v>36</v>
      </c>
      <c r="X1429">
        <v>2157.39</v>
      </c>
    </row>
    <row r="1430" spans="1:24" x14ac:dyDescent="0.25">
      <c r="A1430" s="2">
        <v>101428</v>
      </c>
      <c r="B1430" s="1">
        <v>45998</v>
      </c>
      <c r="C1430" s="1">
        <v>46000</v>
      </c>
      <c r="D1430" s="1">
        <v>46010</v>
      </c>
      <c r="E1430" t="s">
        <v>3571</v>
      </c>
      <c r="F1430" t="s">
        <v>54</v>
      </c>
      <c r="G1430" t="s">
        <v>158</v>
      </c>
      <c r="H1430" t="s">
        <v>3572</v>
      </c>
      <c r="I1430" t="s">
        <v>85</v>
      </c>
      <c r="J1430" t="s">
        <v>52</v>
      </c>
      <c r="K1430" t="s">
        <v>1530</v>
      </c>
      <c r="L1430" t="s">
        <v>187</v>
      </c>
      <c r="M1430" t="s">
        <v>38</v>
      </c>
      <c r="N1430" t="s">
        <v>102</v>
      </c>
      <c r="O1430" t="s">
        <v>103</v>
      </c>
      <c r="P1430" t="s">
        <v>35</v>
      </c>
      <c r="Q1430">
        <v>289</v>
      </c>
      <c r="R1430">
        <v>36.39</v>
      </c>
      <c r="S1430">
        <v>10516.71</v>
      </c>
      <c r="T1430">
        <v>20.67</v>
      </c>
      <c r="U1430">
        <v>10</v>
      </c>
      <c r="V1430">
        <v>3240</v>
      </c>
      <c r="W1430" t="s">
        <v>36</v>
      </c>
      <c r="X1430">
        <v>1067.1600000000001</v>
      </c>
    </row>
    <row r="1431" spans="1:24" x14ac:dyDescent="0.25">
      <c r="A1431" s="2">
        <v>101429</v>
      </c>
      <c r="B1431" s="1">
        <v>45371</v>
      </c>
      <c r="C1431" s="1">
        <v>45375</v>
      </c>
      <c r="D1431" s="1">
        <v>45385</v>
      </c>
      <c r="E1431" t="s">
        <v>3048</v>
      </c>
      <c r="F1431" t="s">
        <v>38</v>
      </c>
      <c r="G1431" t="s">
        <v>39</v>
      </c>
      <c r="H1431" t="s">
        <v>3573</v>
      </c>
      <c r="I1431" t="s">
        <v>126</v>
      </c>
      <c r="J1431" t="s">
        <v>42</v>
      </c>
      <c r="K1431" t="s">
        <v>2107</v>
      </c>
      <c r="L1431" t="s">
        <v>113</v>
      </c>
      <c r="M1431" t="s">
        <v>65</v>
      </c>
      <c r="N1431" t="s">
        <v>66</v>
      </c>
      <c r="O1431" t="s">
        <v>67</v>
      </c>
      <c r="P1431" t="s">
        <v>35</v>
      </c>
      <c r="Q1431">
        <v>40</v>
      </c>
      <c r="R1431">
        <v>364.06</v>
      </c>
      <c r="S1431">
        <v>14562.4</v>
      </c>
      <c r="T1431">
        <v>13.61</v>
      </c>
      <c r="U1431">
        <v>10</v>
      </c>
      <c r="V1431">
        <v>1576</v>
      </c>
      <c r="W1431" t="s">
        <v>36</v>
      </c>
      <c r="X1431">
        <v>2136.7399999999998</v>
      </c>
    </row>
    <row r="1432" spans="1:24" x14ac:dyDescent="0.25">
      <c r="A1432" s="2">
        <v>101430</v>
      </c>
      <c r="B1432" s="1">
        <v>45764</v>
      </c>
      <c r="C1432" s="1">
        <v>45764</v>
      </c>
      <c r="D1432" s="1">
        <v>45779</v>
      </c>
      <c r="E1432" t="s">
        <v>3574</v>
      </c>
      <c r="F1432" t="s">
        <v>32</v>
      </c>
      <c r="G1432" t="s">
        <v>95</v>
      </c>
      <c r="H1432" t="s">
        <v>3575</v>
      </c>
      <c r="I1432" t="s">
        <v>116</v>
      </c>
      <c r="J1432" t="s">
        <v>62</v>
      </c>
      <c r="K1432" t="s">
        <v>737</v>
      </c>
      <c r="L1432" t="s">
        <v>31</v>
      </c>
      <c r="M1432" t="s">
        <v>54</v>
      </c>
      <c r="N1432" t="s">
        <v>107</v>
      </c>
      <c r="O1432" t="s">
        <v>108</v>
      </c>
      <c r="P1432" t="s">
        <v>76</v>
      </c>
      <c r="Q1432">
        <v>331</v>
      </c>
      <c r="R1432">
        <v>32.28</v>
      </c>
      <c r="S1432">
        <v>10684.68</v>
      </c>
      <c r="T1432">
        <v>14.05</v>
      </c>
      <c r="U1432">
        <v>15</v>
      </c>
      <c r="V1432">
        <v>1818</v>
      </c>
      <c r="W1432" t="s">
        <v>47</v>
      </c>
      <c r="X1432">
        <v>-199.33</v>
      </c>
    </row>
    <row r="1433" spans="1:24" x14ac:dyDescent="0.25">
      <c r="A1433" s="2">
        <v>101431</v>
      </c>
      <c r="B1433" s="1">
        <v>45295</v>
      </c>
      <c r="C1433" s="1">
        <v>45300</v>
      </c>
      <c r="D1433" s="1">
        <v>45310</v>
      </c>
      <c r="E1433" t="s">
        <v>3576</v>
      </c>
      <c r="F1433" t="s">
        <v>65</v>
      </c>
      <c r="G1433" t="s">
        <v>70</v>
      </c>
      <c r="H1433" t="s">
        <v>3577</v>
      </c>
      <c r="I1433" t="s">
        <v>89</v>
      </c>
      <c r="J1433" t="s">
        <v>62</v>
      </c>
      <c r="K1433" t="s">
        <v>3578</v>
      </c>
      <c r="L1433" t="s">
        <v>212</v>
      </c>
      <c r="M1433" t="s">
        <v>25</v>
      </c>
      <c r="N1433" t="s">
        <v>33</v>
      </c>
      <c r="O1433" t="s">
        <v>34</v>
      </c>
      <c r="P1433" t="s">
        <v>35</v>
      </c>
      <c r="Q1433">
        <v>418</v>
      </c>
      <c r="R1433">
        <v>27.43</v>
      </c>
      <c r="S1433">
        <v>11465.74</v>
      </c>
      <c r="T1433">
        <v>24.32</v>
      </c>
      <c r="U1433">
        <v>10</v>
      </c>
      <c r="V1433">
        <v>484</v>
      </c>
      <c r="W1433" t="s">
        <v>36</v>
      </c>
      <c r="X1433">
        <v>810.77</v>
      </c>
    </row>
    <row r="1434" spans="1:24" x14ac:dyDescent="0.25">
      <c r="A1434" s="2">
        <v>101432</v>
      </c>
      <c r="B1434" s="1">
        <v>45346</v>
      </c>
      <c r="C1434" s="1">
        <v>45350</v>
      </c>
      <c r="D1434" s="1">
        <v>45361</v>
      </c>
      <c r="E1434" t="s">
        <v>3579</v>
      </c>
      <c r="F1434" t="s">
        <v>38</v>
      </c>
      <c r="G1434" t="s">
        <v>217</v>
      </c>
      <c r="H1434" t="s">
        <v>3580</v>
      </c>
      <c r="I1434" t="s">
        <v>126</v>
      </c>
      <c r="J1434" t="s">
        <v>42</v>
      </c>
      <c r="K1434" t="s">
        <v>1928</v>
      </c>
      <c r="L1434" t="s">
        <v>98</v>
      </c>
      <c r="M1434" t="s">
        <v>65</v>
      </c>
      <c r="N1434" t="s">
        <v>66</v>
      </c>
      <c r="O1434" t="s">
        <v>67</v>
      </c>
      <c r="P1434" t="s">
        <v>123</v>
      </c>
      <c r="Q1434">
        <v>208</v>
      </c>
      <c r="R1434">
        <v>280.44</v>
      </c>
      <c r="S1434">
        <v>58331.519999999997</v>
      </c>
      <c r="T1434">
        <v>15.75</v>
      </c>
      <c r="U1434">
        <v>11</v>
      </c>
      <c r="V1434">
        <v>949</v>
      </c>
      <c r="W1434" t="s">
        <v>36</v>
      </c>
      <c r="X1434">
        <v>4898.3500000000004</v>
      </c>
    </row>
    <row r="1435" spans="1:24" x14ac:dyDescent="0.25">
      <c r="A1435" s="2">
        <v>101433</v>
      </c>
      <c r="B1435" s="1">
        <v>45598</v>
      </c>
      <c r="C1435" s="1">
        <v>45603</v>
      </c>
      <c r="D1435" s="1">
        <v>45612</v>
      </c>
      <c r="E1435" t="s">
        <v>3581</v>
      </c>
      <c r="F1435" t="s">
        <v>25</v>
      </c>
      <c r="G1435" t="s">
        <v>233</v>
      </c>
      <c r="H1435" t="s">
        <v>3582</v>
      </c>
      <c r="I1435" t="s">
        <v>28</v>
      </c>
      <c r="J1435" t="s">
        <v>29</v>
      </c>
      <c r="K1435" t="s">
        <v>112</v>
      </c>
      <c r="L1435" t="s">
        <v>91</v>
      </c>
      <c r="M1435" t="s">
        <v>25</v>
      </c>
      <c r="N1435" t="s">
        <v>92</v>
      </c>
      <c r="O1435" t="s">
        <v>93</v>
      </c>
      <c r="P1435" t="s">
        <v>35</v>
      </c>
      <c r="Q1435">
        <v>139</v>
      </c>
      <c r="R1435">
        <v>109.09</v>
      </c>
      <c r="S1435">
        <v>15163.51</v>
      </c>
      <c r="T1435">
        <v>12.16</v>
      </c>
      <c r="U1435">
        <v>9</v>
      </c>
      <c r="V1435">
        <v>1324</v>
      </c>
      <c r="W1435" t="s">
        <v>36</v>
      </c>
      <c r="X1435">
        <v>3388.8</v>
      </c>
    </row>
    <row r="1436" spans="1:24" x14ac:dyDescent="0.25">
      <c r="A1436" s="2">
        <v>101434</v>
      </c>
      <c r="B1436" s="1">
        <v>45372</v>
      </c>
      <c r="C1436" s="1">
        <v>45375</v>
      </c>
      <c r="D1436" s="1">
        <v>45383</v>
      </c>
      <c r="E1436" t="s">
        <v>3583</v>
      </c>
      <c r="F1436" t="s">
        <v>54</v>
      </c>
      <c r="G1436" t="s">
        <v>158</v>
      </c>
      <c r="H1436" t="s">
        <v>3584</v>
      </c>
      <c r="I1436" t="s">
        <v>416</v>
      </c>
      <c r="J1436" t="s">
        <v>80</v>
      </c>
      <c r="K1436" t="s">
        <v>63</v>
      </c>
      <c r="L1436" t="s">
        <v>31</v>
      </c>
      <c r="M1436" t="s">
        <v>54</v>
      </c>
      <c r="N1436" t="s">
        <v>203</v>
      </c>
      <c r="O1436" t="s">
        <v>204</v>
      </c>
      <c r="P1436" t="s">
        <v>35</v>
      </c>
      <c r="Q1436">
        <v>426</v>
      </c>
      <c r="R1436">
        <v>210.99</v>
      </c>
      <c r="S1436">
        <v>89881.74</v>
      </c>
      <c r="T1436">
        <v>18.190000000000001</v>
      </c>
      <c r="U1436">
        <v>8</v>
      </c>
      <c r="V1436">
        <v>625</v>
      </c>
      <c r="W1436" t="s">
        <v>36</v>
      </c>
      <c r="X1436">
        <v>14634.33</v>
      </c>
    </row>
    <row r="1437" spans="1:24" x14ac:dyDescent="0.25">
      <c r="A1437" s="2">
        <v>101435</v>
      </c>
      <c r="B1437" s="1">
        <v>45398</v>
      </c>
      <c r="C1437" s="1">
        <v>45401</v>
      </c>
      <c r="D1437" s="1">
        <v>45404</v>
      </c>
      <c r="E1437" t="s">
        <v>3585</v>
      </c>
      <c r="F1437" t="s">
        <v>54</v>
      </c>
      <c r="G1437" t="s">
        <v>193</v>
      </c>
      <c r="H1437" t="s">
        <v>3586</v>
      </c>
      <c r="I1437" t="s">
        <v>238</v>
      </c>
      <c r="J1437" t="s">
        <v>62</v>
      </c>
      <c r="K1437" t="s">
        <v>3587</v>
      </c>
      <c r="L1437" t="s">
        <v>187</v>
      </c>
      <c r="M1437" t="s">
        <v>32</v>
      </c>
      <c r="N1437" t="s">
        <v>55</v>
      </c>
      <c r="O1437" t="s">
        <v>56</v>
      </c>
      <c r="P1437" t="s">
        <v>68</v>
      </c>
      <c r="Q1437">
        <v>251</v>
      </c>
      <c r="R1437">
        <v>19.239999999999998</v>
      </c>
      <c r="S1437">
        <v>4829.24</v>
      </c>
      <c r="T1437">
        <v>44.78</v>
      </c>
      <c r="U1437">
        <v>3</v>
      </c>
      <c r="V1437">
        <v>661</v>
      </c>
      <c r="W1437" t="s">
        <v>36</v>
      </c>
      <c r="X1437">
        <v>319.41000000000003</v>
      </c>
    </row>
    <row r="1438" spans="1:24" x14ac:dyDescent="0.25">
      <c r="A1438" s="2">
        <v>101436</v>
      </c>
      <c r="B1438" s="1">
        <v>45443</v>
      </c>
      <c r="C1438" s="1">
        <v>45444</v>
      </c>
      <c r="D1438" s="1">
        <v>45451</v>
      </c>
      <c r="E1438" t="s">
        <v>3588</v>
      </c>
      <c r="F1438" t="s">
        <v>25</v>
      </c>
      <c r="G1438" t="s">
        <v>169</v>
      </c>
      <c r="H1438" t="s">
        <v>3589</v>
      </c>
      <c r="I1438" t="s">
        <v>177</v>
      </c>
      <c r="J1438" t="s">
        <v>29</v>
      </c>
      <c r="K1438" t="s">
        <v>769</v>
      </c>
      <c r="L1438" t="s">
        <v>212</v>
      </c>
      <c r="M1438" t="s">
        <v>38</v>
      </c>
      <c r="N1438" t="s">
        <v>102</v>
      </c>
      <c r="O1438" t="s">
        <v>103</v>
      </c>
      <c r="P1438" t="s">
        <v>35</v>
      </c>
      <c r="Q1438">
        <v>114</v>
      </c>
      <c r="R1438">
        <v>66.569999999999993</v>
      </c>
      <c r="S1438">
        <v>7588.98</v>
      </c>
      <c r="T1438">
        <v>15.71</v>
      </c>
      <c r="U1438">
        <v>7</v>
      </c>
      <c r="V1438">
        <v>587</v>
      </c>
      <c r="W1438" t="s">
        <v>36</v>
      </c>
      <c r="X1438">
        <v>1310.5999999999999</v>
      </c>
    </row>
    <row r="1439" spans="1:24" x14ac:dyDescent="0.25">
      <c r="A1439" s="2">
        <v>101437</v>
      </c>
      <c r="B1439" s="1">
        <v>45651</v>
      </c>
      <c r="C1439" s="1">
        <v>45656</v>
      </c>
      <c r="D1439" s="1">
        <v>45659</v>
      </c>
      <c r="E1439" t="s">
        <v>3590</v>
      </c>
      <c r="F1439" t="s">
        <v>32</v>
      </c>
      <c r="G1439" t="s">
        <v>110</v>
      </c>
      <c r="H1439" t="s">
        <v>3591</v>
      </c>
      <c r="I1439" t="s">
        <v>246</v>
      </c>
      <c r="J1439" t="s">
        <v>29</v>
      </c>
      <c r="K1439" t="s">
        <v>383</v>
      </c>
      <c r="L1439" t="s">
        <v>31</v>
      </c>
      <c r="M1439" t="s">
        <v>38</v>
      </c>
      <c r="N1439" t="s">
        <v>151</v>
      </c>
      <c r="O1439" t="s">
        <v>152</v>
      </c>
      <c r="P1439" t="s">
        <v>35</v>
      </c>
      <c r="Q1439">
        <v>28</v>
      </c>
      <c r="R1439">
        <v>38.869999999999997</v>
      </c>
      <c r="S1439">
        <v>1088.3599999999999</v>
      </c>
      <c r="T1439">
        <v>13.27</v>
      </c>
      <c r="U1439">
        <v>3</v>
      </c>
      <c r="V1439">
        <v>2011</v>
      </c>
      <c r="W1439" t="s">
        <v>36</v>
      </c>
      <c r="X1439">
        <v>279.7</v>
      </c>
    </row>
    <row r="1440" spans="1:24" x14ac:dyDescent="0.25">
      <c r="A1440" s="2">
        <v>101438</v>
      </c>
      <c r="B1440" s="1">
        <v>45954</v>
      </c>
      <c r="C1440" s="1">
        <v>45955</v>
      </c>
      <c r="D1440" s="1">
        <v>45961</v>
      </c>
      <c r="E1440" t="s">
        <v>1555</v>
      </c>
      <c r="F1440" t="s">
        <v>38</v>
      </c>
      <c r="G1440" t="s">
        <v>147</v>
      </c>
      <c r="H1440" t="s">
        <v>3592</v>
      </c>
      <c r="I1440" t="s">
        <v>191</v>
      </c>
      <c r="J1440" t="s">
        <v>62</v>
      </c>
      <c r="K1440" t="s">
        <v>3213</v>
      </c>
      <c r="L1440" t="s">
        <v>64</v>
      </c>
      <c r="M1440" t="s">
        <v>25</v>
      </c>
      <c r="N1440" t="s">
        <v>45</v>
      </c>
      <c r="O1440" t="s">
        <v>46</v>
      </c>
      <c r="P1440" t="s">
        <v>35</v>
      </c>
      <c r="Q1440">
        <v>277</v>
      </c>
      <c r="R1440">
        <v>28.99</v>
      </c>
      <c r="S1440">
        <v>8030.23</v>
      </c>
      <c r="T1440">
        <v>20.329999999999998</v>
      </c>
      <c r="U1440">
        <v>6</v>
      </c>
      <c r="V1440">
        <v>2087</v>
      </c>
      <c r="W1440" t="s">
        <v>36</v>
      </c>
      <c r="X1440">
        <v>715.5</v>
      </c>
    </row>
    <row r="1441" spans="1:24" x14ac:dyDescent="0.25">
      <c r="A1441" s="2">
        <v>101439</v>
      </c>
      <c r="B1441" s="1">
        <v>45424</v>
      </c>
      <c r="C1441" s="1">
        <v>45427</v>
      </c>
      <c r="D1441" s="1">
        <v>45430</v>
      </c>
      <c r="E1441" t="s">
        <v>3593</v>
      </c>
      <c r="F1441" t="s">
        <v>65</v>
      </c>
      <c r="G1441" t="s">
        <v>70</v>
      </c>
      <c r="H1441" t="s">
        <v>3079</v>
      </c>
      <c r="I1441" t="s">
        <v>89</v>
      </c>
      <c r="J1441" t="s">
        <v>62</v>
      </c>
      <c r="K1441" t="s">
        <v>1471</v>
      </c>
      <c r="L1441" t="s">
        <v>122</v>
      </c>
      <c r="M1441" t="s">
        <v>65</v>
      </c>
      <c r="N1441" t="s">
        <v>107</v>
      </c>
      <c r="O1441" t="s">
        <v>108</v>
      </c>
      <c r="P1441" t="s">
        <v>35</v>
      </c>
      <c r="Q1441">
        <v>255</v>
      </c>
      <c r="R1441">
        <v>14.82</v>
      </c>
      <c r="S1441">
        <v>3779.1</v>
      </c>
      <c r="T1441">
        <v>14.6</v>
      </c>
      <c r="U1441">
        <v>3</v>
      </c>
      <c r="V1441">
        <v>539</v>
      </c>
      <c r="W1441" t="s">
        <v>47</v>
      </c>
      <c r="X1441">
        <v>-203.54</v>
      </c>
    </row>
    <row r="1442" spans="1:24" x14ac:dyDescent="0.25">
      <c r="A1442" s="2">
        <v>101440</v>
      </c>
      <c r="B1442" s="1">
        <v>45489</v>
      </c>
      <c r="C1442" s="1">
        <v>45491</v>
      </c>
      <c r="D1442" s="1">
        <v>45497</v>
      </c>
      <c r="E1442" t="s">
        <v>2982</v>
      </c>
      <c r="F1442" t="s">
        <v>32</v>
      </c>
      <c r="G1442" t="s">
        <v>364</v>
      </c>
      <c r="H1442" t="s">
        <v>3594</v>
      </c>
      <c r="I1442" t="s">
        <v>368</v>
      </c>
      <c r="J1442" t="s">
        <v>29</v>
      </c>
      <c r="K1442" t="s">
        <v>1562</v>
      </c>
      <c r="L1442" t="s">
        <v>98</v>
      </c>
      <c r="M1442" t="s">
        <v>54</v>
      </c>
      <c r="N1442" t="s">
        <v>92</v>
      </c>
      <c r="O1442" t="s">
        <v>93</v>
      </c>
      <c r="P1442" t="s">
        <v>123</v>
      </c>
      <c r="Q1442">
        <v>241</v>
      </c>
      <c r="R1442">
        <v>57</v>
      </c>
      <c r="S1442">
        <v>13737</v>
      </c>
      <c r="T1442">
        <v>16.55</v>
      </c>
      <c r="U1442">
        <v>6</v>
      </c>
      <c r="V1442">
        <v>805</v>
      </c>
      <c r="W1442" t="s">
        <v>36</v>
      </c>
      <c r="X1442">
        <v>2670.46</v>
      </c>
    </row>
    <row r="1443" spans="1:24" x14ac:dyDescent="0.25">
      <c r="A1443" s="2">
        <v>101441</v>
      </c>
      <c r="B1443" s="1">
        <v>46000</v>
      </c>
      <c r="C1443" s="1">
        <v>46000</v>
      </c>
      <c r="D1443" s="1">
        <v>46009</v>
      </c>
      <c r="E1443" t="s">
        <v>3595</v>
      </c>
      <c r="F1443" t="s">
        <v>38</v>
      </c>
      <c r="G1443" t="s">
        <v>39</v>
      </c>
      <c r="H1443" t="s">
        <v>3596</v>
      </c>
      <c r="I1443" t="s">
        <v>238</v>
      </c>
      <c r="J1443" t="s">
        <v>62</v>
      </c>
      <c r="K1443" t="s">
        <v>3597</v>
      </c>
      <c r="L1443" t="s">
        <v>122</v>
      </c>
      <c r="M1443" t="s">
        <v>32</v>
      </c>
      <c r="N1443" t="s">
        <v>107</v>
      </c>
      <c r="O1443" t="s">
        <v>108</v>
      </c>
      <c r="P1443" t="s">
        <v>123</v>
      </c>
      <c r="Q1443">
        <v>126</v>
      </c>
      <c r="R1443">
        <v>30.4</v>
      </c>
      <c r="S1443">
        <v>3830.4</v>
      </c>
      <c r="T1443">
        <v>13.75</v>
      </c>
      <c r="U1443">
        <v>9</v>
      </c>
      <c r="V1443">
        <v>495</v>
      </c>
      <c r="W1443" t="s">
        <v>57</v>
      </c>
      <c r="X1443">
        <v>661.05</v>
      </c>
    </row>
    <row r="1444" spans="1:24" x14ac:dyDescent="0.25">
      <c r="A1444" s="2">
        <v>101442</v>
      </c>
      <c r="B1444" s="1">
        <v>45542</v>
      </c>
      <c r="C1444" s="1">
        <v>45547</v>
      </c>
      <c r="D1444" s="1">
        <v>45553</v>
      </c>
      <c r="E1444" t="s">
        <v>3598</v>
      </c>
      <c r="F1444" t="s">
        <v>25</v>
      </c>
      <c r="G1444" t="s">
        <v>221</v>
      </c>
      <c r="H1444" t="s">
        <v>3599</v>
      </c>
      <c r="I1444" t="s">
        <v>134</v>
      </c>
      <c r="J1444" t="s">
        <v>52</v>
      </c>
      <c r="K1444" t="s">
        <v>3600</v>
      </c>
      <c r="L1444" t="s">
        <v>122</v>
      </c>
      <c r="M1444" t="s">
        <v>32</v>
      </c>
      <c r="N1444" t="s">
        <v>92</v>
      </c>
      <c r="O1444" t="s">
        <v>93</v>
      </c>
      <c r="P1444" t="s">
        <v>123</v>
      </c>
      <c r="Q1444">
        <v>116</v>
      </c>
      <c r="R1444">
        <v>37.83</v>
      </c>
      <c r="S1444">
        <v>4388.28</v>
      </c>
      <c r="T1444">
        <v>13.51</v>
      </c>
      <c r="U1444">
        <v>6</v>
      </c>
      <c r="V1444">
        <v>1880</v>
      </c>
      <c r="W1444" t="s">
        <v>36</v>
      </c>
      <c r="X1444">
        <v>575.66</v>
      </c>
    </row>
    <row r="1445" spans="1:24" x14ac:dyDescent="0.25">
      <c r="A1445" s="2">
        <v>101443</v>
      </c>
      <c r="B1445" s="1">
        <v>45834</v>
      </c>
      <c r="C1445" s="1">
        <v>45838</v>
      </c>
      <c r="D1445" s="1">
        <v>45850</v>
      </c>
      <c r="E1445" t="s">
        <v>3601</v>
      </c>
      <c r="F1445" t="s">
        <v>54</v>
      </c>
      <c r="G1445" t="s">
        <v>129</v>
      </c>
      <c r="H1445" t="s">
        <v>3602</v>
      </c>
      <c r="I1445" t="s">
        <v>134</v>
      </c>
      <c r="J1445" t="s">
        <v>52</v>
      </c>
      <c r="K1445" t="s">
        <v>3549</v>
      </c>
      <c r="L1445" t="s">
        <v>64</v>
      </c>
      <c r="M1445" t="s">
        <v>38</v>
      </c>
      <c r="N1445" t="s">
        <v>33</v>
      </c>
      <c r="O1445" t="s">
        <v>34</v>
      </c>
      <c r="P1445" t="s">
        <v>123</v>
      </c>
      <c r="Q1445">
        <v>454</v>
      </c>
      <c r="R1445">
        <v>44.82</v>
      </c>
      <c r="S1445">
        <v>20348.28</v>
      </c>
      <c r="T1445">
        <v>21.72</v>
      </c>
      <c r="U1445">
        <v>12</v>
      </c>
      <c r="V1445">
        <v>3073</v>
      </c>
      <c r="W1445" t="s">
        <v>36</v>
      </c>
      <c r="X1445">
        <v>1782.04</v>
      </c>
    </row>
    <row r="1446" spans="1:24" x14ac:dyDescent="0.25">
      <c r="A1446" s="2">
        <v>101444</v>
      </c>
      <c r="B1446" s="1">
        <v>45319</v>
      </c>
      <c r="C1446" s="1">
        <v>45320</v>
      </c>
      <c r="D1446" s="1">
        <v>45332</v>
      </c>
      <c r="E1446" t="s">
        <v>3603</v>
      </c>
      <c r="F1446" t="s">
        <v>54</v>
      </c>
      <c r="G1446" t="s">
        <v>193</v>
      </c>
      <c r="H1446" t="s">
        <v>3604</v>
      </c>
      <c r="I1446" t="s">
        <v>134</v>
      </c>
      <c r="J1446" t="s">
        <v>52</v>
      </c>
      <c r="K1446" t="s">
        <v>1127</v>
      </c>
      <c r="L1446" t="s">
        <v>64</v>
      </c>
      <c r="M1446" t="s">
        <v>25</v>
      </c>
      <c r="N1446" t="s">
        <v>92</v>
      </c>
      <c r="O1446" t="s">
        <v>93</v>
      </c>
      <c r="P1446" t="s">
        <v>123</v>
      </c>
      <c r="Q1446">
        <v>346</v>
      </c>
      <c r="R1446">
        <v>61.42</v>
      </c>
      <c r="S1446">
        <v>21251.32</v>
      </c>
      <c r="T1446">
        <v>19.100000000000001</v>
      </c>
      <c r="U1446">
        <v>12</v>
      </c>
      <c r="V1446">
        <v>3664</v>
      </c>
      <c r="W1446" t="s">
        <v>36</v>
      </c>
      <c r="X1446">
        <v>4093.96</v>
      </c>
    </row>
    <row r="1447" spans="1:24" x14ac:dyDescent="0.25">
      <c r="A1447" s="2">
        <v>101445</v>
      </c>
      <c r="B1447" s="1">
        <v>45489</v>
      </c>
      <c r="C1447" s="1">
        <v>45491</v>
      </c>
      <c r="D1447" s="1">
        <v>45504</v>
      </c>
      <c r="E1447" t="s">
        <v>1154</v>
      </c>
      <c r="F1447" t="s">
        <v>25</v>
      </c>
      <c r="G1447" t="s">
        <v>221</v>
      </c>
      <c r="H1447" t="s">
        <v>3605</v>
      </c>
      <c r="I1447" t="s">
        <v>368</v>
      </c>
      <c r="J1447" t="s">
        <v>29</v>
      </c>
      <c r="K1447" t="s">
        <v>3222</v>
      </c>
      <c r="L1447" t="s">
        <v>91</v>
      </c>
      <c r="M1447" t="s">
        <v>65</v>
      </c>
      <c r="N1447" t="s">
        <v>55</v>
      </c>
      <c r="O1447" t="s">
        <v>56</v>
      </c>
      <c r="P1447" t="s">
        <v>76</v>
      </c>
      <c r="Q1447">
        <v>114</v>
      </c>
      <c r="R1447">
        <v>11.34</v>
      </c>
      <c r="S1447">
        <v>1292.76</v>
      </c>
      <c r="T1447">
        <v>10.1</v>
      </c>
      <c r="U1447">
        <v>13</v>
      </c>
      <c r="V1447">
        <v>678</v>
      </c>
      <c r="W1447" t="s">
        <v>36</v>
      </c>
      <c r="X1447">
        <v>302.52</v>
      </c>
    </row>
    <row r="1448" spans="1:24" x14ac:dyDescent="0.25">
      <c r="A1448" s="2">
        <v>101446</v>
      </c>
      <c r="B1448" s="1">
        <v>45947</v>
      </c>
      <c r="C1448" s="1">
        <v>45951</v>
      </c>
      <c r="D1448" s="1">
        <v>45955</v>
      </c>
      <c r="E1448" t="s">
        <v>3606</v>
      </c>
      <c r="F1448" t="s">
        <v>54</v>
      </c>
      <c r="G1448" t="s">
        <v>158</v>
      </c>
      <c r="H1448" t="s">
        <v>3607</v>
      </c>
      <c r="I1448" t="s">
        <v>126</v>
      </c>
      <c r="J1448" t="s">
        <v>42</v>
      </c>
      <c r="K1448" t="s">
        <v>1034</v>
      </c>
      <c r="L1448" t="s">
        <v>64</v>
      </c>
      <c r="M1448" t="s">
        <v>54</v>
      </c>
      <c r="N1448" t="s">
        <v>66</v>
      </c>
      <c r="O1448" t="s">
        <v>67</v>
      </c>
      <c r="P1448" t="s">
        <v>68</v>
      </c>
      <c r="Q1448">
        <v>313</v>
      </c>
      <c r="R1448">
        <v>289.07</v>
      </c>
      <c r="S1448">
        <v>90478.91</v>
      </c>
      <c r="T1448">
        <v>36.14</v>
      </c>
      <c r="U1448">
        <v>4</v>
      </c>
      <c r="V1448">
        <v>897</v>
      </c>
      <c r="W1448" t="s">
        <v>57</v>
      </c>
      <c r="X1448">
        <v>18701.650000000001</v>
      </c>
    </row>
    <row r="1449" spans="1:24" x14ac:dyDescent="0.25">
      <c r="A1449" s="2">
        <v>101447</v>
      </c>
      <c r="B1449" s="1">
        <v>45865</v>
      </c>
      <c r="C1449" s="1">
        <v>45867</v>
      </c>
      <c r="D1449" s="1">
        <v>45871</v>
      </c>
      <c r="E1449" t="s">
        <v>3608</v>
      </c>
      <c r="F1449" t="s">
        <v>32</v>
      </c>
      <c r="G1449" t="s">
        <v>364</v>
      </c>
      <c r="H1449" t="s">
        <v>3609</v>
      </c>
      <c r="I1449" t="s">
        <v>238</v>
      </c>
      <c r="J1449" t="s">
        <v>62</v>
      </c>
      <c r="K1449" t="s">
        <v>661</v>
      </c>
      <c r="L1449" t="s">
        <v>64</v>
      </c>
      <c r="M1449" t="s">
        <v>32</v>
      </c>
      <c r="N1449" t="s">
        <v>74</v>
      </c>
      <c r="O1449" t="s">
        <v>75</v>
      </c>
      <c r="P1449" t="s">
        <v>68</v>
      </c>
      <c r="Q1449">
        <v>366</v>
      </c>
      <c r="R1449">
        <v>14.1</v>
      </c>
      <c r="S1449">
        <v>5160.6000000000004</v>
      </c>
      <c r="T1449">
        <v>38.69</v>
      </c>
      <c r="U1449">
        <v>4</v>
      </c>
      <c r="V1449">
        <v>436</v>
      </c>
      <c r="W1449" t="s">
        <v>36</v>
      </c>
      <c r="X1449">
        <v>789.89</v>
      </c>
    </row>
    <row r="1450" spans="1:24" x14ac:dyDescent="0.25">
      <c r="A1450" s="2">
        <v>101448</v>
      </c>
      <c r="B1450" s="1">
        <v>45831</v>
      </c>
      <c r="C1450" s="1">
        <v>45836</v>
      </c>
      <c r="D1450" s="1">
        <v>45844</v>
      </c>
      <c r="E1450" t="s">
        <v>3610</v>
      </c>
      <c r="F1450" t="s">
        <v>25</v>
      </c>
      <c r="G1450" t="s">
        <v>169</v>
      </c>
      <c r="H1450" t="s">
        <v>3611</v>
      </c>
      <c r="I1450" t="s">
        <v>139</v>
      </c>
      <c r="J1450" t="s">
        <v>42</v>
      </c>
      <c r="K1450" t="s">
        <v>1302</v>
      </c>
      <c r="L1450" t="s">
        <v>31</v>
      </c>
      <c r="M1450" t="s">
        <v>54</v>
      </c>
      <c r="N1450" t="s">
        <v>55</v>
      </c>
      <c r="O1450" t="s">
        <v>56</v>
      </c>
      <c r="P1450" t="s">
        <v>35</v>
      </c>
      <c r="Q1450">
        <v>236</v>
      </c>
      <c r="R1450">
        <v>173.24</v>
      </c>
      <c r="S1450">
        <v>40884.639999999999</v>
      </c>
      <c r="T1450">
        <v>19.16</v>
      </c>
      <c r="U1450">
        <v>8</v>
      </c>
      <c r="V1450">
        <v>107</v>
      </c>
      <c r="W1450" t="s">
        <v>36</v>
      </c>
      <c r="X1450">
        <v>7293.96</v>
      </c>
    </row>
    <row r="1451" spans="1:24" x14ac:dyDescent="0.25">
      <c r="A1451" s="2">
        <v>101449</v>
      </c>
      <c r="B1451" s="1">
        <v>45668</v>
      </c>
      <c r="C1451" s="1">
        <v>45670</v>
      </c>
      <c r="D1451" s="1">
        <v>45671</v>
      </c>
      <c r="E1451" t="s">
        <v>3612</v>
      </c>
      <c r="F1451" t="s">
        <v>32</v>
      </c>
      <c r="G1451" t="s">
        <v>110</v>
      </c>
      <c r="H1451" t="s">
        <v>3613</v>
      </c>
      <c r="I1451" t="s">
        <v>72</v>
      </c>
      <c r="J1451" t="s">
        <v>42</v>
      </c>
      <c r="K1451" t="s">
        <v>1208</v>
      </c>
      <c r="L1451" t="s">
        <v>98</v>
      </c>
      <c r="M1451" t="s">
        <v>38</v>
      </c>
      <c r="N1451" t="s">
        <v>45</v>
      </c>
      <c r="O1451" t="s">
        <v>46</v>
      </c>
      <c r="P1451" t="s">
        <v>68</v>
      </c>
      <c r="Q1451">
        <v>226</v>
      </c>
      <c r="R1451">
        <v>181.72</v>
      </c>
      <c r="S1451">
        <v>41068.720000000001</v>
      </c>
      <c r="T1451">
        <v>43.16</v>
      </c>
      <c r="U1451">
        <v>1</v>
      </c>
      <c r="V1451">
        <v>1649</v>
      </c>
      <c r="W1451" t="s">
        <v>36</v>
      </c>
      <c r="X1451">
        <v>5500.79</v>
      </c>
    </row>
    <row r="1452" spans="1:24" x14ac:dyDescent="0.25">
      <c r="A1452" s="2">
        <v>101450</v>
      </c>
      <c r="B1452" s="1">
        <v>45859</v>
      </c>
      <c r="C1452" s="1">
        <v>45861</v>
      </c>
      <c r="D1452" s="1">
        <v>45880</v>
      </c>
      <c r="E1452" t="s">
        <v>2546</v>
      </c>
      <c r="F1452" t="s">
        <v>25</v>
      </c>
      <c r="G1452" t="s">
        <v>221</v>
      </c>
      <c r="H1452" t="s">
        <v>3614</v>
      </c>
      <c r="I1452" t="s">
        <v>368</v>
      </c>
      <c r="J1452" t="s">
        <v>29</v>
      </c>
      <c r="K1452" t="s">
        <v>3615</v>
      </c>
      <c r="L1452" t="s">
        <v>44</v>
      </c>
      <c r="M1452" t="s">
        <v>38</v>
      </c>
      <c r="N1452" t="s">
        <v>203</v>
      </c>
      <c r="O1452" t="s">
        <v>204</v>
      </c>
      <c r="P1452" t="s">
        <v>76</v>
      </c>
      <c r="Q1452">
        <v>377</v>
      </c>
      <c r="R1452">
        <v>72.349999999999994</v>
      </c>
      <c r="S1452">
        <v>27275.95</v>
      </c>
      <c r="T1452">
        <v>14.89</v>
      </c>
      <c r="U1452">
        <v>19</v>
      </c>
      <c r="V1452">
        <v>2404</v>
      </c>
      <c r="W1452" t="s">
        <v>36</v>
      </c>
      <c r="X1452">
        <v>6102.03</v>
      </c>
    </row>
    <row r="1453" spans="1:24" x14ac:dyDescent="0.25">
      <c r="A1453" s="2">
        <v>101451</v>
      </c>
      <c r="B1453" s="1">
        <v>45861</v>
      </c>
      <c r="C1453" s="1">
        <v>45861</v>
      </c>
      <c r="D1453" s="1">
        <v>45871</v>
      </c>
      <c r="E1453" t="s">
        <v>3616</v>
      </c>
      <c r="F1453" t="s">
        <v>65</v>
      </c>
      <c r="G1453" t="s">
        <v>154</v>
      </c>
      <c r="H1453" t="s">
        <v>3617</v>
      </c>
      <c r="I1453" t="s">
        <v>191</v>
      </c>
      <c r="J1453" t="s">
        <v>62</v>
      </c>
      <c r="K1453" t="s">
        <v>974</v>
      </c>
      <c r="L1453" t="s">
        <v>187</v>
      </c>
      <c r="M1453" t="s">
        <v>54</v>
      </c>
      <c r="N1453" t="s">
        <v>92</v>
      </c>
      <c r="O1453" t="s">
        <v>93</v>
      </c>
      <c r="P1453" t="s">
        <v>123</v>
      </c>
      <c r="Q1453">
        <v>121</v>
      </c>
      <c r="R1453">
        <v>24.23</v>
      </c>
      <c r="S1453">
        <v>2931.83</v>
      </c>
      <c r="T1453">
        <v>13.63</v>
      </c>
      <c r="U1453">
        <v>10</v>
      </c>
      <c r="V1453">
        <v>1645</v>
      </c>
      <c r="W1453" t="s">
        <v>36</v>
      </c>
      <c r="X1453">
        <v>502.59</v>
      </c>
    </row>
    <row r="1454" spans="1:24" x14ac:dyDescent="0.25">
      <c r="A1454" s="2">
        <v>101452</v>
      </c>
      <c r="B1454" s="1">
        <v>45338</v>
      </c>
      <c r="C1454" s="1">
        <v>45341</v>
      </c>
      <c r="D1454" s="1">
        <v>45348</v>
      </c>
      <c r="E1454" t="s">
        <v>3618</v>
      </c>
      <c r="F1454" t="s">
        <v>65</v>
      </c>
      <c r="G1454" t="s">
        <v>154</v>
      </c>
      <c r="H1454" t="s">
        <v>3619</v>
      </c>
      <c r="I1454" t="s">
        <v>41</v>
      </c>
      <c r="J1454" t="s">
        <v>42</v>
      </c>
      <c r="K1454" t="s">
        <v>3620</v>
      </c>
      <c r="L1454" t="s">
        <v>113</v>
      </c>
      <c r="M1454" t="s">
        <v>32</v>
      </c>
      <c r="N1454" t="s">
        <v>55</v>
      </c>
      <c r="O1454" t="s">
        <v>56</v>
      </c>
      <c r="P1454" t="s">
        <v>35</v>
      </c>
      <c r="Q1454">
        <v>314</v>
      </c>
      <c r="R1454">
        <v>301.51</v>
      </c>
      <c r="S1454">
        <v>94674.14</v>
      </c>
      <c r="T1454">
        <v>21.38</v>
      </c>
      <c r="U1454">
        <v>7</v>
      </c>
      <c r="V1454">
        <v>1638</v>
      </c>
      <c r="W1454" t="s">
        <v>36</v>
      </c>
      <c r="X1454">
        <v>9634.27</v>
      </c>
    </row>
    <row r="1455" spans="1:24" x14ac:dyDescent="0.25">
      <c r="A1455" s="2">
        <v>101453</v>
      </c>
      <c r="B1455" s="1">
        <v>45853</v>
      </c>
      <c r="C1455" s="1">
        <v>45853</v>
      </c>
      <c r="D1455" s="1">
        <v>45854</v>
      </c>
      <c r="E1455" t="s">
        <v>3621</v>
      </c>
      <c r="F1455" t="s">
        <v>38</v>
      </c>
      <c r="G1455" t="s">
        <v>39</v>
      </c>
      <c r="H1455" t="s">
        <v>3622</v>
      </c>
      <c r="I1455" t="s">
        <v>116</v>
      </c>
      <c r="J1455" t="s">
        <v>62</v>
      </c>
      <c r="K1455" t="s">
        <v>3623</v>
      </c>
      <c r="L1455" t="s">
        <v>187</v>
      </c>
      <c r="M1455" t="s">
        <v>65</v>
      </c>
      <c r="N1455" t="s">
        <v>151</v>
      </c>
      <c r="O1455" t="s">
        <v>152</v>
      </c>
      <c r="P1455" t="s">
        <v>68</v>
      </c>
      <c r="Q1455">
        <v>198</v>
      </c>
      <c r="R1455">
        <v>47.87</v>
      </c>
      <c r="S1455">
        <v>9478.26</v>
      </c>
      <c r="T1455">
        <v>41.34</v>
      </c>
      <c r="U1455">
        <v>1</v>
      </c>
      <c r="V1455">
        <v>451</v>
      </c>
      <c r="W1455" t="s">
        <v>36</v>
      </c>
      <c r="X1455">
        <v>480.87</v>
      </c>
    </row>
    <row r="1456" spans="1:24" x14ac:dyDescent="0.25">
      <c r="A1456" s="2">
        <v>101454</v>
      </c>
      <c r="B1456" s="1">
        <v>45366</v>
      </c>
      <c r="C1456" s="1">
        <v>45371</v>
      </c>
      <c r="D1456" s="1">
        <v>45374</v>
      </c>
      <c r="E1456" t="s">
        <v>3624</v>
      </c>
      <c r="F1456" t="s">
        <v>54</v>
      </c>
      <c r="G1456" t="s">
        <v>165</v>
      </c>
      <c r="H1456" t="s">
        <v>3625</v>
      </c>
      <c r="I1456" t="s">
        <v>61</v>
      </c>
      <c r="J1456" t="s">
        <v>62</v>
      </c>
      <c r="K1456" t="s">
        <v>2005</v>
      </c>
      <c r="L1456" t="s">
        <v>187</v>
      </c>
      <c r="M1456" t="s">
        <v>38</v>
      </c>
      <c r="N1456" t="s">
        <v>102</v>
      </c>
      <c r="O1456" t="s">
        <v>103</v>
      </c>
      <c r="P1456" t="s">
        <v>35</v>
      </c>
      <c r="Q1456">
        <v>212</v>
      </c>
      <c r="R1456">
        <v>12.33</v>
      </c>
      <c r="S1456">
        <v>2613.96</v>
      </c>
      <c r="T1456">
        <v>18.48</v>
      </c>
      <c r="U1456">
        <v>3</v>
      </c>
      <c r="V1456">
        <v>3708</v>
      </c>
      <c r="W1456" t="s">
        <v>36</v>
      </c>
      <c r="X1456">
        <v>168.96</v>
      </c>
    </row>
    <row r="1457" spans="1:24" x14ac:dyDescent="0.25">
      <c r="A1457" s="2">
        <v>101455</v>
      </c>
      <c r="B1457" s="1">
        <v>45407</v>
      </c>
      <c r="C1457" s="1">
        <v>45409</v>
      </c>
      <c r="D1457" s="1">
        <v>45416</v>
      </c>
      <c r="E1457" t="s">
        <v>3626</v>
      </c>
      <c r="F1457" t="s">
        <v>65</v>
      </c>
      <c r="G1457" t="s">
        <v>142</v>
      </c>
      <c r="H1457" t="s">
        <v>3627</v>
      </c>
      <c r="I1457" t="s">
        <v>41</v>
      </c>
      <c r="J1457" t="s">
        <v>42</v>
      </c>
      <c r="K1457" t="s">
        <v>401</v>
      </c>
      <c r="L1457" t="s">
        <v>113</v>
      </c>
      <c r="M1457" t="s">
        <v>25</v>
      </c>
      <c r="N1457" t="s">
        <v>203</v>
      </c>
      <c r="O1457" t="s">
        <v>204</v>
      </c>
      <c r="P1457" t="s">
        <v>35</v>
      </c>
      <c r="Q1457">
        <v>225</v>
      </c>
      <c r="R1457">
        <v>236.78</v>
      </c>
      <c r="S1457">
        <v>53275.5</v>
      </c>
      <c r="T1457">
        <v>18.850000000000001</v>
      </c>
      <c r="U1457">
        <v>7</v>
      </c>
      <c r="V1457">
        <v>1439</v>
      </c>
      <c r="W1457" t="s">
        <v>36</v>
      </c>
      <c r="X1457">
        <v>8902.08</v>
      </c>
    </row>
    <row r="1458" spans="1:24" x14ac:dyDescent="0.25">
      <c r="A1458" s="2">
        <v>101456</v>
      </c>
      <c r="B1458" s="1">
        <v>45871</v>
      </c>
      <c r="C1458" s="1">
        <v>45876</v>
      </c>
      <c r="D1458" s="1">
        <v>45878</v>
      </c>
      <c r="E1458" t="s">
        <v>3628</v>
      </c>
      <c r="F1458" t="s">
        <v>65</v>
      </c>
      <c r="G1458" t="s">
        <v>154</v>
      </c>
      <c r="H1458" t="s">
        <v>3629</v>
      </c>
      <c r="I1458" t="s">
        <v>177</v>
      </c>
      <c r="J1458" t="s">
        <v>29</v>
      </c>
      <c r="K1458" t="s">
        <v>3093</v>
      </c>
      <c r="L1458" t="s">
        <v>44</v>
      </c>
      <c r="M1458" t="s">
        <v>38</v>
      </c>
      <c r="N1458" t="s">
        <v>74</v>
      </c>
      <c r="O1458" t="s">
        <v>75</v>
      </c>
      <c r="P1458" t="s">
        <v>68</v>
      </c>
      <c r="Q1458">
        <v>256</v>
      </c>
      <c r="R1458">
        <v>105.73</v>
      </c>
      <c r="S1458">
        <v>27066.880000000001</v>
      </c>
      <c r="T1458">
        <v>45.1</v>
      </c>
      <c r="U1458">
        <v>2</v>
      </c>
      <c r="V1458">
        <v>2037</v>
      </c>
      <c r="W1458" t="s">
        <v>36</v>
      </c>
      <c r="X1458">
        <v>7873.78</v>
      </c>
    </row>
    <row r="1459" spans="1:24" x14ac:dyDescent="0.25">
      <c r="A1459" s="2">
        <v>101457</v>
      </c>
      <c r="B1459" s="1">
        <v>45541</v>
      </c>
      <c r="C1459" s="1">
        <v>45544</v>
      </c>
      <c r="D1459" s="1">
        <v>45552</v>
      </c>
      <c r="E1459" t="s">
        <v>3630</v>
      </c>
      <c r="F1459" t="s">
        <v>38</v>
      </c>
      <c r="G1459" t="s">
        <v>217</v>
      </c>
      <c r="H1459" t="s">
        <v>3631</v>
      </c>
      <c r="I1459" t="s">
        <v>207</v>
      </c>
      <c r="J1459" t="s">
        <v>80</v>
      </c>
      <c r="K1459" t="s">
        <v>649</v>
      </c>
      <c r="L1459" t="s">
        <v>113</v>
      </c>
      <c r="M1459" t="s">
        <v>54</v>
      </c>
      <c r="N1459" t="s">
        <v>33</v>
      </c>
      <c r="O1459" t="s">
        <v>34</v>
      </c>
      <c r="P1459" t="s">
        <v>123</v>
      </c>
      <c r="Q1459">
        <v>410</v>
      </c>
      <c r="R1459">
        <v>304.89</v>
      </c>
      <c r="S1459">
        <v>125004.9</v>
      </c>
      <c r="T1459">
        <v>20.66</v>
      </c>
      <c r="U1459">
        <v>8</v>
      </c>
      <c r="V1459">
        <v>232</v>
      </c>
      <c r="W1459" t="s">
        <v>36</v>
      </c>
      <c r="X1459">
        <v>30304.06</v>
      </c>
    </row>
    <row r="1460" spans="1:24" x14ac:dyDescent="0.25">
      <c r="A1460" s="2">
        <v>101458</v>
      </c>
      <c r="B1460" s="1">
        <v>45365</v>
      </c>
      <c r="C1460" s="1">
        <v>45366</v>
      </c>
      <c r="D1460" s="1">
        <v>45370</v>
      </c>
      <c r="E1460" t="s">
        <v>3632</v>
      </c>
      <c r="F1460" t="s">
        <v>38</v>
      </c>
      <c r="G1460" t="s">
        <v>217</v>
      </c>
      <c r="H1460" t="s">
        <v>3633</v>
      </c>
      <c r="I1460" t="s">
        <v>126</v>
      </c>
      <c r="J1460" t="s">
        <v>42</v>
      </c>
      <c r="K1460" t="s">
        <v>1573</v>
      </c>
      <c r="L1460" t="s">
        <v>187</v>
      </c>
      <c r="M1460" t="s">
        <v>25</v>
      </c>
      <c r="N1460" t="s">
        <v>66</v>
      </c>
      <c r="O1460" t="s">
        <v>67</v>
      </c>
      <c r="P1460" t="s">
        <v>68</v>
      </c>
      <c r="Q1460">
        <v>41</v>
      </c>
      <c r="R1460">
        <v>290</v>
      </c>
      <c r="S1460">
        <v>11890</v>
      </c>
      <c r="T1460">
        <v>31.17</v>
      </c>
      <c r="U1460">
        <v>4</v>
      </c>
      <c r="V1460">
        <v>1588</v>
      </c>
      <c r="W1460" t="s">
        <v>36</v>
      </c>
      <c r="X1460">
        <v>2480.33</v>
      </c>
    </row>
    <row r="1461" spans="1:24" x14ac:dyDescent="0.25">
      <c r="A1461" s="2">
        <v>101459</v>
      </c>
      <c r="B1461" s="1">
        <v>45510</v>
      </c>
      <c r="C1461" s="1">
        <v>45510</v>
      </c>
      <c r="D1461" s="1">
        <v>45518</v>
      </c>
      <c r="E1461" t="s">
        <v>3286</v>
      </c>
      <c r="F1461" t="s">
        <v>65</v>
      </c>
      <c r="G1461" t="s">
        <v>142</v>
      </c>
      <c r="H1461" t="s">
        <v>3634</v>
      </c>
      <c r="I1461" t="s">
        <v>230</v>
      </c>
      <c r="J1461" t="s">
        <v>80</v>
      </c>
      <c r="K1461" t="s">
        <v>1679</v>
      </c>
      <c r="L1461" t="s">
        <v>122</v>
      </c>
      <c r="M1461" t="s">
        <v>25</v>
      </c>
      <c r="N1461" t="s">
        <v>45</v>
      </c>
      <c r="O1461" t="s">
        <v>46</v>
      </c>
      <c r="P1461" t="s">
        <v>35</v>
      </c>
      <c r="Q1461">
        <v>133</v>
      </c>
      <c r="R1461">
        <v>335.78</v>
      </c>
      <c r="S1461">
        <v>44658.74</v>
      </c>
      <c r="T1461">
        <v>16.239999999999998</v>
      </c>
      <c r="U1461">
        <v>8</v>
      </c>
      <c r="V1461">
        <v>1741</v>
      </c>
      <c r="W1461" t="s">
        <v>36</v>
      </c>
      <c r="X1461">
        <v>6837.58</v>
      </c>
    </row>
    <row r="1462" spans="1:24" x14ac:dyDescent="0.25">
      <c r="A1462" s="2">
        <v>101460</v>
      </c>
      <c r="B1462" s="1">
        <v>45848</v>
      </c>
      <c r="C1462" s="1">
        <v>45848</v>
      </c>
      <c r="D1462" s="1">
        <v>45857</v>
      </c>
      <c r="E1462" t="s">
        <v>3635</v>
      </c>
      <c r="F1462" t="s">
        <v>38</v>
      </c>
      <c r="G1462" t="s">
        <v>217</v>
      </c>
      <c r="H1462" t="s">
        <v>3636</v>
      </c>
      <c r="I1462" t="s">
        <v>139</v>
      </c>
      <c r="J1462" t="s">
        <v>42</v>
      </c>
      <c r="K1462" t="s">
        <v>3637</v>
      </c>
      <c r="L1462" t="s">
        <v>187</v>
      </c>
      <c r="M1462" t="s">
        <v>25</v>
      </c>
      <c r="N1462" t="s">
        <v>151</v>
      </c>
      <c r="O1462" t="s">
        <v>152</v>
      </c>
      <c r="P1462" t="s">
        <v>68</v>
      </c>
      <c r="Q1462">
        <v>321</v>
      </c>
      <c r="R1462">
        <v>433.52</v>
      </c>
      <c r="S1462">
        <v>139159.92000000001</v>
      </c>
      <c r="T1462">
        <v>49.31</v>
      </c>
      <c r="U1462">
        <v>9</v>
      </c>
      <c r="V1462">
        <v>485</v>
      </c>
      <c r="W1462" t="s">
        <v>36</v>
      </c>
      <c r="X1462">
        <v>21561.66</v>
      </c>
    </row>
    <row r="1463" spans="1:24" x14ac:dyDescent="0.25">
      <c r="A1463" s="2">
        <v>101461</v>
      </c>
      <c r="B1463" s="1">
        <v>45964</v>
      </c>
      <c r="C1463" s="1">
        <v>45969</v>
      </c>
      <c r="D1463" s="1">
        <v>45973</v>
      </c>
      <c r="E1463" t="s">
        <v>3638</v>
      </c>
      <c r="F1463" t="s">
        <v>25</v>
      </c>
      <c r="G1463" t="s">
        <v>169</v>
      </c>
      <c r="H1463" t="s">
        <v>3639</v>
      </c>
      <c r="I1463" t="s">
        <v>368</v>
      </c>
      <c r="J1463" t="s">
        <v>29</v>
      </c>
      <c r="K1463" t="s">
        <v>495</v>
      </c>
      <c r="L1463" t="s">
        <v>91</v>
      </c>
      <c r="M1463" t="s">
        <v>65</v>
      </c>
      <c r="N1463" t="s">
        <v>66</v>
      </c>
      <c r="O1463" t="s">
        <v>67</v>
      </c>
      <c r="P1463" t="s">
        <v>68</v>
      </c>
      <c r="Q1463">
        <v>178</v>
      </c>
      <c r="R1463">
        <v>43.05</v>
      </c>
      <c r="S1463">
        <v>7662.9</v>
      </c>
      <c r="T1463">
        <v>40.049999999999997</v>
      </c>
      <c r="U1463">
        <v>4</v>
      </c>
      <c r="V1463">
        <v>2656</v>
      </c>
      <c r="W1463" t="s">
        <v>36</v>
      </c>
      <c r="X1463">
        <v>1660.04</v>
      </c>
    </row>
    <row r="1464" spans="1:24" x14ac:dyDescent="0.25">
      <c r="A1464" s="2">
        <v>101462</v>
      </c>
      <c r="B1464" s="1">
        <v>45851</v>
      </c>
      <c r="C1464" s="1">
        <v>45856</v>
      </c>
      <c r="D1464" s="1">
        <v>45875</v>
      </c>
      <c r="E1464" t="s">
        <v>3640</v>
      </c>
      <c r="F1464" t="s">
        <v>38</v>
      </c>
      <c r="G1464" t="s">
        <v>39</v>
      </c>
      <c r="H1464" t="s">
        <v>3641</v>
      </c>
      <c r="I1464" t="s">
        <v>126</v>
      </c>
      <c r="J1464" t="s">
        <v>42</v>
      </c>
      <c r="K1464" t="s">
        <v>957</v>
      </c>
      <c r="L1464" t="s">
        <v>64</v>
      </c>
      <c r="M1464" t="s">
        <v>32</v>
      </c>
      <c r="N1464" t="s">
        <v>55</v>
      </c>
      <c r="O1464" t="s">
        <v>56</v>
      </c>
      <c r="P1464" t="s">
        <v>76</v>
      </c>
      <c r="Q1464">
        <v>128</v>
      </c>
      <c r="R1464">
        <v>346.26</v>
      </c>
      <c r="S1464">
        <v>44321.279999999999</v>
      </c>
      <c r="T1464">
        <v>10.35</v>
      </c>
      <c r="U1464">
        <v>19</v>
      </c>
      <c r="V1464">
        <v>519</v>
      </c>
      <c r="W1464" t="s">
        <v>36</v>
      </c>
      <c r="X1464">
        <v>4715.08</v>
      </c>
    </row>
    <row r="1465" spans="1:24" x14ac:dyDescent="0.25">
      <c r="A1465" s="2">
        <v>101463</v>
      </c>
      <c r="B1465" s="1">
        <v>45661</v>
      </c>
      <c r="C1465" s="1">
        <v>45665</v>
      </c>
      <c r="D1465" s="1">
        <v>45673</v>
      </c>
      <c r="E1465" t="s">
        <v>3054</v>
      </c>
      <c r="F1465" t="s">
        <v>54</v>
      </c>
      <c r="G1465" t="s">
        <v>158</v>
      </c>
      <c r="H1465" t="s">
        <v>3642</v>
      </c>
      <c r="I1465" t="s">
        <v>144</v>
      </c>
      <c r="J1465" t="s">
        <v>52</v>
      </c>
      <c r="K1465" t="s">
        <v>2275</v>
      </c>
      <c r="L1465" t="s">
        <v>31</v>
      </c>
      <c r="M1465" t="s">
        <v>38</v>
      </c>
      <c r="N1465" t="s">
        <v>92</v>
      </c>
      <c r="O1465" t="s">
        <v>93</v>
      </c>
      <c r="P1465" t="s">
        <v>123</v>
      </c>
      <c r="Q1465">
        <v>131</v>
      </c>
      <c r="R1465">
        <v>76.459999999999994</v>
      </c>
      <c r="S1465">
        <v>10016.26</v>
      </c>
      <c r="T1465">
        <v>13.88</v>
      </c>
      <c r="U1465">
        <v>8</v>
      </c>
      <c r="V1465">
        <v>1763</v>
      </c>
      <c r="W1465" t="s">
        <v>36</v>
      </c>
      <c r="X1465">
        <v>1771.56</v>
      </c>
    </row>
    <row r="1466" spans="1:24" x14ac:dyDescent="0.25">
      <c r="A1466" s="2">
        <v>101464</v>
      </c>
      <c r="B1466" s="1">
        <v>45681</v>
      </c>
      <c r="C1466" s="1">
        <v>45683</v>
      </c>
      <c r="D1466" s="1">
        <v>45696</v>
      </c>
      <c r="E1466" t="s">
        <v>3643</v>
      </c>
      <c r="F1466" t="s">
        <v>65</v>
      </c>
      <c r="G1466" t="s">
        <v>154</v>
      </c>
      <c r="H1466" t="s">
        <v>3644</v>
      </c>
      <c r="I1466" t="s">
        <v>230</v>
      </c>
      <c r="J1466" t="s">
        <v>80</v>
      </c>
      <c r="K1466" t="s">
        <v>1385</v>
      </c>
      <c r="L1466" t="s">
        <v>44</v>
      </c>
      <c r="M1466" t="s">
        <v>65</v>
      </c>
      <c r="N1466" t="s">
        <v>107</v>
      </c>
      <c r="O1466" t="s">
        <v>108</v>
      </c>
      <c r="P1466" t="s">
        <v>123</v>
      </c>
      <c r="Q1466">
        <v>205</v>
      </c>
      <c r="R1466">
        <v>255.58</v>
      </c>
      <c r="S1466">
        <v>52393.9</v>
      </c>
      <c r="T1466">
        <v>11.61</v>
      </c>
      <c r="U1466">
        <v>13</v>
      </c>
      <c r="V1466">
        <v>670</v>
      </c>
      <c r="W1466" t="s">
        <v>36</v>
      </c>
      <c r="X1466">
        <v>10686.66</v>
      </c>
    </row>
    <row r="1467" spans="1:24" x14ac:dyDescent="0.25">
      <c r="A1467" s="2">
        <v>101465</v>
      </c>
      <c r="B1467" s="1">
        <v>45588</v>
      </c>
      <c r="C1467" s="1">
        <v>45593</v>
      </c>
      <c r="D1467" s="1">
        <v>45603</v>
      </c>
      <c r="E1467" t="s">
        <v>3645</v>
      </c>
      <c r="F1467" t="s">
        <v>65</v>
      </c>
      <c r="G1467" t="s">
        <v>142</v>
      </c>
      <c r="H1467" t="s">
        <v>3646</v>
      </c>
      <c r="I1467" t="s">
        <v>191</v>
      </c>
      <c r="J1467" t="s">
        <v>62</v>
      </c>
      <c r="K1467" t="s">
        <v>3647</v>
      </c>
      <c r="L1467" t="s">
        <v>44</v>
      </c>
      <c r="M1467" t="s">
        <v>25</v>
      </c>
      <c r="N1467" t="s">
        <v>92</v>
      </c>
      <c r="O1467" t="s">
        <v>93</v>
      </c>
      <c r="P1467" t="s">
        <v>35</v>
      </c>
      <c r="Q1467">
        <v>98</v>
      </c>
      <c r="R1467">
        <v>49.55</v>
      </c>
      <c r="S1467">
        <v>4855.8999999999996</v>
      </c>
      <c r="T1467">
        <v>15.25</v>
      </c>
      <c r="U1467">
        <v>10</v>
      </c>
      <c r="V1467">
        <v>3090</v>
      </c>
      <c r="W1467" t="s">
        <v>36</v>
      </c>
      <c r="X1467">
        <v>652.80999999999995</v>
      </c>
    </row>
    <row r="1468" spans="1:24" x14ac:dyDescent="0.25">
      <c r="A1468" s="2">
        <v>101466</v>
      </c>
      <c r="B1468" s="1">
        <v>45851</v>
      </c>
      <c r="C1468" s="1">
        <v>45852</v>
      </c>
      <c r="D1468" s="1">
        <v>45862</v>
      </c>
      <c r="E1468" t="s">
        <v>3648</v>
      </c>
      <c r="F1468" t="s">
        <v>32</v>
      </c>
      <c r="G1468" t="s">
        <v>364</v>
      </c>
      <c r="H1468" t="s">
        <v>3649</v>
      </c>
      <c r="I1468" t="s">
        <v>61</v>
      </c>
      <c r="J1468" t="s">
        <v>62</v>
      </c>
      <c r="K1468" t="s">
        <v>2962</v>
      </c>
      <c r="L1468" t="s">
        <v>91</v>
      </c>
      <c r="M1468" t="s">
        <v>32</v>
      </c>
      <c r="N1468" t="s">
        <v>92</v>
      </c>
      <c r="O1468" t="s">
        <v>93</v>
      </c>
      <c r="P1468" t="s">
        <v>35</v>
      </c>
      <c r="Q1468">
        <v>144</v>
      </c>
      <c r="R1468">
        <v>32.69</v>
      </c>
      <c r="S1468">
        <v>4707.3599999999997</v>
      </c>
      <c r="T1468">
        <v>12.26</v>
      </c>
      <c r="U1468">
        <v>10</v>
      </c>
      <c r="V1468">
        <v>4110</v>
      </c>
      <c r="W1468" t="s">
        <v>36</v>
      </c>
      <c r="X1468">
        <v>310.85000000000002</v>
      </c>
    </row>
    <row r="1469" spans="1:24" x14ac:dyDescent="0.25">
      <c r="A1469" s="2">
        <v>101467</v>
      </c>
      <c r="B1469" s="1">
        <v>45759</v>
      </c>
      <c r="C1469" s="1">
        <v>45763</v>
      </c>
      <c r="D1469" s="1">
        <v>45765</v>
      </c>
      <c r="E1469" t="s">
        <v>3650</v>
      </c>
      <c r="F1469" t="s">
        <v>65</v>
      </c>
      <c r="G1469" t="s">
        <v>70</v>
      </c>
      <c r="H1469" t="s">
        <v>3651</v>
      </c>
      <c r="I1469" t="s">
        <v>144</v>
      </c>
      <c r="J1469" t="s">
        <v>52</v>
      </c>
      <c r="K1469" t="s">
        <v>3083</v>
      </c>
      <c r="L1469" t="s">
        <v>118</v>
      </c>
      <c r="M1469" t="s">
        <v>65</v>
      </c>
      <c r="N1469" t="s">
        <v>107</v>
      </c>
      <c r="O1469" t="s">
        <v>108</v>
      </c>
      <c r="P1469" t="s">
        <v>35</v>
      </c>
      <c r="Q1469">
        <v>470</v>
      </c>
      <c r="R1469">
        <v>67.959999999999994</v>
      </c>
      <c r="S1469">
        <v>31941.200000000001</v>
      </c>
      <c r="T1469">
        <v>19.11</v>
      </c>
      <c r="U1469">
        <v>2</v>
      </c>
      <c r="V1469">
        <v>2695</v>
      </c>
      <c r="W1469" t="s">
        <v>36</v>
      </c>
      <c r="X1469">
        <v>4414.09</v>
      </c>
    </row>
    <row r="1470" spans="1:24" x14ac:dyDescent="0.25">
      <c r="A1470" s="2">
        <v>101468</v>
      </c>
      <c r="B1470" s="1">
        <v>45806</v>
      </c>
      <c r="C1470" s="1">
        <v>45810</v>
      </c>
      <c r="D1470" s="1">
        <v>45816</v>
      </c>
      <c r="E1470" t="s">
        <v>3652</v>
      </c>
      <c r="F1470" t="s">
        <v>32</v>
      </c>
      <c r="G1470" t="s">
        <v>180</v>
      </c>
      <c r="H1470" t="s">
        <v>3653</v>
      </c>
      <c r="I1470" t="s">
        <v>198</v>
      </c>
      <c r="J1470" t="s">
        <v>52</v>
      </c>
      <c r="K1470" t="s">
        <v>1846</v>
      </c>
      <c r="L1470" t="s">
        <v>122</v>
      </c>
      <c r="M1470" t="s">
        <v>32</v>
      </c>
      <c r="N1470" t="s">
        <v>74</v>
      </c>
      <c r="O1470" t="s">
        <v>75</v>
      </c>
      <c r="P1470" t="s">
        <v>123</v>
      </c>
      <c r="Q1470">
        <v>49</v>
      </c>
      <c r="R1470">
        <v>69.260000000000005</v>
      </c>
      <c r="S1470">
        <v>3393.74</v>
      </c>
      <c r="T1470">
        <v>8.8000000000000007</v>
      </c>
      <c r="U1470">
        <v>6</v>
      </c>
      <c r="V1470">
        <v>1146</v>
      </c>
      <c r="W1470" t="s">
        <v>57</v>
      </c>
      <c r="X1470">
        <v>595.59</v>
      </c>
    </row>
    <row r="1471" spans="1:24" x14ac:dyDescent="0.25">
      <c r="A1471" s="2">
        <v>101469</v>
      </c>
      <c r="B1471" s="1">
        <v>45706</v>
      </c>
      <c r="C1471" s="1">
        <v>45709</v>
      </c>
      <c r="D1471" s="1">
        <v>45723</v>
      </c>
      <c r="E1471" t="s">
        <v>3654</v>
      </c>
      <c r="F1471" t="s">
        <v>54</v>
      </c>
      <c r="G1471" t="s">
        <v>225</v>
      </c>
      <c r="H1471" t="s">
        <v>3655</v>
      </c>
      <c r="I1471" t="s">
        <v>85</v>
      </c>
      <c r="J1471" t="s">
        <v>52</v>
      </c>
      <c r="K1471" t="s">
        <v>3561</v>
      </c>
      <c r="L1471" t="s">
        <v>91</v>
      </c>
      <c r="M1471" t="s">
        <v>32</v>
      </c>
      <c r="N1471" t="s">
        <v>33</v>
      </c>
      <c r="O1471" t="s">
        <v>34</v>
      </c>
      <c r="P1471" t="s">
        <v>123</v>
      </c>
      <c r="Q1471">
        <v>236</v>
      </c>
      <c r="R1471">
        <v>11.18</v>
      </c>
      <c r="S1471">
        <v>2638.48</v>
      </c>
      <c r="T1471">
        <v>16.43</v>
      </c>
      <c r="U1471">
        <v>14</v>
      </c>
      <c r="V1471">
        <v>1623</v>
      </c>
      <c r="W1471" t="s">
        <v>36</v>
      </c>
      <c r="X1471">
        <v>170.38</v>
      </c>
    </row>
    <row r="1472" spans="1:24" x14ac:dyDescent="0.25">
      <c r="A1472" s="2">
        <v>101470</v>
      </c>
      <c r="B1472" s="1">
        <v>45501</v>
      </c>
      <c r="C1472" s="1">
        <v>45503</v>
      </c>
      <c r="D1472" s="1">
        <v>45504</v>
      </c>
      <c r="E1472" t="s">
        <v>3656</v>
      </c>
      <c r="F1472" t="s">
        <v>54</v>
      </c>
      <c r="G1472" t="s">
        <v>193</v>
      </c>
      <c r="H1472" t="s">
        <v>3657</v>
      </c>
      <c r="I1472" t="s">
        <v>368</v>
      </c>
      <c r="J1472" t="s">
        <v>29</v>
      </c>
      <c r="K1472" t="s">
        <v>1752</v>
      </c>
      <c r="L1472" t="s">
        <v>44</v>
      </c>
      <c r="M1472" t="s">
        <v>32</v>
      </c>
      <c r="N1472" t="s">
        <v>92</v>
      </c>
      <c r="O1472" t="s">
        <v>93</v>
      </c>
      <c r="P1472" t="s">
        <v>68</v>
      </c>
      <c r="Q1472">
        <v>72</v>
      </c>
      <c r="R1472">
        <v>40.590000000000003</v>
      </c>
      <c r="S1472">
        <v>2922.48</v>
      </c>
      <c r="T1472">
        <v>33.18</v>
      </c>
      <c r="U1472">
        <v>1</v>
      </c>
      <c r="V1472">
        <v>2744</v>
      </c>
      <c r="W1472" t="s">
        <v>36</v>
      </c>
      <c r="X1472">
        <v>697.93</v>
      </c>
    </row>
    <row r="1473" spans="1:24" x14ac:dyDescent="0.25">
      <c r="A1473" s="2">
        <v>101471</v>
      </c>
      <c r="B1473" s="1">
        <v>45420</v>
      </c>
      <c r="C1473" s="1">
        <v>45423</v>
      </c>
      <c r="D1473" s="1">
        <v>45432</v>
      </c>
      <c r="E1473" t="s">
        <v>3513</v>
      </c>
      <c r="F1473" t="s">
        <v>25</v>
      </c>
      <c r="G1473" t="s">
        <v>244</v>
      </c>
      <c r="H1473" t="s">
        <v>3658</v>
      </c>
      <c r="I1473" t="s">
        <v>72</v>
      </c>
      <c r="J1473" t="s">
        <v>42</v>
      </c>
      <c r="K1473" t="s">
        <v>1766</v>
      </c>
      <c r="L1473" t="s">
        <v>122</v>
      </c>
      <c r="M1473" t="s">
        <v>65</v>
      </c>
      <c r="N1473" t="s">
        <v>151</v>
      </c>
      <c r="O1473" t="s">
        <v>152</v>
      </c>
      <c r="P1473" t="s">
        <v>35</v>
      </c>
      <c r="Q1473">
        <v>340</v>
      </c>
      <c r="R1473">
        <v>188.99</v>
      </c>
      <c r="S1473">
        <v>64256.6</v>
      </c>
      <c r="T1473">
        <v>22.11</v>
      </c>
      <c r="U1473">
        <v>9</v>
      </c>
      <c r="V1473">
        <v>709</v>
      </c>
      <c r="W1473" t="s">
        <v>36</v>
      </c>
      <c r="X1473">
        <v>7124.31</v>
      </c>
    </row>
    <row r="1474" spans="1:24" x14ac:dyDescent="0.25">
      <c r="A1474" s="2">
        <v>101472</v>
      </c>
      <c r="B1474" s="1">
        <v>45659</v>
      </c>
      <c r="C1474" s="1">
        <v>45663</v>
      </c>
      <c r="D1474" s="1">
        <v>45667</v>
      </c>
      <c r="E1474" t="s">
        <v>3659</v>
      </c>
      <c r="F1474" t="s">
        <v>38</v>
      </c>
      <c r="G1474" t="s">
        <v>39</v>
      </c>
      <c r="H1474" t="s">
        <v>3660</v>
      </c>
      <c r="I1474" t="s">
        <v>278</v>
      </c>
      <c r="J1474" t="s">
        <v>29</v>
      </c>
      <c r="K1474" t="s">
        <v>334</v>
      </c>
      <c r="L1474" t="s">
        <v>44</v>
      </c>
      <c r="M1474" t="s">
        <v>38</v>
      </c>
      <c r="N1474" t="s">
        <v>33</v>
      </c>
      <c r="O1474" t="s">
        <v>34</v>
      </c>
      <c r="P1474" t="s">
        <v>123</v>
      </c>
      <c r="Q1474">
        <v>30</v>
      </c>
      <c r="R1474">
        <v>89.31</v>
      </c>
      <c r="S1474">
        <v>2679.3</v>
      </c>
      <c r="T1474">
        <v>8.4600000000000009</v>
      </c>
      <c r="U1474">
        <v>4</v>
      </c>
      <c r="V1474">
        <v>2480</v>
      </c>
      <c r="W1474" t="s">
        <v>36</v>
      </c>
      <c r="X1474">
        <v>495.4</v>
      </c>
    </row>
    <row r="1475" spans="1:24" x14ac:dyDescent="0.25">
      <c r="A1475" s="2">
        <v>101473</v>
      </c>
      <c r="B1475" s="1">
        <v>45702</v>
      </c>
      <c r="C1475" s="1">
        <v>45706</v>
      </c>
      <c r="D1475" s="1">
        <v>45709</v>
      </c>
      <c r="E1475" t="s">
        <v>3661</v>
      </c>
      <c r="F1475" t="s">
        <v>54</v>
      </c>
      <c r="G1475" t="s">
        <v>193</v>
      </c>
      <c r="H1475" t="s">
        <v>3662</v>
      </c>
      <c r="I1475" t="s">
        <v>61</v>
      </c>
      <c r="J1475" t="s">
        <v>62</v>
      </c>
      <c r="K1475" t="s">
        <v>518</v>
      </c>
      <c r="L1475" t="s">
        <v>118</v>
      </c>
      <c r="M1475" t="s">
        <v>54</v>
      </c>
      <c r="N1475" t="s">
        <v>102</v>
      </c>
      <c r="O1475" t="s">
        <v>103</v>
      </c>
      <c r="P1475" t="s">
        <v>68</v>
      </c>
      <c r="Q1475">
        <v>295</v>
      </c>
      <c r="R1475">
        <v>27.76</v>
      </c>
      <c r="S1475">
        <v>8189.2</v>
      </c>
      <c r="T1475">
        <v>35.28</v>
      </c>
      <c r="U1475">
        <v>3</v>
      </c>
      <c r="V1475">
        <v>3658</v>
      </c>
      <c r="W1475" t="s">
        <v>36</v>
      </c>
      <c r="X1475">
        <v>1135.2</v>
      </c>
    </row>
    <row r="1476" spans="1:24" x14ac:dyDescent="0.25">
      <c r="A1476" s="2">
        <v>101474</v>
      </c>
      <c r="B1476" s="1">
        <v>45656</v>
      </c>
      <c r="C1476" s="1">
        <v>45661</v>
      </c>
      <c r="D1476" s="1">
        <v>45664</v>
      </c>
      <c r="E1476" t="s">
        <v>280</v>
      </c>
      <c r="F1476" t="s">
        <v>25</v>
      </c>
      <c r="G1476" t="s">
        <v>233</v>
      </c>
      <c r="H1476" t="s">
        <v>3663</v>
      </c>
      <c r="I1476" t="s">
        <v>278</v>
      </c>
      <c r="J1476" t="s">
        <v>29</v>
      </c>
      <c r="K1476" t="s">
        <v>646</v>
      </c>
      <c r="L1476" t="s">
        <v>44</v>
      </c>
      <c r="M1476" t="s">
        <v>25</v>
      </c>
      <c r="N1476" t="s">
        <v>203</v>
      </c>
      <c r="O1476" t="s">
        <v>204</v>
      </c>
      <c r="P1476" t="s">
        <v>68</v>
      </c>
      <c r="Q1476">
        <v>238</v>
      </c>
      <c r="R1476">
        <v>79.739999999999995</v>
      </c>
      <c r="S1476">
        <v>18978.12</v>
      </c>
      <c r="T1476">
        <v>32.54</v>
      </c>
      <c r="U1476">
        <v>3</v>
      </c>
      <c r="V1476">
        <v>2344</v>
      </c>
      <c r="W1476" t="s">
        <v>36</v>
      </c>
      <c r="X1476">
        <v>2444.85</v>
      </c>
    </row>
    <row r="1477" spans="1:24" x14ac:dyDescent="0.25">
      <c r="A1477" s="2">
        <v>101475</v>
      </c>
      <c r="B1477" s="1">
        <v>45643</v>
      </c>
      <c r="C1477" s="1">
        <v>45645</v>
      </c>
      <c r="D1477" s="1">
        <v>45651</v>
      </c>
      <c r="E1477" t="s">
        <v>3664</v>
      </c>
      <c r="F1477" t="s">
        <v>32</v>
      </c>
      <c r="G1477" t="s">
        <v>95</v>
      </c>
      <c r="H1477" t="s">
        <v>3665</v>
      </c>
      <c r="I1477" t="s">
        <v>61</v>
      </c>
      <c r="J1477" t="s">
        <v>62</v>
      </c>
      <c r="K1477" t="s">
        <v>63</v>
      </c>
      <c r="L1477" t="s">
        <v>122</v>
      </c>
      <c r="M1477" t="s">
        <v>38</v>
      </c>
      <c r="N1477" t="s">
        <v>107</v>
      </c>
      <c r="O1477" t="s">
        <v>108</v>
      </c>
      <c r="P1477" t="s">
        <v>123</v>
      </c>
      <c r="Q1477">
        <v>143</v>
      </c>
      <c r="R1477">
        <v>23.03</v>
      </c>
      <c r="S1477">
        <v>3293.29</v>
      </c>
      <c r="T1477">
        <v>14.17</v>
      </c>
      <c r="U1477">
        <v>6</v>
      </c>
      <c r="V1477">
        <v>4315</v>
      </c>
      <c r="W1477" t="s">
        <v>36</v>
      </c>
      <c r="X1477">
        <v>284.32</v>
      </c>
    </row>
    <row r="1478" spans="1:24" x14ac:dyDescent="0.25">
      <c r="A1478" s="2">
        <v>101476</v>
      </c>
      <c r="B1478" s="1">
        <v>45931</v>
      </c>
      <c r="C1478" s="1">
        <v>45936</v>
      </c>
      <c r="D1478" s="1">
        <v>45941</v>
      </c>
      <c r="E1478" t="s">
        <v>3666</v>
      </c>
      <c r="F1478" t="s">
        <v>38</v>
      </c>
      <c r="G1478" t="s">
        <v>39</v>
      </c>
      <c r="H1478" t="s">
        <v>3667</v>
      </c>
      <c r="I1478" t="s">
        <v>41</v>
      </c>
      <c r="J1478" t="s">
        <v>42</v>
      </c>
      <c r="K1478" t="s">
        <v>1562</v>
      </c>
      <c r="L1478" t="s">
        <v>31</v>
      </c>
      <c r="M1478" t="s">
        <v>25</v>
      </c>
      <c r="N1478" t="s">
        <v>45</v>
      </c>
      <c r="O1478" t="s">
        <v>46</v>
      </c>
      <c r="P1478" t="s">
        <v>123</v>
      </c>
      <c r="Q1478">
        <v>319</v>
      </c>
      <c r="R1478">
        <v>60.49</v>
      </c>
      <c r="S1478">
        <v>19296.310000000001</v>
      </c>
      <c r="T1478">
        <v>18.440000000000001</v>
      </c>
      <c r="U1478">
        <v>5</v>
      </c>
      <c r="V1478">
        <v>269</v>
      </c>
      <c r="W1478" t="s">
        <v>36</v>
      </c>
      <c r="X1478">
        <v>2270.06</v>
      </c>
    </row>
    <row r="1479" spans="1:24" x14ac:dyDescent="0.25">
      <c r="A1479" s="2">
        <v>101477</v>
      </c>
      <c r="B1479" s="1">
        <v>45763</v>
      </c>
      <c r="C1479" s="1">
        <v>45767</v>
      </c>
      <c r="D1479" s="1">
        <v>45769</v>
      </c>
      <c r="E1479" t="s">
        <v>3668</v>
      </c>
      <c r="F1479" t="s">
        <v>25</v>
      </c>
      <c r="G1479" t="s">
        <v>172</v>
      </c>
      <c r="H1479" t="s">
        <v>3669</v>
      </c>
      <c r="I1479" t="s">
        <v>134</v>
      </c>
      <c r="J1479" t="s">
        <v>52</v>
      </c>
      <c r="K1479" t="s">
        <v>3670</v>
      </c>
      <c r="L1479" t="s">
        <v>31</v>
      </c>
      <c r="M1479" t="s">
        <v>25</v>
      </c>
      <c r="N1479" t="s">
        <v>102</v>
      </c>
      <c r="O1479" t="s">
        <v>103</v>
      </c>
      <c r="P1479" t="s">
        <v>35</v>
      </c>
      <c r="Q1479">
        <v>72</v>
      </c>
      <c r="R1479">
        <v>41.21</v>
      </c>
      <c r="S1479">
        <v>2967.12</v>
      </c>
      <c r="T1479">
        <v>10.75</v>
      </c>
      <c r="U1479">
        <v>2</v>
      </c>
      <c r="V1479">
        <v>3661</v>
      </c>
      <c r="W1479" t="s">
        <v>57</v>
      </c>
      <c r="X1479">
        <v>538.59</v>
      </c>
    </row>
    <row r="1480" spans="1:24" x14ac:dyDescent="0.25">
      <c r="A1480" s="2">
        <v>101478</v>
      </c>
      <c r="B1480" s="1">
        <v>45671</v>
      </c>
      <c r="C1480" s="1">
        <v>45672</v>
      </c>
      <c r="D1480" s="1">
        <v>45674</v>
      </c>
      <c r="E1480" t="s">
        <v>3671</v>
      </c>
      <c r="F1480" t="s">
        <v>65</v>
      </c>
      <c r="G1480" t="s">
        <v>70</v>
      </c>
      <c r="H1480" t="s">
        <v>2871</v>
      </c>
      <c r="I1480" t="s">
        <v>51</v>
      </c>
      <c r="J1480" t="s">
        <v>52</v>
      </c>
      <c r="K1480" t="s">
        <v>667</v>
      </c>
      <c r="L1480" t="s">
        <v>91</v>
      </c>
      <c r="M1480" t="s">
        <v>54</v>
      </c>
      <c r="N1480" t="s">
        <v>33</v>
      </c>
      <c r="O1480" t="s">
        <v>34</v>
      </c>
      <c r="P1480" t="s">
        <v>35</v>
      </c>
      <c r="Q1480">
        <v>176</v>
      </c>
      <c r="R1480">
        <v>38.94</v>
      </c>
      <c r="S1480">
        <v>6853.44</v>
      </c>
      <c r="T1480">
        <v>17.46</v>
      </c>
      <c r="U1480">
        <v>2</v>
      </c>
      <c r="V1480">
        <v>364</v>
      </c>
      <c r="W1480" t="s">
        <v>36</v>
      </c>
      <c r="X1480">
        <v>1204</v>
      </c>
    </row>
    <row r="1481" spans="1:24" x14ac:dyDescent="0.25">
      <c r="A1481" s="2">
        <v>101479</v>
      </c>
      <c r="B1481" s="1">
        <v>45978</v>
      </c>
      <c r="C1481" s="1">
        <v>45978</v>
      </c>
      <c r="D1481" s="1">
        <v>46003</v>
      </c>
      <c r="E1481" t="s">
        <v>3672</v>
      </c>
      <c r="F1481" t="s">
        <v>65</v>
      </c>
      <c r="G1481" t="s">
        <v>154</v>
      </c>
      <c r="H1481" t="s">
        <v>3673</v>
      </c>
      <c r="I1481" t="s">
        <v>191</v>
      </c>
      <c r="J1481" t="s">
        <v>62</v>
      </c>
      <c r="K1481" t="s">
        <v>618</v>
      </c>
      <c r="L1481" t="s">
        <v>31</v>
      </c>
      <c r="M1481" t="s">
        <v>65</v>
      </c>
      <c r="N1481" t="s">
        <v>107</v>
      </c>
      <c r="O1481" t="s">
        <v>108</v>
      </c>
      <c r="P1481" t="s">
        <v>76</v>
      </c>
      <c r="Q1481">
        <v>419</v>
      </c>
      <c r="R1481">
        <v>44.26</v>
      </c>
      <c r="S1481">
        <v>18544.939999999999</v>
      </c>
      <c r="T1481">
        <v>11.6</v>
      </c>
      <c r="U1481">
        <v>25</v>
      </c>
      <c r="V1481">
        <v>1641</v>
      </c>
      <c r="W1481" t="s">
        <v>188</v>
      </c>
      <c r="X1481">
        <v>721.09</v>
      </c>
    </row>
    <row r="1482" spans="1:24" x14ac:dyDescent="0.25">
      <c r="A1482" s="2">
        <v>101480</v>
      </c>
      <c r="B1482" s="1">
        <v>45833</v>
      </c>
      <c r="C1482" s="1">
        <v>45834</v>
      </c>
      <c r="D1482" s="1">
        <v>45839</v>
      </c>
      <c r="E1482" t="s">
        <v>3674</v>
      </c>
      <c r="F1482" t="s">
        <v>25</v>
      </c>
      <c r="G1482" t="s">
        <v>172</v>
      </c>
      <c r="H1482" t="s">
        <v>3675</v>
      </c>
      <c r="I1482" t="s">
        <v>116</v>
      </c>
      <c r="J1482" t="s">
        <v>62</v>
      </c>
      <c r="K1482" t="s">
        <v>3676</v>
      </c>
      <c r="L1482" t="s">
        <v>212</v>
      </c>
      <c r="M1482" t="s">
        <v>54</v>
      </c>
      <c r="N1482" t="s">
        <v>107</v>
      </c>
      <c r="O1482" t="s">
        <v>108</v>
      </c>
      <c r="P1482" t="s">
        <v>68</v>
      </c>
      <c r="Q1482">
        <v>203</v>
      </c>
      <c r="R1482">
        <v>9.1</v>
      </c>
      <c r="S1482">
        <v>1847.3</v>
      </c>
      <c r="T1482">
        <v>41.67</v>
      </c>
      <c r="U1482">
        <v>5</v>
      </c>
      <c r="V1482">
        <v>1419</v>
      </c>
      <c r="W1482" t="s">
        <v>36</v>
      </c>
      <c r="X1482">
        <v>219.51</v>
      </c>
    </row>
    <row r="1483" spans="1:24" x14ac:dyDescent="0.25">
      <c r="A1483" s="2">
        <v>101481</v>
      </c>
      <c r="B1483" s="1">
        <v>45790</v>
      </c>
      <c r="C1483" s="1">
        <v>45794</v>
      </c>
      <c r="D1483" s="1">
        <v>45815</v>
      </c>
      <c r="E1483" t="s">
        <v>3677</v>
      </c>
      <c r="F1483" t="s">
        <v>32</v>
      </c>
      <c r="G1483" t="s">
        <v>95</v>
      </c>
      <c r="H1483" t="s">
        <v>3678</v>
      </c>
      <c r="I1483" t="s">
        <v>126</v>
      </c>
      <c r="J1483" t="s">
        <v>42</v>
      </c>
      <c r="K1483" t="s">
        <v>86</v>
      </c>
      <c r="L1483" t="s">
        <v>122</v>
      </c>
      <c r="M1483" t="s">
        <v>65</v>
      </c>
      <c r="N1483" t="s">
        <v>92</v>
      </c>
      <c r="O1483" t="s">
        <v>93</v>
      </c>
      <c r="P1483" t="s">
        <v>76</v>
      </c>
      <c r="Q1483">
        <v>359</v>
      </c>
      <c r="R1483">
        <v>268.86</v>
      </c>
      <c r="S1483">
        <v>96520.74</v>
      </c>
      <c r="T1483">
        <v>14.56</v>
      </c>
      <c r="U1483">
        <v>21</v>
      </c>
      <c r="V1483">
        <v>1514</v>
      </c>
      <c r="W1483" t="s">
        <v>188</v>
      </c>
      <c r="X1483">
        <v>13116</v>
      </c>
    </row>
    <row r="1484" spans="1:24" x14ac:dyDescent="0.25">
      <c r="A1484" s="2">
        <v>101482</v>
      </c>
      <c r="B1484" s="1">
        <v>45385</v>
      </c>
      <c r="C1484" s="1">
        <v>45387</v>
      </c>
      <c r="D1484" s="1">
        <v>45403</v>
      </c>
      <c r="E1484" t="s">
        <v>3679</v>
      </c>
      <c r="F1484" t="s">
        <v>25</v>
      </c>
      <c r="G1484" t="s">
        <v>26</v>
      </c>
      <c r="H1484" t="s">
        <v>3680</v>
      </c>
      <c r="I1484" t="s">
        <v>182</v>
      </c>
      <c r="J1484" t="s">
        <v>80</v>
      </c>
      <c r="K1484" t="s">
        <v>1938</v>
      </c>
      <c r="L1484" t="s">
        <v>64</v>
      </c>
      <c r="M1484" t="s">
        <v>25</v>
      </c>
      <c r="N1484" t="s">
        <v>66</v>
      </c>
      <c r="O1484" t="s">
        <v>67</v>
      </c>
      <c r="P1484" t="s">
        <v>76</v>
      </c>
      <c r="Q1484">
        <v>264</v>
      </c>
      <c r="R1484">
        <v>179.77</v>
      </c>
      <c r="S1484">
        <v>47459.28</v>
      </c>
      <c r="T1484">
        <v>9.5</v>
      </c>
      <c r="U1484">
        <v>16</v>
      </c>
      <c r="V1484">
        <v>1495</v>
      </c>
      <c r="W1484" t="s">
        <v>36</v>
      </c>
      <c r="X1484">
        <v>9980.74</v>
      </c>
    </row>
    <row r="1485" spans="1:24" x14ac:dyDescent="0.25">
      <c r="A1485" s="2">
        <v>101483</v>
      </c>
      <c r="B1485" s="1">
        <v>45678</v>
      </c>
      <c r="C1485" s="1">
        <v>45678</v>
      </c>
      <c r="D1485" s="1">
        <v>45680</v>
      </c>
      <c r="E1485" t="s">
        <v>3681</v>
      </c>
      <c r="F1485" t="s">
        <v>25</v>
      </c>
      <c r="G1485" t="s">
        <v>244</v>
      </c>
      <c r="H1485" t="s">
        <v>3682</v>
      </c>
      <c r="I1485" t="s">
        <v>149</v>
      </c>
      <c r="J1485" t="s">
        <v>42</v>
      </c>
      <c r="K1485" t="s">
        <v>697</v>
      </c>
      <c r="L1485" t="s">
        <v>64</v>
      </c>
      <c r="M1485" t="s">
        <v>54</v>
      </c>
      <c r="N1485" t="s">
        <v>55</v>
      </c>
      <c r="O1485" t="s">
        <v>56</v>
      </c>
      <c r="P1485" t="s">
        <v>68</v>
      </c>
      <c r="Q1485">
        <v>344</v>
      </c>
      <c r="R1485">
        <v>211.73</v>
      </c>
      <c r="S1485">
        <v>72835.12</v>
      </c>
      <c r="T1485">
        <v>50.8</v>
      </c>
      <c r="U1485">
        <v>2</v>
      </c>
      <c r="V1485">
        <v>1165</v>
      </c>
      <c r="W1485" t="s">
        <v>36</v>
      </c>
      <c r="X1485">
        <v>12473.09</v>
      </c>
    </row>
    <row r="1486" spans="1:24" x14ac:dyDescent="0.25">
      <c r="A1486" s="2">
        <v>101484</v>
      </c>
      <c r="B1486" s="1">
        <v>45294</v>
      </c>
      <c r="C1486" s="1">
        <v>45294</v>
      </c>
      <c r="D1486" s="1">
        <v>45301</v>
      </c>
      <c r="E1486" t="s">
        <v>3683</v>
      </c>
      <c r="F1486" t="s">
        <v>54</v>
      </c>
      <c r="G1486" t="s">
        <v>193</v>
      </c>
      <c r="H1486" t="s">
        <v>3684</v>
      </c>
      <c r="I1486" t="s">
        <v>416</v>
      </c>
      <c r="J1486" t="s">
        <v>80</v>
      </c>
      <c r="K1486" t="s">
        <v>2147</v>
      </c>
      <c r="L1486" t="s">
        <v>187</v>
      </c>
      <c r="M1486" t="s">
        <v>25</v>
      </c>
      <c r="N1486" t="s">
        <v>55</v>
      </c>
      <c r="O1486" t="s">
        <v>56</v>
      </c>
      <c r="P1486" t="s">
        <v>35</v>
      </c>
      <c r="Q1486">
        <v>113</v>
      </c>
      <c r="R1486">
        <v>305.47000000000003</v>
      </c>
      <c r="S1486">
        <v>34518.11</v>
      </c>
      <c r="T1486">
        <v>15.68</v>
      </c>
      <c r="U1486">
        <v>7</v>
      </c>
      <c r="V1486">
        <v>978</v>
      </c>
      <c r="W1486" t="s">
        <v>36</v>
      </c>
      <c r="X1486">
        <v>6383.57</v>
      </c>
    </row>
    <row r="1487" spans="1:24" x14ac:dyDescent="0.25">
      <c r="A1487" s="2">
        <v>101485</v>
      </c>
      <c r="B1487" s="1">
        <v>45818</v>
      </c>
      <c r="C1487" s="1">
        <v>45822</v>
      </c>
      <c r="D1487" s="1">
        <v>45823</v>
      </c>
      <c r="E1487" t="s">
        <v>3685</v>
      </c>
      <c r="F1487" t="s">
        <v>32</v>
      </c>
      <c r="G1487" t="s">
        <v>110</v>
      </c>
      <c r="H1487" t="s">
        <v>3686</v>
      </c>
      <c r="I1487" t="s">
        <v>85</v>
      </c>
      <c r="J1487" t="s">
        <v>52</v>
      </c>
      <c r="K1487" t="s">
        <v>673</v>
      </c>
      <c r="L1487" t="s">
        <v>122</v>
      </c>
      <c r="M1487" t="s">
        <v>25</v>
      </c>
      <c r="N1487" t="s">
        <v>33</v>
      </c>
      <c r="O1487" t="s">
        <v>34</v>
      </c>
      <c r="P1487" t="s">
        <v>68</v>
      </c>
      <c r="Q1487">
        <v>39</v>
      </c>
      <c r="R1487">
        <v>73.069999999999993</v>
      </c>
      <c r="S1487">
        <v>2849.73</v>
      </c>
      <c r="T1487">
        <v>31.04</v>
      </c>
      <c r="U1487">
        <v>1</v>
      </c>
      <c r="V1487">
        <v>2373</v>
      </c>
      <c r="W1487" t="s">
        <v>36</v>
      </c>
      <c r="X1487">
        <v>339.22</v>
      </c>
    </row>
    <row r="1488" spans="1:24" x14ac:dyDescent="0.25">
      <c r="A1488" s="2">
        <v>101486</v>
      </c>
      <c r="B1488" s="1">
        <v>45554</v>
      </c>
      <c r="C1488" s="1">
        <v>45559</v>
      </c>
      <c r="D1488" s="1">
        <v>45561</v>
      </c>
      <c r="E1488" t="s">
        <v>3559</v>
      </c>
      <c r="F1488" t="s">
        <v>65</v>
      </c>
      <c r="G1488" t="s">
        <v>154</v>
      </c>
      <c r="H1488" t="s">
        <v>3687</v>
      </c>
      <c r="I1488" t="s">
        <v>207</v>
      </c>
      <c r="J1488" t="s">
        <v>80</v>
      </c>
      <c r="K1488" t="s">
        <v>2545</v>
      </c>
      <c r="L1488" t="s">
        <v>118</v>
      </c>
      <c r="M1488" t="s">
        <v>65</v>
      </c>
      <c r="N1488" t="s">
        <v>92</v>
      </c>
      <c r="O1488" t="s">
        <v>93</v>
      </c>
      <c r="P1488" t="s">
        <v>68</v>
      </c>
      <c r="Q1488">
        <v>494</v>
      </c>
      <c r="R1488">
        <v>311.27</v>
      </c>
      <c r="S1488">
        <v>153767.38</v>
      </c>
      <c r="T1488">
        <v>44.83</v>
      </c>
      <c r="U1488">
        <v>2</v>
      </c>
      <c r="V1488">
        <v>1007</v>
      </c>
      <c r="W1488" t="s">
        <v>36</v>
      </c>
      <c r="X1488">
        <v>29068.12</v>
      </c>
    </row>
    <row r="1489" spans="1:24" x14ac:dyDescent="0.25">
      <c r="A1489" s="2">
        <v>101487</v>
      </c>
      <c r="B1489" s="1">
        <v>45306</v>
      </c>
      <c r="C1489" s="1">
        <v>45307</v>
      </c>
      <c r="D1489" s="1">
        <v>45311</v>
      </c>
      <c r="E1489" t="s">
        <v>3688</v>
      </c>
      <c r="F1489" t="s">
        <v>65</v>
      </c>
      <c r="G1489" t="s">
        <v>154</v>
      </c>
      <c r="H1489" t="s">
        <v>3689</v>
      </c>
      <c r="I1489" t="s">
        <v>139</v>
      </c>
      <c r="J1489" t="s">
        <v>42</v>
      </c>
      <c r="K1489" t="s">
        <v>498</v>
      </c>
      <c r="L1489" t="s">
        <v>98</v>
      </c>
      <c r="M1489" t="s">
        <v>65</v>
      </c>
      <c r="N1489" t="s">
        <v>102</v>
      </c>
      <c r="O1489" t="s">
        <v>103</v>
      </c>
      <c r="P1489" t="s">
        <v>68</v>
      </c>
      <c r="Q1489">
        <v>47</v>
      </c>
      <c r="R1489">
        <v>170.14</v>
      </c>
      <c r="S1489">
        <v>7996.58</v>
      </c>
      <c r="T1489">
        <v>23.38</v>
      </c>
      <c r="U1489">
        <v>4</v>
      </c>
      <c r="V1489">
        <v>1777</v>
      </c>
      <c r="W1489" t="s">
        <v>36</v>
      </c>
      <c r="X1489">
        <v>1345.33</v>
      </c>
    </row>
    <row r="1490" spans="1:24" x14ac:dyDescent="0.25">
      <c r="A1490" s="2">
        <v>101488</v>
      </c>
      <c r="B1490" s="1">
        <v>45292</v>
      </c>
      <c r="C1490" s="1">
        <v>45297</v>
      </c>
      <c r="D1490" s="1">
        <v>45307</v>
      </c>
      <c r="E1490" t="s">
        <v>3690</v>
      </c>
      <c r="F1490" t="s">
        <v>25</v>
      </c>
      <c r="G1490" t="s">
        <v>169</v>
      </c>
      <c r="H1490" t="s">
        <v>3691</v>
      </c>
      <c r="I1490" t="s">
        <v>198</v>
      </c>
      <c r="J1490" t="s">
        <v>52</v>
      </c>
      <c r="K1490" t="s">
        <v>888</v>
      </c>
      <c r="L1490" t="s">
        <v>122</v>
      </c>
      <c r="M1490" t="s">
        <v>54</v>
      </c>
      <c r="N1490" t="s">
        <v>45</v>
      </c>
      <c r="O1490" t="s">
        <v>46</v>
      </c>
      <c r="P1490" t="s">
        <v>123</v>
      </c>
      <c r="Q1490">
        <v>76</v>
      </c>
      <c r="R1490">
        <v>19.89</v>
      </c>
      <c r="S1490">
        <v>1511.64</v>
      </c>
      <c r="T1490">
        <v>12.54</v>
      </c>
      <c r="U1490">
        <v>10</v>
      </c>
      <c r="V1490">
        <v>3972</v>
      </c>
      <c r="W1490" t="s">
        <v>47</v>
      </c>
      <c r="X1490">
        <v>-203.02</v>
      </c>
    </row>
    <row r="1491" spans="1:24" x14ac:dyDescent="0.25">
      <c r="A1491" s="2">
        <v>101489</v>
      </c>
      <c r="B1491" s="1">
        <v>45425</v>
      </c>
      <c r="C1491" s="1">
        <v>45425</v>
      </c>
      <c r="D1491" s="1">
        <v>45442</v>
      </c>
      <c r="E1491" t="s">
        <v>3692</v>
      </c>
      <c r="F1491" t="s">
        <v>65</v>
      </c>
      <c r="G1491" t="s">
        <v>154</v>
      </c>
      <c r="H1491" t="s">
        <v>3693</v>
      </c>
      <c r="I1491" t="s">
        <v>126</v>
      </c>
      <c r="J1491" t="s">
        <v>42</v>
      </c>
      <c r="K1491" t="s">
        <v>1676</v>
      </c>
      <c r="L1491" t="s">
        <v>212</v>
      </c>
      <c r="M1491" t="s">
        <v>54</v>
      </c>
      <c r="N1491" t="s">
        <v>74</v>
      </c>
      <c r="O1491" t="s">
        <v>75</v>
      </c>
      <c r="P1491" t="s">
        <v>76</v>
      </c>
      <c r="Q1491">
        <v>147</v>
      </c>
      <c r="R1491">
        <v>134.24</v>
      </c>
      <c r="S1491">
        <v>19733.28</v>
      </c>
      <c r="T1491">
        <v>10.7</v>
      </c>
      <c r="U1491">
        <v>17</v>
      </c>
      <c r="V1491">
        <v>584</v>
      </c>
      <c r="W1491" t="s">
        <v>36</v>
      </c>
      <c r="X1491">
        <v>2122.27</v>
      </c>
    </row>
    <row r="1492" spans="1:24" x14ac:dyDescent="0.25">
      <c r="A1492" s="2">
        <v>101490</v>
      </c>
      <c r="B1492" s="1">
        <v>45738</v>
      </c>
      <c r="C1492" s="1">
        <v>45742</v>
      </c>
      <c r="D1492" s="1">
        <v>45752</v>
      </c>
      <c r="E1492" t="s">
        <v>3694</v>
      </c>
      <c r="F1492" t="s">
        <v>25</v>
      </c>
      <c r="G1492" t="s">
        <v>244</v>
      </c>
      <c r="H1492" t="s">
        <v>3695</v>
      </c>
      <c r="I1492" t="s">
        <v>416</v>
      </c>
      <c r="J1492" t="s">
        <v>80</v>
      </c>
      <c r="K1492" t="s">
        <v>3600</v>
      </c>
      <c r="L1492" t="s">
        <v>98</v>
      </c>
      <c r="M1492" t="s">
        <v>38</v>
      </c>
      <c r="N1492" t="s">
        <v>92</v>
      </c>
      <c r="O1492" t="s">
        <v>93</v>
      </c>
      <c r="P1492" t="s">
        <v>76</v>
      </c>
      <c r="Q1492">
        <v>414</v>
      </c>
      <c r="R1492">
        <v>254.96</v>
      </c>
      <c r="S1492">
        <v>105553.44</v>
      </c>
      <c r="T1492">
        <v>15.56</v>
      </c>
      <c r="U1492">
        <v>10</v>
      </c>
      <c r="V1492">
        <v>886</v>
      </c>
      <c r="W1492" t="s">
        <v>36</v>
      </c>
      <c r="X1492">
        <v>22722.79</v>
      </c>
    </row>
    <row r="1493" spans="1:24" x14ac:dyDescent="0.25">
      <c r="A1493" s="2">
        <v>101491</v>
      </c>
      <c r="B1493" s="1">
        <v>45855</v>
      </c>
      <c r="C1493" s="1">
        <v>45855</v>
      </c>
      <c r="D1493" s="1">
        <v>45867</v>
      </c>
      <c r="E1493" t="s">
        <v>3696</v>
      </c>
      <c r="F1493" t="s">
        <v>65</v>
      </c>
      <c r="G1493" t="s">
        <v>142</v>
      </c>
      <c r="H1493" t="s">
        <v>3697</v>
      </c>
      <c r="I1493" t="s">
        <v>278</v>
      </c>
      <c r="J1493" t="s">
        <v>29</v>
      </c>
      <c r="K1493" t="s">
        <v>3698</v>
      </c>
      <c r="L1493" t="s">
        <v>91</v>
      </c>
      <c r="M1493" t="s">
        <v>38</v>
      </c>
      <c r="N1493" t="s">
        <v>203</v>
      </c>
      <c r="O1493" t="s">
        <v>204</v>
      </c>
      <c r="P1493" t="s">
        <v>76</v>
      </c>
      <c r="Q1493">
        <v>368</v>
      </c>
      <c r="R1493">
        <v>89.27</v>
      </c>
      <c r="S1493">
        <v>32851.360000000001</v>
      </c>
      <c r="T1493">
        <v>14.73</v>
      </c>
      <c r="U1493">
        <v>12</v>
      </c>
      <c r="V1493">
        <v>954</v>
      </c>
      <c r="W1493" t="s">
        <v>36</v>
      </c>
      <c r="X1493">
        <v>6354.37</v>
      </c>
    </row>
    <row r="1494" spans="1:24" x14ac:dyDescent="0.25">
      <c r="A1494" s="2">
        <v>101492</v>
      </c>
      <c r="B1494" s="1">
        <v>45648</v>
      </c>
      <c r="C1494" s="1">
        <v>45650</v>
      </c>
      <c r="D1494" s="1">
        <v>45654</v>
      </c>
      <c r="E1494" t="s">
        <v>3699</v>
      </c>
      <c r="F1494" t="s">
        <v>65</v>
      </c>
      <c r="G1494" t="s">
        <v>70</v>
      </c>
      <c r="H1494" t="s">
        <v>3700</v>
      </c>
      <c r="I1494" t="s">
        <v>149</v>
      </c>
      <c r="J1494" t="s">
        <v>42</v>
      </c>
      <c r="K1494" t="s">
        <v>2113</v>
      </c>
      <c r="L1494" t="s">
        <v>118</v>
      </c>
      <c r="M1494" t="s">
        <v>65</v>
      </c>
      <c r="N1494" t="s">
        <v>55</v>
      </c>
      <c r="O1494" t="s">
        <v>56</v>
      </c>
      <c r="P1494" t="s">
        <v>68</v>
      </c>
      <c r="Q1494">
        <v>414</v>
      </c>
      <c r="R1494">
        <v>134.56</v>
      </c>
      <c r="S1494">
        <v>55707.839999999997</v>
      </c>
      <c r="T1494">
        <v>40.99</v>
      </c>
      <c r="U1494">
        <v>4</v>
      </c>
      <c r="V1494">
        <v>564</v>
      </c>
      <c r="W1494" t="s">
        <v>36</v>
      </c>
      <c r="X1494">
        <v>12159.04</v>
      </c>
    </row>
    <row r="1495" spans="1:24" x14ac:dyDescent="0.25">
      <c r="A1495" s="2">
        <v>101493</v>
      </c>
      <c r="B1495" s="1">
        <v>45484</v>
      </c>
      <c r="C1495" s="1">
        <v>45487</v>
      </c>
      <c r="D1495" s="1">
        <v>45489</v>
      </c>
      <c r="E1495" t="s">
        <v>3701</v>
      </c>
      <c r="F1495" t="s">
        <v>54</v>
      </c>
      <c r="G1495" t="s">
        <v>129</v>
      </c>
      <c r="H1495" t="s">
        <v>3702</v>
      </c>
      <c r="I1495" t="s">
        <v>134</v>
      </c>
      <c r="J1495" t="s">
        <v>52</v>
      </c>
      <c r="K1495" t="s">
        <v>822</v>
      </c>
      <c r="L1495" t="s">
        <v>98</v>
      </c>
      <c r="M1495" t="s">
        <v>25</v>
      </c>
      <c r="N1495" t="s">
        <v>151</v>
      </c>
      <c r="O1495" t="s">
        <v>152</v>
      </c>
      <c r="P1495" t="s">
        <v>35</v>
      </c>
      <c r="Q1495">
        <v>266</v>
      </c>
      <c r="R1495">
        <v>37.450000000000003</v>
      </c>
      <c r="S1495">
        <v>9961.7000000000007</v>
      </c>
      <c r="T1495">
        <v>20.02</v>
      </c>
      <c r="U1495">
        <v>2</v>
      </c>
      <c r="V1495">
        <v>3735</v>
      </c>
      <c r="W1495" t="s">
        <v>36</v>
      </c>
      <c r="X1495">
        <v>859.04</v>
      </c>
    </row>
    <row r="1496" spans="1:24" x14ac:dyDescent="0.25">
      <c r="A1496" s="2">
        <v>101494</v>
      </c>
      <c r="B1496" s="1">
        <v>45745</v>
      </c>
      <c r="C1496" s="1">
        <v>45745</v>
      </c>
      <c r="D1496" s="1">
        <v>45758</v>
      </c>
      <c r="E1496" t="s">
        <v>3703</v>
      </c>
      <c r="F1496" t="s">
        <v>32</v>
      </c>
      <c r="G1496" t="s">
        <v>137</v>
      </c>
      <c r="H1496" t="s">
        <v>3704</v>
      </c>
      <c r="I1496" t="s">
        <v>116</v>
      </c>
      <c r="J1496" t="s">
        <v>62</v>
      </c>
      <c r="K1496" t="s">
        <v>1584</v>
      </c>
      <c r="L1496" t="s">
        <v>98</v>
      </c>
      <c r="M1496" t="s">
        <v>38</v>
      </c>
      <c r="N1496" t="s">
        <v>102</v>
      </c>
      <c r="O1496" t="s">
        <v>103</v>
      </c>
      <c r="P1496" t="s">
        <v>123</v>
      </c>
      <c r="Q1496">
        <v>139</v>
      </c>
      <c r="R1496">
        <v>13.54</v>
      </c>
      <c r="S1496">
        <v>1882.06</v>
      </c>
      <c r="T1496">
        <v>14.07</v>
      </c>
      <c r="U1496">
        <v>13</v>
      </c>
      <c r="V1496">
        <v>2302</v>
      </c>
      <c r="W1496" t="s">
        <v>36</v>
      </c>
      <c r="X1496">
        <v>89.49</v>
      </c>
    </row>
    <row r="1497" spans="1:24" x14ac:dyDescent="0.25">
      <c r="A1497" s="2">
        <v>101495</v>
      </c>
      <c r="B1497" s="1">
        <v>45534</v>
      </c>
      <c r="C1497" s="1">
        <v>45538</v>
      </c>
      <c r="D1497" s="1">
        <v>45563</v>
      </c>
      <c r="E1497" t="s">
        <v>2325</v>
      </c>
      <c r="F1497" t="s">
        <v>65</v>
      </c>
      <c r="G1497" t="s">
        <v>154</v>
      </c>
      <c r="H1497" t="s">
        <v>3705</v>
      </c>
      <c r="I1497" t="s">
        <v>246</v>
      </c>
      <c r="J1497" t="s">
        <v>29</v>
      </c>
      <c r="K1497" t="s">
        <v>1063</v>
      </c>
      <c r="L1497" t="s">
        <v>98</v>
      </c>
      <c r="M1497" t="s">
        <v>25</v>
      </c>
      <c r="N1497" t="s">
        <v>92</v>
      </c>
      <c r="O1497" t="s">
        <v>93</v>
      </c>
      <c r="P1497" t="s">
        <v>76</v>
      </c>
      <c r="Q1497">
        <v>369</v>
      </c>
      <c r="R1497">
        <v>27.72</v>
      </c>
      <c r="S1497">
        <v>10228.68</v>
      </c>
      <c r="T1497">
        <v>14.74</v>
      </c>
      <c r="U1497">
        <v>25</v>
      </c>
      <c r="V1497">
        <v>891</v>
      </c>
      <c r="W1497" t="s">
        <v>36</v>
      </c>
      <c r="X1497">
        <v>1927.04</v>
      </c>
    </row>
    <row r="1498" spans="1:24" x14ac:dyDescent="0.25">
      <c r="A1498" s="2">
        <v>101496</v>
      </c>
      <c r="B1498" s="1">
        <v>45342</v>
      </c>
      <c r="C1498" s="1">
        <v>45343</v>
      </c>
      <c r="D1498" s="1">
        <v>45353</v>
      </c>
      <c r="E1498" t="s">
        <v>3706</v>
      </c>
      <c r="F1498" t="s">
        <v>32</v>
      </c>
      <c r="G1498" t="s">
        <v>95</v>
      </c>
      <c r="H1498" t="s">
        <v>3707</v>
      </c>
      <c r="I1498" t="s">
        <v>198</v>
      </c>
      <c r="J1498" t="s">
        <v>52</v>
      </c>
      <c r="K1498" t="s">
        <v>231</v>
      </c>
      <c r="L1498" t="s">
        <v>187</v>
      </c>
      <c r="M1498" t="s">
        <v>54</v>
      </c>
      <c r="N1498" t="s">
        <v>107</v>
      </c>
      <c r="O1498" t="s">
        <v>108</v>
      </c>
      <c r="P1498" t="s">
        <v>35</v>
      </c>
      <c r="Q1498">
        <v>341</v>
      </c>
      <c r="R1498">
        <v>46.67</v>
      </c>
      <c r="S1498">
        <v>15914.47</v>
      </c>
      <c r="T1498">
        <v>22.14</v>
      </c>
      <c r="U1498">
        <v>10</v>
      </c>
      <c r="V1498">
        <v>3023</v>
      </c>
      <c r="W1498" t="s">
        <v>36</v>
      </c>
      <c r="X1498">
        <v>1567.83</v>
      </c>
    </row>
    <row r="1499" spans="1:24" x14ac:dyDescent="0.25">
      <c r="A1499" s="2">
        <v>101497</v>
      </c>
      <c r="B1499" s="1">
        <v>45438</v>
      </c>
      <c r="C1499" s="1">
        <v>45442</v>
      </c>
      <c r="D1499" s="1">
        <v>45450</v>
      </c>
      <c r="E1499" t="s">
        <v>3708</v>
      </c>
      <c r="F1499" t="s">
        <v>54</v>
      </c>
      <c r="G1499" t="s">
        <v>165</v>
      </c>
      <c r="H1499" t="s">
        <v>3709</v>
      </c>
      <c r="I1499" t="s">
        <v>41</v>
      </c>
      <c r="J1499" t="s">
        <v>42</v>
      </c>
      <c r="K1499" t="s">
        <v>1691</v>
      </c>
      <c r="L1499" t="s">
        <v>98</v>
      </c>
      <c r="M1499" t="s">
        <v>32</v>
      </c>
      <c r="N1499" t="s">
        <v>74</v>
      </c>
      <c r="O1499" t="s">
        <v>75</v>
      </c>
      <c r="P1499" t="s">
        <v>35</v>
      </c>
      <c r="Q1499">
        <v>83</v>
      </c>
      <c r="R1499">
        <v>85.54</v>
      </c>
      <c r="S1499">
        <v>7099.82</v>
      </c>
      <c r="T1499">
        <v>14.83</v>
      </c>
      <c r="U1499">
        <v>8</v>
      </c>
      <c r="V1499">
        <v>189</v>
      </c>
      <c r="W1499" t="s">
        <v>36</v>
      </c>
      <c r="X1499">
        <v>575.58000000000004</v>
      </c>
    </row>
    <row r="1500" spans="1:24" x14ac:dyDescent="0.25">
      <c r="A1500" s="2">
        <v>101498</v>
      </c>
      <c r="B1500" s="1">
        <v>45812</v>
      </c>
      <c r="C1500" s="1">
        <v>45816</v>
      </c>
      <c r="D1500" s="1">
        <v>45824</v>
      </c>
      <c r="E1500" t="s">
        <v>3710</v>
      </c>
      <c r="F1500" t="s">
        <v>38</v>
      </c>
      <c r="G1500" t="s">
        <v>147</v>
      </c>
      <c r="H1500" t="s">
        <v>3711</v>
      </c>
      <c r="I1500" t="s">
        <v>89</v>
      </c>
      <c r="J1500" t="s">
        <v>62</v>
      </c>
      <c r="K1500" t="s">
        <v>1419</v>
      </c>
      <c r="L1500" t="s">
        <v>98</v>
      </c>
      <c r="M1500" t="s">
        <v>32</v>
      </c>
      <c r="N1500" t="s">
        <v>45</v>
      </c>
      <c r="O1500" t="s">
        <v>46</v>
      </c>
      <c r="P1500" t="s">
        <v>68</v>
      </c>
      <c r="Q1500">
        <v>99</v>
      </c>
      <c r="R1500">
        <v>6.49</v>
      </c>
      <c r="S1500">
        <v>642.51</v>
      </c>
      <c r="T1500">
        <v>34.93</v>
      </c>
      <c r="U1500">
        <v>8</v>
      </c>
      <c r="V1500">
        <v>4502</v>
      </c>
      <c r="W1500" t="s">
        <v>36</v>
      </c>
      <c r="X1500">
        <v>59.85</v>
      </c>
    </row>
    <row r="1501" spans="1:24" x14ac:dyDescent="0.25">
      <c r="A1501" s="2">
        <v>101499</v>
      </c>
      <c r="B1501" s="1">
        <v>45438</v>
      </c>
      <c r="C1501" s="1">
        <v>45438</v>
      </c>
      <c r="D1501" s="1">
        <v>45449</v>
      </c>
      <c r="E1501" t="s">
        <v>3712</v>
      </c>
      <c r="F1501" t="s">
        <v>38</v>
      </c>
      <c r="G1501" t="s">
        <v>217</v>
      </c>
      <c r="H1501" t="s">
        <v>3713</v>
      </c>
      <c r="I1501" t="s">
        <v>28</v>
      </c>
      <c r="J1501" t="s">
        <v>29</v>
      </c>
      <c r="K1501" t="s">
        <v>3714</v>
      </c>
      <c r="L1501" t="s">
        <v>187</v>
      </c>
      <c r="M1501" t="s">
        <v>54</v>
      </c>
      <c r="N1501" t="s">
        <v>74</v>
      </c>
      <c r="O1501" t="s">
        <v>75</v>
      </c>
      <c r="P1501" t="s">
        <v>123</v>
      </c>
      <c r="Q1501">
        <v>457</v>
      </c>
      <c r="R1501">
        <v>25.36</v>
      </c>
      <c r="S1501">
        <v>11589.52</v>
      </c>
      <c r="T1501">
        <v>21.8</v>
      </c>
      <c r="U1501">
        <v>11</v>
      </c>
      <c r="V1501">
        <v>1145</v>
      </c>
      <c r="W1501" t="s">
        <v>36</v>
      </c>
      <c r="X1501">
        <v>628.58000000000004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678AC9-4997-4CA0-B777-6E553FA111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Pivot_DeliveryPerformance</vt:lpstr>
      <vt:lpstr>Pivot_ProfitByTransportMode</vt:lpstr>
      <vt:lpstr>Pivot_DeliveryTimeByMode</vt:lpstr>
      <vt:lpstr>Pivot_StatusByRegion</vt:lpstr>
      <vt:lpstr>Kpis</vt:lpstr>
      <vt:lpstr>Dashboard</vt:lpstr>
      <vt:lpstr>cleaneddata</vt:lpstr>
      <vt:lpstr>Supplychain_data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Prabesh Adhikari</dc:creator>
  <cp:lastModifiedBy>Prabesh Adhikari</cp:lastModifiedBy>
  <dcterms:created xsi:type="dcterms:W3CDTF">2026-08-31T15:12:19Z</dcterms:created>
  <dcterms:modified xsi:type="dcterms:W3CDTF">2026-09-01T18:32:33Z</dcterms:modified>
</cp:coreProperties>
</file>